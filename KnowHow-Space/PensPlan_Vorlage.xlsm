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ustomProperty4.bin" ContentType="application/vnd.openxmlformats-officedocument.spreadsheetml.customProperty"/>
  <Override PartName="/xl/customProperty5.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ustomProperty6.bin" ContentType="application/vnd.openxmlformats-officedocument.spreadsheetml.customProperty"/>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ustomProperty7.bin" ContentType="application/vnd.openxmlformats-officedocument.spreadsheetml.customProperty"/>
  <Override PartName="/xl/drawings/drawing3.xml" ContentType="application/vnd.openxmlformats-officedocument.drawing+xml"/>
  <Override PartName="/xl/charts/chartEx1.xml" ContentType="application/vnd.ms-office.chartex+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ustomProperty8.bin" ContentType="application/vnd.openxmlformats-officedocument.spreadsheetml.customProperty"/>
  <Override PartName="/xl/customProperty9.bin" ContentType="application/vnd.openxmlformats-officedocument.spreadsheetml.customProperty"/>
  <Override PartName="/xl/drawings/drawing5.xml" ContentType="application/vnd.openxmlformats-officedocument.drawing+xml"/>
  <Override PartName="/xl/ctrlProps/ctrlProp2.xml" ContentType="application/vnd.ms-excel.controlproperties+xml"/>
  <Override PartName="/xl/drawings/drawing6.xml" ContentType="application/vnd.openxmlformats-officedocument.drawing+xml"/>
  <Override PartName="/xl/ctrlProps/ctrlProp3.xml" ContentType="application/vnd.ms-excel.controlproperties+xml"/>
  <Override PartName="/xl/drawings/drawing7.xml" ContentType="application/vnd.openxmlformats-officedocument.drawing+xml"/>
  <Override PartName="/xl/ctrlProps/ctrlProp4.xml" ContentType="application/vnd.ms-excel.controlproperties+xml"/>
  <Override PartName="/xl/drawings/drawing8.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DieseArbeitsmappe" defaultThemeVersion="166925"/>
  <mc:AlternateContent xmlns:mc="http://schemas.openxmlformats.org/markup-compatibility/2006">
    <mc:Choice Requires="x15">
      <x15ac:absPath xmlns:x15ac="http://schemas.microsoft.com/office/spreadsheetml/2010/11/ac" url="C:\Users\timdw\Documents\Finanzen\"/>
    </mc:Choice>
  </mc:AlternateContent>
  <xr:revisionPtr revIDLastSave="0" documentId="13_ncr:1_{CC092867-49B0-44BD-8970-1FFA1592C09E}" xr6:coauthVersionLast="47" xr6:coauthVersionMax="47" xr10:uidLastSave="{00000000-0000-0000-0000-000000000000}"/>
  <bookViews>
    <workbookView xWindow="28680" yWindow="-120" windowWidth="29040" windowHeight="16440" tabRatio="646" firstSheet="12" activeTab="17" xr2:uid="{0CCFB6A8-A7FC-49EB-8754-69B48DD30BF4}"/>
  </bookViews>
  <sheets>
    <sheet name="Steuerdaten_Bern" sheetId="1" r:id="rId1"/>
    <sheet name="Personendaten" sheetId="8" r:id="rId2"/>
    <sheet name="Eink_Verm" sheetId="11" r:id="rId3"/>
    <sheet name="Deckblatt" sheetId="9" r:id="rId4"/>
    <sheet name="Einkommens- Vermögensübersicht" sheetId="10" r:id="rId5"/>
    <sheet name="Steuerbetrachtung" sheetId="3" r:id="rId6"/>
    <sheet name="Rentabilität Säule 3a" sheetId="13" r:id="rId7"/>
    <sheet name="Mehrere S3a Gefässe" sheetId="17" r:id="rId8"/>
    <sheet name="Konto oder Depot S3a" sheetId="7" r:id="rId9"/>
    <sheet name="Finanzplan Variante I" sheetId="12" r:id="rId10"/>
    <sheet name="Finanzplan Variante II" sheetId="23" r:id="rId11"/>
    <sheet name="Finanzplan Variante III" sheetId="24" r:id="rId12"/>
    <sheet name="Vermögen und Steuerentwicklung" sheetId="22" r:id="rId13"/>
    <sheet name="Rente oder Kap" sheetId="16" r:id="rId14"/>
    <sheet name="Gestaffelter Bezug" sheetId="21" r:id="rId15"/>
    <sheet name="PK-Einkauf" sheetId="18" r:id="rId16"/>
    <sheet name="Hypothekarsituation" sheetId="14" r:id="rId17"/>
    <sheet name="Effekt HypoAmo" sheetId="15" r:id="rId18"/>
  </sheets>
  <functionGroups builtInGroupCount="19"/>
  <definedNames>
    <definedName name="_xlnm._FilterDatabase" localSheetId="9" hidden="1">'Finanzplan Variante I'!$BS$1:$CF$154</definedName>
    <definedName name="_xlnm._FilterDatabase" localSheetId="10" hidden="1">'Finanzplan Variante II'!$BS$1:$CF$154</definedName>
    <definedName name="_xlnm._FilterDatabase" localSheetId="11" hidden="1">'Finanzplan Variante III'!$BS$1:$CF$154</definedName>
    <definedName name="_xlchart.v1.0" hidden="1">'Rentabilität Säule 3a'!$Q$9:$Q$13</definedName>
    <definedName name="_xlchart.v1.1" hidden="1">'Rentabilität Säule 3a'!$R$9:$R$13</definedName>
    <definedName name="_xlpm.x" hidden="1" xlm="1">#NAME?</definedName>
    <definedName name="_xlpm.y" hidden="1" xlm="1">#NAME?</definedName>
    <definedName name="_xlnm.Print_Area" localSheetId="17">'Effekt HypoAmo'!$A$1:$K$26</definedName>
    <definedName name="_xlnm.Print_Area" localSheetId="9">'Finanzplan Variante I'!$A$1:$BA$161</definedName>
    <definedName name="_xlnm.Print_Area" localSheetId="10">'Finanzplan Variante II'!$A$1:$BA$161</definedName>
    <definedName name="_xlnm.Print_Area" localSheetId="11">'Finanzplan Variante III'!$A$1:$BA$161</definedName>
    <definedName name="_xlnm.Print_Area" localSheetId="14">'Gestaffelter Bezug'!$A$1:$N$32</definedName>
    <definedName name="_xlnm.Print_Area" localSheetId="16">Hypothekarsituation!$A$1:$H$24</definedName>
    <definedName name="_xlnm.Print_Area" localSheetId="7">'Mehrere S3a Gefässe'!$A$1:$J$31</definedName>
    <definedName name="_xlnm.Print_Area" localSheetId="15">'PK-Einkauf'!$A$1:$J$34</definedName>
    <definedName name="_xlnm.Print_Area" localSheetId="6">'Rentabilität Säule 3a'!$A$1:$J$31</definedName>
    <definedName name="_xlnm.Print_Area" localSheetId="5">Steuerbetrachtung!$A$1:$J$33</definedName>
    <definedName name="_xlnm.Print_Area" localSheetId="12">'Vermögen und Steuerentwicklung'!$A$1:$J$33</definedName>
    <definedName name="_xlnm.Print_Titles" localSheetId="9">'Finanzplan Variante I'!$3:$3</definedName>
    <definedName name="_xlnm.Print_Titles" localSheetId="10">'Finanzplan Variante II'!$3:$3</definedName>
    <definedName name="_xlnm.Print_Titles" localSheetId="11">'Finanzplan Variante III'!$3:$3</definedName>
    <definedName name="EINK_CH_All">Steuerdaten_Bern!$J$16:$L$127</definedName>
    <definedName name="EINK_CH_Ver">Steuerdaten_Bern!$N$16:$P$112</definedName>
    <definedName name="EINK_GDE_KT_All">Steuerdaten_Bern!$A$16:$B$4177</definedName>
    <definedName name="EINK_GDE_KT_Ver">Steuerdaten_Bern!$E$16:$F$4343</definedName>
    <definedName name="FreiVerm" localSheetId="9">'Finanzplan Variante I'!$F$43</definedName>
    <definedName name="FreiVerm" localSheetId="10">'Finanzplan Variante II'!$F$43</definedName>
    <definedName name="FreiVerm" localSheetId="11">'Finanzplan Variante III'!$F$43</definedName>
    <definedName name="GDE_Satz">Steuerdaten_Bern!$B$3</definedName>
    <definedName name="KAP_KT_All">Steuerdaten_Bern!$AA$16:$AC$24</definedName>
    <definedName name="KAP_KT_Ver">Steuerdaten_Bern!$W$16:$Y$23</definedName>
    <definedName name="Kirch_Satz">Steuerdaten_Bern!$B$4</definedName>
    <definedName name="KT_Satz">Steuerdaten_Bern!$B$2</definedName>
    <definedName name="PD_Bez1">Personendaten!$B$3</definedName>
    <definedName name="PD_Bez2">Personendaten!$B$8</definedName>
    <definedName name="PD_Geb1">Personendaten!$B$4</definedName>
    <definedName name="PD_Geb2">Personendaten!$B$9</definedName>
    <definedName name="PD_Name1">Personendaten!$B$1</definedName>
    <definedName name="PD_Name2">Personendaten!$B$6</definedName>
    <definedName name="PD_Ort">Personendaten!$B$11</definedName>
    <definedName name="PD_VName1">Personendaten!$B$2</definedName>
    <definedName name="PD_VName2">Personendaten!$B$7</definedName>
    <definedName name="PlanBeg" localSheetId="9">'Finanzplan Variante I'!$BP$2</definedName>
    <definedName name="PlanBeg" localSheetId="10">'Finanzplan Variante II'!$BP$2</definedName>
    <definedName name="PlanBeg" localSheetId="11">'Finanzplan Variante III'!$BP$2</definedName>
    <definedName name="PlanVar" localSheetId="9">'Finanzplan Variante I'!$BP$1</definedName>
    <definedName name="PlanVar" localSheetId="10">'Finanzplan Variante II'!$BP$1</definedName>
    <definedName name="PlanVar" localSheetId="11">'Finanzplan Variante III'!$BP$1</definedName>
    <definedName name="StbarEink" localSheetId="9">'Finanzplan Variante I'!$F$90</definedName>
    <definedName name="StbarEink" localSheetId="10">'Finanzplan Variante II'!$F$90</definedName>
    <definedName name="StbarEink" localSheetId="11">'Finanzplan Variante III'!$F$90</definedName>
    <definedName name="StbarKap" localSheetId="9">'Finanzplan Variante I'!$F$147</definedName>
    <definedName name="StbarKap" localSheetId="10">'Finanzplan Variante II'!$F$147</definedName>
    <definedName name="StbarKap" localSheetId="11">'Finanzplan Variante III'!$F$147</definedName>
    <definedName name="StbarKapEinz" localSheetId="9">'Finanzplan Variante I'!$F$88:$F$89</definedName>
    <definedName name="StbarKapEinz" localSheetId="10">'Finanzplan Variante II'!$F$88:$F$89</definedName>
    <definedName name="StbarKapEinz" localSheetId="11">'Finanzplan Variante III'!$F$88:$F$89</definedName>
    <definedName name="StbarVerm" localSheetId="9">'Finanzplan Variante I'!$F$137</definedName>
    <definedName name="StbarVerm" localSheetId="10">'Finanzplan Variante II'!$F$137</definedName>
    <definedName name="StbarVerm" localSheetId="11">'Finanzplan Variante III'!$F$137</definedName>
    <definedName name="SteuernGes" localSheetId="9">'Finanzplan Variante I'!$F$148</definedName>
    <definedName name="SteuernGes" localSheetId="10">'Finanzplan Variante II'!$F$148</definedName>
    <definedName name="SteuernGes" localSheetId="11">'Finanzplan Variante III'!$F$148</definedName>
    <definedName name="VERM_GDE_KT">Steuerdaten_Bern!$R$16:$T$29</definedName>
    <definedName name="Ziv">Steuerdaten_Bern!$B$5</definedName>
  </definedNames>
  <calcPr calcId="191028" calcMode="manual"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 i="15" l="1"/>
  <c r="B4" i="14"/>
  <c r="B4" i="17"/>
  <c r="B4" i="13"/>
  <c r="E34" i="18"/>
  <c r="G30" i="21"/>
  <c r="BY31" i="24"/>
  <c r="BY31" i="23"/>
  <c r="A1" i="12"/>
  <c r="A1" i="23"/>
  <c r="A1" i="24"/>
  <c r="BT149" i="24"/>
  <c r="BT148" i="24"/>
  <c r="BT147" i="24"/>
  <c r="BA147" i="24"/>
  <c r="AZ147" i="24"/>
  <c r="AY147" i="24"/>
  <c r="AX147" i="24"/>
  <c r="AW147" i="24"/>
  <c r="AV147" i="24"/>
  <c r="AU147" i="24"/>
  <c r="AT147" i="24"/>
  <c r="AS147" i="24"/>
  <c r="AR147" i="24"/>
  <c r="AQ147" i="24"/>
  <c r="AP147" i="24"/>
  <c r="AO147" i="24"/>
  <c r="AN147" i="24"/>
  <c r="AM147" i="24"/>
  <c r="AL147" i="24"/>
  <c r="AK147" i="24"/>
  <c r="AJ147" i="24"/>
  <c r="AI147" i="24"/>
  <c r="AH147" i="24"/>
  <c r="AG147" i="24"/>
  <c r="AF147" i="24"/>
  <c r="AE147" i="24"/>
  <c r="AD147" i="24"/>
  <c r="AC147" i="24"/>
  <c r="AB147" i="24"/>
  <c r="AA147" i="24"/>
  <c r="Z147" i="24"/>
  <c r="Y147" i="24"/>
  <c r="X147" i="24"/>
  <c r="W147" i="24"/>
  <c r="V147" i="24"/>
  <c r="U147" i="24"/>
  <c r="T147" i="24"/>
  <c r="S147" i="24"/>
  <c r="R147" i="24"/>
  <c r="Q147" i="24"/>
  <c r="P147" i="24"/>
  <c r="O147" i="24"/>
  <c r="N147" i="24"/>
  <c r="M147" i="24"/>
  <c r="L147" i="24"/>
  <c r="K147" i="24"/>
  <c r="J147" i="24"/>
  <c r="I147" i="24"/>
  <c r="H147" i="24"/>
  <c r="G147" i="24"/>
  <c r="F147" i="24"/>
  <c r="BT146" i="24"/>
  <c r="BT145" i="24"/>
  <c r="BT144" i="24"/>
  <c r="BT143" i="24"/>
  <c r="BT142" i="24"/>
  <c r="BT141" i="24"/>
  <c r="BT140" i="24"/>
  <c r="BT139" i="24"/>
  <c r="BT133" i="24"/>
  <c r="BT132" i="24"/>
  <c r="BT131" i="24"/>
  <c r="BT130" i="24"/>
  <c r="BT129" i="24"/>
  <c r="BT128" i="24"/>
  <c r="BT127" i="24"/>
  <c r="BT126" i="24"/>
  <c r="BT125" i="24"/>
  <c r="BT124" i="24"/>
  <c r="BT123" i="24"/>
  <c r="BT122" i="24"/>
  <c r="BT121" i="24"/>
  <c r="BT120" i="24"/>
  <c r="BT119" i="24"/>
  <c r="BT118" i="24"/>
  <c r="BT117" i="24"/>
  <c r="BT116" i="24"/>
  <c r="BT115" i="24"/>
  <c r="BT114" i="24"/>
  <c r="BT113" i="24"/>
  <c r="BT112" i="24"/>
  <c r="BT111" i="24"/>
  <c r="BT110" i="24"/>
  <c r="BT109" i="24"/>
  <c r="BT108" i="24"/>
  <c r="BT107" i="24"/>
  <c r="BT106" i="24"/>
  <c r="BT105" i="24"/>
  <c r="BT104" i="24"/>
  <c r="C89" i="24"/>
  <c r="C88" i="24"/>
  <c r="BT81" i="24"/>
  <c r="BT80" i="24"/>
  <c r="BT79" i="24"/>
  <c r="BT78" i="24"/>
  <c r="BT77" i="24"/>
  <c r="BT76" i="24"/>
  <c r="BT75" i="24"/>
  <c r="BT74" i="24"/>
  <c r="BT73" i="24"/>
  <c r="BT72" i="24"/>
  <c r="BT71" i="24"/>
  <c r="BT70" i="24"/>
  <c r="BT69" i="24"/>
  <c r="BT68" i="24"/>
  <c r="BT67" i="24"/>
  <c r="BT66" i="24"/>
  <c r="BT65" i="24"/>
  <c r="BT64" i="24"/>
  <c r="BT63" i="24"/>
  <c r="BT62" i="24"/>
  <c r="BT61" i="24"/>
  <c r="BT60" i="24"/>
  <c r="BY59" i="24"/>
  <c r="BT59" i="24"/>
  <c r="CA58" i="24"/>
  <c r="BT58" i="24"/>
  <c r="BT57" i="24"/>
  <c r="BT56" i="24"/>
  <c r="BT55" i="24"/>
  <c r="BT54" i="24"/>
  <c r="BT53" i="24"/>
  <c r="BT52" i="24"/>
  <c r="BZ51" i="24"/>
  <c r="BT51" i="24"/>
  <c r="BY50" i="24"/>
  <c r="BT50" i="24"/>
  <c r="BY49" i="24"/>
  <c r="BT49" i="24"/>
  <c r="BT48" i="24"/>
  <c r="BY47" i="24"/>
  <c r="BT47" i="24"/>
  <c r="BY46" i="24"/>
  <c r="BT46" i="24"/>
  <c r="BA46" i="24"/>
  <c r="BY45" i="24"/>
  <c r="BT45" i="24"/>
  <c r="BT44" i="24"/>
  <c r="E44" i="24"/>
  <c r="E45" i="24" s="1"/>
  <c r="F83" i="24" s="1"/>
  <c r="BT43" i="24"/>
  <c r="BT42" i="24"/>
  <c r="BT41" i="24"/>
  <c r="BT40" i="24"/>
  <c r="CA39" i="24"/>
  <c r="BT39" i="24"/>
  <c r="BT38" i="24"/>
  <c r="BT37" i="24"/>
  <c r="BT36" i="24"/>
  <c r="F36" i="24"/>
  <c r="BT35" i="24"/>
  <c r="BT34" i="24"/>
  <c r="BT33" i="24"/>
  <c r="BT32" i="24"/>
  <c r="BT31" i="24"/>
  <c r="BT30" i="24"/>
  <c r="BT29" i="24"/>
  <c r="BT28" i="24"/>
  <c r="BT27" i="24"/>
  <c r="BT26" i="24"/>
  <c r="BT25" i="24"/>
  <c r="BT24" i="24"/>
  <c r="BT23" i="24"/>
  <c r="BT22" i="24"/>
  <c r="BT21" i="24"/>
  <c r="BT20" i="24"/>
  <c r="BT19" i="24"/>
  <c r="BT18" i="24"/>
  <c r="BT17" i="24"/>
  <c r="BT16" i="24"/>
  <c r="BT15" i="24"/>
  <c r="BT14" i="24"/>
  <c r="BZ13" i="24"/>
  <c r="BT13" i="24"/>
  <c r="BT12" i="24"/>
  <c r="BT11" i="24"/>
  <c r="BT10" i="24"/>
  <c r="BT9" i="24"/>
  <c r="BY8" i="24"/>
  <c r="BT8" i="24"/>
  <c r="BY7" i="24"/>
  <c r="BT7" i="24"/>
  <c r="BT6" i="24"/>
  <c r="BZ5" i="24"/>
  <c r="BT5" i="24"/>
  <c r="A5" i="24"/>
  <c r="BZ4" i="24"/>
  <c r="BT4" i="24"/>
  <c r="A4" i="24"/>
  <c r="BZ3" i="24"/>
  <c r="BT3" i="24"/>
  <c r="F3" i="24"/>
  <c r="F4" i="24" s="1"/>
  <c r="BZ2" i="24"/>
  <c r="BT2" i="24"/>
  <c r="BT149" i="23"/>
  <c r="BT148" i="23"/>
  <c r="BT147" i="23"/>
  <c r="BA147" i="23"/>
  <c r="AZ147" i="23"/>
  <c r="AY147" i="23"/>
  <c r="AX147" i="23"/>
  <c r="AW147" i="23"/>
  <c r="AV147" i="23"/>
  <c r="AU147" i="23"/>
  <c r="AT147" i="23"/>
  <c r="AS147" i="23"/>
  <c r="AR147" i="23"/>
  <c r="AQ147" i="23"/>
  <c r="AP147" i="23"/>
  <c r="AO147" i="23"/>
  <c r="AN147" i="23"/>
  <c r="AM147" i="23"/>
  <c r="AL147" i="23"/>
  <c r="AK147" i="23"/>
  <c r="AJ147" i="23"/>
  <c r="AI147" i="23"/>
  <c r="AH147" i="23"/>
  <c r="AG147" i="23"/>
  <c r="AF147" i="23"/>
  <c r="AE147" i="23"/>
  <c r="AD147" i="23"/>
  <c r="AC147" i="23"/>
  <c r="AB147" i="23"/>
  <c r="AA147" i="23"/>
  <c r="Z147" i="23"/>
  <c r="Y147" i="23"/>
  <c r="X147" i="23"/>
  <c r="W147" i="23"/>
  <c r="V147" i="23"/>
  <c r="U147" i="23"/>
  <c r="T147" i="23"/>
  <c r="S147" i="23"/>
  <c r="R147" i="23"/>
  <c r="Q147" i="23"/>
  <c r="P147" i="23"/>
  <c r="O147" i="23"/>
  <c r="N147" i="23"/>
  <c r="M147" i="23"/>
  <c r="L147" i="23"/>
  <c r="K147" i="23"/>
  <c r="J147" i="23"/>
  <c r="I147" i="23"/>
  <c r="H147" i="23"/>
  <c r="G147" i="23"/>
  <c r="F147" i="23"/>
  <c r="BT146" i="23"/>
  <c r="BT145" i="23"/>
  <c r="BT144" i="23"/>
  <c r="BT143" i="23"/>
  <c r="BT142" i="23"/>
  <c r="BT141" i="23"/>
  <c r="BT140" i="23"/>
  <c r="BT139" i="23"/>
  <c r="BT133" i="23"/>
  <c r="BT132" i="23"/>
  <c r="BT131" i="23"/>
  <c r="BT130" i="23"/>
  <c r="BT129" i="23"/>
  <c r="BT128" i="23"/>
  <c r="BT127" i="23"/>
  <c r="BT126" i="23"/>
  <c r="BT125" i="23"/>
  <c r="BT124" i="23"/>
  <c r="BT123" i="23"/>
  <c r="BT122" i="23"/>
  <c r="BT121" i="23"/>
  <c r="BT120" i="23"/>
  <c r="BT119" i="23"/>
  <c r="BT118" i="23"/>
  <c r="BT117" i="23"/>
  <c r="BT116" i="23"/>
  <c r="BT115" i="23"/>
  <c r="BT114" i="23"/>
  <c r="BT113" i="23"/>
  <c r="BT112" i="23"/>
  <c r="BT111" i="23"/>
  <c r="BT110" i="23"/>
  <c r="BT109" i="23"/>
  <c r="BT108" i="23"/>
  <c r="BT107" i="23"/>
  <c r="BT106" i="23"/>
  <c r="BT105" i="23"/>
  <c r="BT104" i="23"/>
  <c r="C89" i="23"/>
  <c r="C88" i="23"/>
  <c r="BT81" i="23"/>
  <c r="BT80" i="23"/>
  <c r="BT79" i="23"/>
  <c r="BT78" i="23"/>
  <c r="BT77" i="23"/>
  <c r="BT76" i="23"/>
  <c r="BT75" i="23"/>
  <c r="BT74" i="23"/>
  <c r="BT73" i="23"/>
  <c r="BT72" i="23"/>
  <c r="BT71" i="23"/>
  <c r="BT70" i="23"/>
  <c r="BT69" i="23"/>
  <c r="BT68" i="23"/>
  <c r="BT67" i="23"/>
  <c r="BT66" i="23"/>
  <c r="BT65" i="23"/>
  <c r="BT64" i="23"/>
  <c r="BT63" i="23"/>
  <c r="BT62" i="23"/>
  <c r="BT61" i="23"/>
  <c r="BT60" i="23"/>
  <c r="BY59" i="23"/>
  <c r="BT59" i="23"/>
  <c r="CA58" i="23"/>
  <c r="BT58" i="23"/>
  <c r="BT57" i="23"/>
  <c r="BT56" i="23"/>
  <c r="BT55" i="23"/>
  <c r="BT54" i="23"/>
  <c r="BT53" i="23"/>
  <c r="BT52" i="23"/>
  <c r="BZ51" i="23"/>
  <c r="BT51" i="23"/>
  <c r="BY50" i="23"/>
  <c r="BT50" i="23"/>
  <c r="BY49" i="23"/>
  <c r="BT49" i="23"/>
  <c r="BT48" i="23"/>
  <c r="BY47" i="23"/>
  <c r="BT47" i="23"/>
  <c r="BY46" i="23"/>
  <c r="BT46" i="23"/>
  <c r="BA46" i="23"/>
  <c r="BY45" i="23"/>
  <c r="BT45" i="23"/>
  <c r="BT44" i="23"/>
  <c r="E44" i="23"/>
  <c r="F44" i="23" s="1"/>
  <c r="G44" i="23" s="1"/>
  <c r="H44" i="23" s="1"/>
  <c r="BT43" i="23"/>
  <c r="BT42" i="23"/>
  <c r="BT41" i="23"/>
  <c r="BT40" i="23"/>
  <c r="CA39" i="23"/>
  <c r="BT39" i="23"/>
  <c r="BT38" i="23"/>
  <c r="BT37" i="23"/>
  <c r="BT36" i="23"/>
  <c r="F36" i="23"/>
  <c r="BT35" i="23"/>
  <c r="BT34" i="23"/>
  <c r="BT33" i="23"/>
  <c r="BT32" i="23"/>
  <c r="BT31" i="23"/>
  <c r="BT30" i="23"/>
  <c r="BT29" i="23"/>
  <c r="BT28" i="23"/>
  <c r="BT27" i="23"/>
  <c r="BT26" i="23"/>
  <c r="BT25" i="23"/>
  <c r="BT24" i="23"/>
  <c r="BT23" i="23"/>
  <c r="BT22" i="23"/>
  <c r="BT21" i="23"/>
  <c r="BT20" i="23"/>
  <c r="BT19" i="23"/>
  <c r="BT18" i="23"/>
  <c r="BT17" i="23"/>
  <c r="BT16" i="23"/>
  <c r="BT15" i="23"/>
  <c r="BT14" i="23"/>
  <c r="BZ13" i="23"/>
  <c r="BT13" i="23"/>
  <c r="BT12" i="23"/>
  <c r="BT11" i="23"/>
  <c r="BT10" i="23"/>
  <c r="BT9" i="23"/>
  <c r="BY8" i="23"/>
  <c r="BT8" i="23"/>
  <c r="BY7" i="23"/>
  <c r="BT7" i="23"/>
  <c r="BT6" i="23"/>
  <c r="BZ5" i="23"/>
  <c r="BT5" i="23"/>
  <c r="A5" i="23"/>
  <c r="BZ4" i="23"/>
  <c r="BT4" i="23"/>
  <c r="A4" i="23"/>
  <c r="BZ3" i="23"/>
  <c r="BT3" i="23"/>
  <c r="F3" i="23"/>
  <c r="F5" i="23" s="1"/>
  <c r="BZ2" i="23"/>
  <c r="BT2" i="23"/>
  <c r="A33" i="3"/>
  <c r="A32" i="3"/>
  <c r="A31" i="3"/>
  <c r="A1" i="3"/>
  <c r="E41" i="3"/>
  <c r="E42" i="3" s="1"/>
  <c r="E43" i="3" s="1"/>
  <c r="E44" i="3" s="1"/>
  <c r="E45" i="3" s="1"/>
  <c r="E46" i="3" s="1"/>
  <c r="E47" i="3" s="1"/>
  <c r="E48" i="3" s="1"/>
  <c r="E49" i="3" s="1"/>
  <c r="E50" i="3" s="1"/>
  <c r="E51" i="3" s="1"/>
  <c r="E52" i="3" s="1"/>
  <c r="E53" i="3" s="1"/>
  <c r="E54" i="3" s="1"/>
  <c r="E55" i="3" s="1"/>
  <c r="E56" i="3" s="1"/>
  <c r="E57" i="3" s="1"/>
  <c r="E58" i="3" s="1"/>
  <c r="E59" i="3" s="1"/>
  <c r="E60" i="3" s="1"/>
  <c r="E61" i="3" s="1"/>
  <c r="E62" i="3" s="1"/>
  <c r="E63" i="3" s="1"/>
  <c r="E64" i="3" s="1"/>
  <c r="E65" i="3" s="1"/>
  <c r="E66" i="3" s="1"/>
  <c r="E67" i="3" s="1"/>
  <c r="E68" i="3" s="1"/>
  <c r="E69" i="3" s="1"/>
  <c r="E70" i="3" s="1"/>
  <c r="E71" i="3" s="1"/>
  <c r="E72" i="3" s="1"/>
  <c r="E73" i="3" s="1"/>
  <c r="E74" i="3" s="1"/>
  <c r="E75" i="3" s="1"/>
  <c r="E76" i="3" s="1"/>
  <c r="E77" i="3" s="1"/>
  <c r="E78" i="3" s="1"/>
  <c r="E79" i="3" s="1"/>
  <c r="E80" i="3" s="1"/>
  <c r="E81" i="3" s="1"/>
  <c r="E82" i="3" s="1"/>
  <c r="E83" i="3" s="1"/>
  <c r="E84" i="3" s="1"/>
  <c r="E85" i="3" s="1"/>
  <c r="E86" i="3" s="1"/>
  <c r="E87" i="3" s="1"/>
  <c r="E88" i="3" s="1"/>
  <c r="E89" i="3" s="1"/>
  <c r="E90" i="3" s="1"/>
  <c r="E91" i="3" s="1"/>
  <c r="E92" i="3" s="1"/>
  <c r="E93" i="3" s="1"/>
  <c r="E94" i="3" s="1"/>
  <c r="E95" i="3" s="1"/>
  <c r="E96" i="3" s="1"/>
  <c r="E97" i="3" s="1"/>
  <c r="E98" i="3" s="1"/>
  <c r="E99" i="3" s="1"/>
  <c r="E100" i="3" s="1"/>
  <c r="E101" i="3" s="1"/>
  <c r="E102" i="3" s="1"/>
  <c r="E103" i="3" s="1"/>
  <c r="E104" i="3" s="1"/>
  <c r="E105" i="3" s="1"/>
  <c r="E106" i="3" s="1"/>
  <c r="E107" i="3" s="1"/>
  <c r="E108" i="3" s="1"/>
  <c r="E109" i="3" s="1"/>
  <c r="E110" i="3" s="1"/>
  <c r="E111" i="3" s="1"/>
  <c r="E112" i="3" s="1"/>
  <c r="E113" i="3" s="1"/>
  <c r="E114" i="3" s="1"/>
  <c r="E115" i="3" s="1"/>
  <c r="E116" i="3" s="1"/>
  <c r="E117" i="3" s="1"/>
  <c r="E118" i="3" s="1"/>
  <c r="E119" i="3" s="1"/>
  <c r="E120" i="3" s="1"/>
  <c r="E121" i="3" s="1"/>
  <c r="E122" i="3" s="1"/>
  <c r="E123" i="3" s="1"/>
  <c r="E124" i="3" s="1"/>
  <c r="E125" i="3" s="1"/>
  <c r="E126" i="3" s="1"/>
  <c r="E127" i="3" s="1"/>
  <c r="A28" i="15"/>
  <c r="B5" i="14"/>
  <c r="B18" i="14" s="1"/>
  <c r="B17" i="14"/>
  <c r="A9" i="21"/>
  <c r="A8" i="21"/>
  <c r="A5" i="21"/>
  <c r="A4" i="21"/>
  <c r="BT67" i="12"/>
  <c r="G147" i="12"/>
  <c r="H147" i="12"/>
  <c r="I147" i="12"/>
  <c r="J147" i="12"/>
  <c r="K147" i="12"/>
  <c r="L147" i="12"/>
  <c r="M147" i="12"/>
  <c r="N147" i="12"/>
  <c r="O147" i="12"/>
  <c r="P147" i="12"/>
  <c r="Q147" i="12"/>
  <c r="R147" i="12"/>
  <c r="S147" i="12"/>
  <c r="T147" i="12"/>
  <c r="U147" i="12"/>
  <c r="V147" i="12"/>
  <c r="W147" i="12"/>
  <c r="X147" i="12"/>
  <c r="Y147" i="12"/>
  <c r="Z147" i="12"/>
  <c r="AA147" i="12"/>
  <c r="AB147" i="12"/>
  <c r="AC147" i="12"/>
  <c r="AD147" i="12"/>
  <c r="AE147" i="12"/>
  <c r="AF147" i="12"/>
  <c r="AG147" i="12"/>
  <c r="AH147" i="12"/>
  <c r="AI147" i="12"/>
  <c r="AJ147" i="12"/>
  <c r="AK147" i="12"/>
  <c r="AL147" i="12"/>
  <c r="AM147" i="12"/>
  <c r="AN147" i="12"/>
  <c r="AO147" i="12"/>
  <c r="AP147" i="12"/>
  <c r="AQ147" i="12"/>
  <c r="AR147" i="12"/>
  <c r="AS147" i="12"/>
  <c r="AT147" i="12"/>
  <c r="AU147" i="12"/>
  <c r="AV147" i="12"/>
  <c r="AW147" i="12"/>
  <c r="AX147" i="12"/>
  <c r="AY147" i="12"/>
  <c r="AZ147" i="12"/>
  <c r="BA147" i="12"/>
  <c r="F147" i="12"/>
  <c r="C89" i="12"/>
  <c r="C88" i="12"/>
  <c r="A34" i="18"/>
  <c r="B22" i="18" a="1"/>
  <c r="B22" i="18" s="1"/>
  <c r="A17" i="18"/>
  <c r="A16" i="18"/>
  <c r="A14" i="18"/>
  <c r="A13" i="18"/>
  <c r="A5" i="18"/>
  <c r="A4" i="18"/>
  <c r="AV13" i="11"/>
  <c r="AV10" i="11"/>
  <c r="AV4" i="11"/>
  <c r="BT149" i="12"/>
  <c r="BT148" i="12"/>
  <c r="BT147" i="12"/>
  <c r="BT146" i="12"/>
  <c r="BT145" i="12"/>
  <c r="BT144" i="12"/>
  <c r="BT143" i="12"/>
  <c r="BT142" i="12"/>
  <c r="BT141" i="12"/>
  <c r="BT140" i="12"/>
  <c r="BT139" i="12"/>
  <c r="BT133" i="12"/>
  <c r="BT132" i="12"/>
  <c r="BT131" i="12"/>
  <c r="BT130" i="12"/>
  <c r="BT129" i="12"/>
  <c r="BT128" i="12"/>
  <c r="BT127" i="12"/>
  <c r="BT126" i="12"/>
  <c r="BT125" i="12"/>
  <c r="BT124" i="12"/>
  <c r="BT123" i="12"/>
  <c r="BT122" i="12"/>
  <c r="BT121" i="12"/>
  <c r="BT120" i="12"/>
  <c r="BT119" i="12"/>
  <c r="BT118" i="12"/>
  <c r="BT117" i="12"/>
  <c r="BT116" i="12"/>
  <c r="BT115" i="12"/>
  <c r="BT114" i="12"/>
  <c r="BT113" i="12"/>
  <c r="BT112" i="12"/>
  <c r="BT111" i="12"/>
  <c r="BT110" i="12"/>
  <c r="BT109" i="12"/>
  <c r="BT108" i="12"/>
  <c r="BT107" i="12"/>
  <c r="BT106" i="12"/>
  <c r="BT105" i="12"/>
  <c r="BT104" i="12"/>
  <c r="BT81" i="12"/>
  <c r="BT80" i="12"/>
  <c r="BT79" i="12"/>
  <c r="BT78" i="12"/>
  <c r="BT77" i="12"/>
  <c r="BT76" i="12"/>
  <c r="BT75" i="12"/>
  <c r="BT74" i="12"/>
  <c r="BT73" i="12"/>
  <c r="BT72" i="12"/>
  <c r="BT71" i="12"/>
  <c r="BT70" i="12"/>
  <c r="BT69" i="12"/>
  <c r="BT68" i="12"/>
  <c r="BT66" i="12"/>
  <c r="BT65" i="12"/>
  <c r="BT64" i="12"/>
  <c r="BT63" i="12"/>
  <c r="BT62" i="12"/>
  <c r="BT61" i="12"/>
  <c r="BT60" i="12"/>
  <c r="BT59" i="12"/>
  <c r="BT58" i="12"/>
  <c r="BT57" i="12"/>
  <c r="BT56" i="12"/>
  <c r="BT55" i="12"/>
  <c r="BT54" i="12"/>
  <c r="BT53" i="12"/>
  <c r="BT52" i="12"/>
  <c r="BT51" i="12"/>
  <c r="BT50" i="12"/>
  <c r="BT49" i="12"/>
  <c r="BT48" i="12"/>
  <c r="BT47" i="12"/>
  <c r="BT46" i="12"/>
  <c r="BT45" i="12"/>
  <c r="BT44" i="12"/>
  <c r="BT43" i="12"/>
  <c r="BT42" i="12"/>
  <c r="BT41" i="12"/>
  <c r="BT40" i="12"/>
  <c r="BT39" i="12"/>
  <c r="BT38" i="12"/>
  <c r="BT37" i="12"/>
  <c r="BT36" i="12"/>
  <c r="BT35" i="12"/>
  <c r="BT34" i="12"/>
  <c r="BT33" i="12"/>
  <c r="BT32" i="12"/>
  <c r="BT31" i="12"/>
  <c r="BT30" i="12"/>
  <c r="BT29" i="12"/>
  <c r="BT28" i="12"/>
  <c r="BT27" i="12"/>
  <c r="BT26" i="12"/>
  <c r="BT25" i="12"/>
  <c r="BT24" i="12"/>
  <c r="BT23" i="12"/>
  <c r="BT22" i="12"/>
  <c r="BT21" i="12"/>
  <c r="BY59" i="12"/>
  <c r="CA58" i="12"/>
  <c r="BY7" i="12"/>
  <c r="BT9" i="12"/>
  <c r="BT10" i="12"/>
  <c r="BY8" i="12"/>
  <c r="BT8" i="12"/>
  <c r="BZ51" i="12"/>
  <c r="CA39" i="12"/>
  <c r="BY50" i="12"/>
  <c r="BY49" i="12"/>
  <c r="BY47" i="12"/>
  <c r="BY46" i="12"/>
  <c r="BY45" i="12"/>
  <c r="BT7" i="12"/>
  <c r="BT11" i="12"/>
  <c r="BT12" i="12"/>
  <c r="BT13" i="12"/>
  <c r="BT14" i="12"/>
  <c r="BT15" i="12"/>
  <c r="BT16" i="12"/>
  <c r="BT17" i="12"/>
  <c r="BT18" i="12"/>
  <c r="BT19" i="12"/>
  <c r="BT20" i="12"/>
  <c r="BY31" i="12"/>
  <c r="BY30" i="12"/>
  <c r="BZ13" i="12"/>
  <c r="BZ2" i="12"/>
  <c r="BZ4" i="12"/>
  <c r="BZ5" i="12"/>
  <c r="BZ3" i="12"/>
  <c r="BT4" i="12"/>
  <c r="BT5" i="12"/>
  <c r="BT6" i="12"/>
  <c r="J6" i="11"/>
  <c r="C50" i="10" a="1"/>
  <c r="C50" i="10" s="1"/>
  <c r="B12" i="14"/>
  <c r="I6" i="17"/>
  <c r="I5" i="17"/>
  <c r="B5" i="17"/>
  <c r="I4" i="17"/>
  <c r="K22" i="15"/>
  <c r="H22" i="15"/>
  <c r="E22" i="15"/>
  <c r="K17" i="15"/>
  <c r="H17" i="15"/>
  <c r="E17" i="15"/>
  <c r="B5" i="15"/>
  <c r="K4" i="15"/>
  <c r="B13" i="14"/>
  <c r="I6" i="13"/>
  <c r="I5" i="13"/>
  <c r="I4" i="13"/>
  <c r="B5" i="13"/>
  <c r="B71" i="24" a="1"/>
  <c r="CE39" i="12"/>
  <c r="CE20" i="23"/>
  <c r="AX7" i="11" a="1"/>
  <c r="F106" i="3" a="1"/>
  <c r="CE109" i="23"/>
  <c r="D66" i="24" a="1"/>
  <c r="CD139" i="24"/>
  <c r="CD112" i="24"/>
  <c r="CE25" i="12"/>
  <c r="CD137" i="24"/>
  <c r="CE14" i="24"/>
  <c r="G102" i="3" a="1"/>
  <c r="F79" i="3" a="1"/>
  <c r="CE23" i="12"/>
  <c r="CE113" i="24"/>
  <c r="F9" i="11" a="1"/>
  <c r="CD104" i="23"/>
  <c r="CE103" i="23"/>
  <c r="CD111" i="12"/>
  <c r="CE146" i="24"/>
  <c r="G76" i="3" a="1"/>
  <c r="F119" i="3" a="1"/>
  <c r="AW152" i="24" a="1"/>
  <c r="A21" i="23" a="1"/>
  <c r="CE3" i="12"/>
  <c r="B18" i="15" a="1"/>
  <c r="CD134" i="12"/>
  <c r="N6" i="11" a="1"/>
  <c r="G54" i="3" a="1"/>
  <c r="CE27" i="12"/>
  <c r="CE145" i="23"/>
  <c r="CD90" i="12"/>
  <c r="G48" i="3" a="1"/>
  <c r="CD82" i="24"/>
  <c r="AU152" i="12" a="1"/>
  <c r="CD146" i="12"/>
  <c r="CD128" i="12"/>
  <c r="L152" i="12" a="1"/>
  <c r="A116" i="24" a="1"/>
  <c r="CD101" i="12"/>
  <c r="CE129" i="23"/>
  <c r="AK152" i="24" a="1"/>
  <c r="CD94" i="24"/>
  <c r="CD148" i="24"/>
  <c r="CD132" i="12"/>
  <c r="J152" i="24" a="1"/>
  <c r="CE81" i="12"/>
  <c r="AX16" i="11" a="1"/>
  <c r="Z9" i="22" a="1"/>
  <c r="CD100" i="23"/>
  <c r="B116" i="24" a="1"/>
  <c r="CE115" i="12"/>
  <c r="F95" i="3" a="1"/>
  <c r="G72" i="3" a="1"/>
  <c r="V5" i="18" a="1"/>
  <c r="F111" i="3" a="1"/>
  <c r="CE150" i="12"/>
  <c r="CE105" i="12"/>
  <c r="F116" i="23" a="1"/>
  <c r="CD82" i="12"/>
  <c r="CE121" i="24"/>
  <c r="F126" i="3" a="1"/>
  <c r="AA152" i="24" a="1"/>
  <c r="AT152" i="24" a="1"/>
  <c r="F43" i="3" a="1"/>
  <c r="CE71" i="24"/>
  <c r="CE54" i="12"/>
  <c r="F125" i="3" a="1"/>
  <c r="F74" i="3" a="1"/>
  <c r="F72" i="3" a="1"/>
  <c r="CD149" i="23"/>
  <c r="CE29" i="23"/>
  <c r="CD137" i="12"/>
  <c r="CD103" i="12"/>
  <c r="CE50" i="12"/>
  <c r="Q152" i="12" a="1"/>
  <c r="AX9" i="11" a="1"/>
  <c r="CE10" i="12"/>
  <c r="AX13" i="11" a="1"/>
  <c r="CD121" i="23"/>
  <c r="CE6" i="23"/>
  <c r="CE4" i="12"/>
  <c r="CE130" i="24"/>
  <c r="CE87" i="12"/>
  <c r="E66" i="24" a="1"/>
  <c r="CD110" i="12"/>
  <c r="CD140" i="24"/>
  <c r="CE87" i="23"/>
  <c r="CE83" i="12"/>
  <c r="CE76" i="24"/>
  <c r="CE102" i="23"/>
  <c r="CD119" i="23"/>
  <c r="CE134" i="24"/>
  <c r="P152" i="12" a="1"/>
  <c r="CD127" i="23"/>
  <c r="CD103" i="24"/>
  <c r="CE42" i="23"/>
  <c r="CE120" i="12"/>
  <c r="F55" i="3" a="1"/>
  <c r="CE75" i="12"/>
  <c r="CE93" i="24"/>
  <c r="CE62" i="23"/>
  <c r="AO152" i="24" a="1"/>
  <c r="F116" i="3" a="1"/>
  <c r="AG152" i="24" a="1"/>
  <c r="AU152" i="24" a="1"/>
  <c r="CD108" i="23"/>
  <c r="T6" i="11" a="1"/>
  <c r="AR4" i="11" a="1"/>
  <c r="CE19" i="24"/>
  <c r="CD124" i="23"/>
  <c r="G116" i="3" a="1"/>
  <c r="CD154" i="24"/>
  <c r="CE124" i="24"/>
  <c r="CE110" i="12"/>
  <c r="CE70" i="24"/>
  <c r="G53" i="3" a="1"/>
  <c r="G124" i="3" a="1"/>
  <c r="CE139" i="23"/>
  <c r="G41" i="3" a="1"/>
  <c r="BA152" i="24" a="1"/>
  <c r="F118" i="3" a="1"/>
  <c r="CD98" i="24"/>
  <c r="CE41" i="24"/>
  <c r="CE48" i="24"/>
  <c r="CD136" i="24"/>
  <c r="G152" i="24" a="1"/>
  <c r="AK6" i="11" a="1"/>
  <c r="CE130" i="12"/>
  <c r="CE77" i="12"/>
  <c r="CE106" i="12"/>
  <c r="CE22" i="24"/>
  <c r="CE77" i="23"/>
  <c r="CD126" i="12"/>
  <c r="G119" i="3" a="1"/>
  <c r="CE31" i="24"/>
  <c r="CE123" i="24"/>
  <c r="CE152" i="12"/>
  <c r="CE58" i="23"/>
  <c r="G110" i="3" a="1"/>
  <c r="AT152" i="12" a="1"/>
  <c r="CE15" i="24"/>
  <c r="F152" i="24" a="1"/>
  <c r="AY152" i="12" a="1"/>
  <c r="CD83" i="12"/>
  <c r="CD141" i="12"/>
  <c r="AP152" i="23" a="1"/>
  <c r="CD86" i="23"/>
  <c r="CE121" i="12"/>
  <c r="CD83" i="24"/>
  <c r="CE97" i="12"/>
  <c r="CE49" i="24"/>
  <c r="CE90" i="12"/>
  <c r="F51" i="3" a="1"/>
  <c r="CE99" i="23"/>
  <c r="F97" i="3" a="1"/>
  <c r="AU152" i="23" a="1"/>
  <c r="CE32" i="12"/>
  <c r="CD113" i="24"/>
  <c r="AX152" i="24" a="1"/>
  <c r="CE133" i="12"/>
  <c r="CD139" i="23"/>
  <c r="CD127" i="12"/>
  <c r="AX14" i="11" a="1"/>
  <c r="CE30" i="23"/>
  <c r="CD114" i="12"/>
  <c r="CD120" i="12"/>
  <c r="A66" i="23" a="1"/>
  <c r="CD132" i="23"/>
  <c r="CE59" i="23"/>
  <c r="CE151" i="12"/>
  <c r="CD128" i="24"/>
  <c r="CE59" i="12"/>
  <c r="CD143" i="23"/>
  <c r="CE24" i="24"/>
  <c r="CE101" i="24"/>
  <c r="CE34" i="24"/>
  <c r="AV152" i="24" a="1"/>
  <c r="AF152" i="12" a="1"/>
  <c r="CE83" i="23"/>
  <c r="CE153" i="12"/>
  <c r="F48" i="3" a="1"/>
  <c r="CE134" i="23"/>
  <c r="CD149" i="12"/>
  <c r="CE27" i="23"/>
  <c r="G111" i="3" a="1"/>
  <c r="CE54" i="24"/>
  <c r="CD81" i="12"/>
  <c r="CD151" i="24"/>
  <c r="CD83" i="23"/>
  <c r="G107" i="3" a="1"/>
  <c r="CE47" i="24"/>
  <c r="CE120" i="24"/>
  <c r="F97" i="24" a="1"/>
  <c r="CD123" i="23"/>
  <c r="F116" i="24" a="1"/>
  <c r="F69" i="3" a="1"/>
  <c r="CD152" i="24"/>
  <c r="F21" i="23" a="1"/>
  <c r="CD147" i="24"/>
  <c r="AB152" i="24" a="1"/>
  <c r="CE46" i="23"/>
  <c r="CE37" i="23"/>
  <c r="W152" i="24" a="1"/>
  <c r="AB152" i="12" a="1"/>
  <c r="CD115" i="24"/>
  <c r="AK152" i="12" a="1"/>
  <c r="CD146" i="24"/>
  <c r="F50" i="3" a="1"/>
  <c r="G45" i="3" a="1"/>
  <c r="AA152" i="12" a="1"/>
  <c r="CE66" i="23"/>
  <c r="CD147" i="23"/>
  <c r="CE91" i="12"/>
  <c r="CE128" i="23"/>
  <c r="CE38" i="12"/>
  <c r="T152" i="24" a="1"/>
  <c r="P152" i="23" a="1"/>
  <c r="CE17" i="24"/>
  <c r="CE88" i="12"/>
  <c r="K152" i="24" a="1"/>
  <c r="D97" i="12" a="1"/>
  <c r="CD100" i="12"/>
  <c r="CE111" i="23"/>
  <c r="AY152" i="23" a="1"/>
  <c r="F88" i="3" a="1"/>
  <c r="D7" i="24" a="1"/>
  <c r="CE37" i="12"/>
  <c r="AD152" i="12" a="1"/>
  <c r="CE141" i="24"/>
  <c r="CE39" i="23"/>
  <c r="CE140" i="24"/>
  <c r="F120" i="3" a="1"/>
  <c r="CE67" i="24"/>
  <c r="CD90" i="23"/>
  <c r="CD135" i="12"/>
  <c r="CE92" i="12"/>
  <c r="CD103" i="23"/>
  <c r="AQ152" i="24" a="1"/>
  <c r="CE99" i="24"/>
  <c r="CE124" i="23"/>
  <c r="CD129" i="12"/>
  <c r="CE97" i="24"/>
  <c r="V152" i="24" a="1"/>
  <c r="CE16" i="12"/>
  <c r="CD153" i="24"/>
  <c r="CE136" i="24"/>
  <c r="CE90" i="23"/>
  <c r="G96" i="3" a="1"/>
  <c r="CE40" i="12"/>
  <c r="CD131" i="24"/>
  <c r="E47" i="23" a="1"/>
  <c r="G62" i="3" a="1"/>
  <c r="BA152" i="23" a="1"/>
  <c r="CE114" i="23"/>
  <c r="CD100" i="24"/>
  <c r="Y11" i="22" a="1"/>
  <c r="CD118" i="23"/>
  <c r="CD99" i="12"/>
  <c r="CE139" i="24"/>
  <c r="CE144" i="23"/>
  <c r="D21" i="23" a="1"/>
  <c r="CE68" i="23"/>
  <c r="CE125" i="12"/>
  <c r="F87" i="3" a="1"/>
  <c r="CE26" i="12"/>
  <c r="F63" i="3" a="1"/>
  <c r="CE146" i="23"/>
  <c r="CE94" i="23"/>
  <c r="CE131" i="12"/>
  <c r="B47" i="24" a="1"/>
  <c r="CE92" i="24"/>
  <c r="CE63" i="24"/>
  <c r="F122" i="3" a="1"/>
  <c r="CE148" i="24"/>
  <c r="CE152" i="23"/>
  <c r="F83" i="3" a="1"/>
  <c r="CE135" i="12"/>
  <c r="CD135" i="23"/>
  <c r="CE106" i="23"/>
  <c r="Y20" i="22" a="1"/>
  <c r="CE117" i="24"/>
  <c r="CD142" i="12"/>
  <c r="F127" i="3" a="1"/>
  <c r="CE137" i="23"/>
  <c r="N5" i="11" a="1"/>
  <c r="CD97" i="24"/>
  <c r="CE53" i="24"/>
  <c r="CE83" i="24"/>
  <c r="CD88" i="23"/>
  <c r="CE33" i="23"/>
  <c r="CE138" i="12"/>
  <c r="CE51" i="24"/>
  <c r="CE84" i="23"/>
  <c r="CD92" i="12"/>
  <c r="CD86" i="12"/>
  <c r="CE136" i="12"/>
  <c r="G80" i="3" a="1"/>
  <c r="G52" i="3" a="1"/>
  <c r="CD109" i="12"/>
  <c r="G113" i="3" a="1"/>
  <c r="H152" i="23" a="1"/>
  <c r="CE70" i="23"/>
  <c r="CE69" i="23"/>
  <c r="AW152" i="23" a="1"/>
  <c r="CD150" i="23"/>
  <c r="CE22" i="23"/>
  <c r="CE95" i="12"/>
  <c r="CD92" i="23"/>
  <c r="G58" i="3" a="1"/>
  <c r="CE149" i="12"/>
  <c r="AR13" i="11" a="1"/>
  <c r="CD142" i="23"/>
  <c r="CE13" i="12"/>
  <c r="CE73" i="24"/>
  <c r="CE103" i="12"/>
  <c r="CE115" i="23"/>
  <c r="CE35" i="12"/>
  <c r="D47" i="23" a="1"/>
  <c r="CD98" i="12"/>
  <c r="CE36" i="24"/>
  <c r="CE45" i="12"/>
  <c r="AY152" i="24" a="1"/>
  <c r="F7" i="24" a="1"/>
  <c r="G112" i="3" a="1"/>
  <c r="CE23" i="24"/>
  <c r="CD133" i="24"/>
  <c r="CD142" i="24"/>
  <c r="G126" i="3" a="1"/>
  <c r="AK5" i="11" a="1"/>
  <c r="CE98" i="12"/>
  <c r="CE6" i="12"/>
  <c r="F66" i="3" a="1"/>
  <c r="E71" i="24" a="1"/>
  <c r="CD124" i="12"/>
  <c r="AV152" i="23" a="1"/>
  <c r="CE140" i="23"/>
  <c r="CD151" i="12"/>
  <c r="CE46" i="12"/>
  <c r="CE57" i="23"/>
  <c r="AK152" i="23" a="1"/>
  <c r="CE150" i="23"/>
  <c r="CE71" i="23"/>
  <c r="CE11" i="24"/>
  <c r="CD88" i="24"/>
  <c r="G55" i="3" a="1"/>
  <c r="CE72" i="12"/>
  <c r="CD119" i="24"/>
  <c r="CD87" i="23"/>
  <c r="CE25" i="24"/>
  <c r="D47" i="24" a="1"/>
  <c r="CE76" i="12"/>
  <c r="CD99" i="23"/>
  <c r="CE142" i="24"/>
  <c r="CE70" i="12"/>
  <c r="CD101" i="23"/>
  <c r="CE112" i="23"/>
  <c r="G103" i="3" a="1"/>
  <c r="AE152" i="24" a="1"/>
  <c r="G66" i="3" a="1"/>
  <c r="CE9" i="24"/>
  <c r="CE42" i="24"/>
  <c r="F44" i="3" a="1"/>
  <c r="AR8" i="11" a="1"/>
  <c r="CD96" i="12"/>
  <c r="V4" i="18" a="1"/>
  <c r="CD87" i="12"/>
  <c r="CD89" i="23"/>
  <c r="CE31" i="12"/>
  <c r="CE154" i="24"/>
  <c r="F76" i="3" a="1"/>
  <c r="Y152" i="23" a="1"/>
  <c r="G109" i="3" a="1"/>
  <c r="CE5" i="23"/>
  <c r="CD154" i="12"/>
  <c r="CD153" i="12"/>
  <c r="CE113" i="12"/>
  <c r="CD144" i="12"/>
  <c r="CE60" i="23"/>
  <c r="B47" i="23" a="1"/>
  <c r="CE147" i="23"/>
  <c r="AD152" i="23" a="1"/>
  <c r="CD154" i="23"/>
  <c r="CD150" i="24"/>
  <c r="B10" i="18" a="1"/>
  <c r="CE138" i="24"/>
  <c r="AX4" i="11" a="1"/>
  <c r="CE42" i="12"/>
  <c r="CE78" i="24"/>
  <c r="CD85" i="23"/>
  <c r="CD109" i="24"/>
  <c r="CE116" i="23"/>
  <c r="CD150" i="12"/>
  <c r="CD119" i="12"/>
  <c r="CE21" i="23"/>
  <c r="CE98" i="24"/>
  <c r="CE27" i="24"/>
  <c r="AC3" i="11" a="1"/>
  <c r="F84" i="3" a="1"/>
  <c r="CD141" i="24"/>
  <c r="T7" i="11" a="1"/>
  <c r="Y21" i="22" a="1"/>
  <c r="X152" i="23" a="1"/>
  <c r="B116" i="23" a="1"/>
  <c r="CE16" i="23"/>
  <c r="A97" i="12" a="1"/>
  <c r="AG152" i="12" a="1"/>
  <c r="M152" i="24" a="1"/>
  <c r="CE50" i="24"/>
  <c r="CE41" i="12"/>
  <c r="CE115" i="24"/>
  <c r="Y12" i="22" a="1"/>
  <c r="D97" i="23" a="1"/>
  <c r="AD152" i="24" a="1"/>
  <c r="F62" i="3" a="1"/>
  <c r="CD128" i="23"/>
  <c r="CE43" i="24"/>
  <c r="F121" i="3" a="1"/>
  <c r="CE23" i="23"/>
  <c r="CE104" i="12"/>
  <c r="G51" i="3" a="1"/>
  <c r="CE12" i="23"/>
  <c r="CE58" i="12"/>
  <c r="CE112" i="12"/>
  <c r="CE9" i="23"/>
  <c r="AZ152" i="24" a="1"/>
  <c r="CE96" i="24"/>
  <c r="CE93" i="23"/>
  <c r="F59" i="3" a="1"/>
  <c r="CD94" i="12"/>
  <c r="G57" i="3" a="1"/>
  <c r="G59" i="3" a="1"/>
  <c r="AK7" i="11" a="1"/>
  <c r="CE48" i="23"/>
  <c r="AR11" i="11" a="1"/>
  <c r="F152" i="23" a="1"/>
  <c r="AS152" i="24" a="1"/>
  <c r="CE87" i="24"/>
  <c r="CE90" i="24"/>
  <c r="CE13" i="23"/>
  <c r="CE38" i="23"/>
  <c r="G99" i="3" a="1"/>
  <c r="F109" i="3" a="1"/>
  <c r="CE105" i="23"/>
  <c r="CE104" i="24"/>
  <c r="F67" i="3" a="1"/>
  <c r="B6" i="17" a="1"/>
  <c r="CD135" i="24"/>
  <c r="CD90" i="24"/>
  <c r="AR5" i="11" a="1"/>
  <c r="F56" i="3" a="1"/>
  <c r="F47" i="3" a="1"/>
  <c r="O152" i="12" a="1"/>
  <c r="G82" i="3" a="1"/>
  <c r="F104" i="3" a="1"/>
  <c r="CD105" i="24"/>
  <c r="CE5" i="24"/>
  <c r="CD112" i="23"/>
  <c r="CE57" i="24"/>
  <c r="CE67" i="12"/>
  <c r="CD97" i="12"/>
  <c r="CE88" i="23"/>
  <c r="F52" i="3" a="1"/>
  <c r="CE123" i="23"/>
  <c r="Q152" i="24" a="1"/>
  <c r="CE64" i="12"/>
  <c r="CE11" i="23"/>
  <c r="CD153" i="23"/>
  <c r="AV152" i="12" a="1"/>
  <c r="CD144" i="23"/>
  <c r="CE85" i="12"/>
  <c r="G79" i="3" a="1"/>
  <c r="CE124" i="12"/>
  <c r="Y152" i="24" a="1"/>
  <c r="H152" i="24" a="1"/>
  <c r="G108" i="3" a="1"/>
  <c r="U152" i="12" a="1"/>
  <c r="I152" i="12" a="1"/>
  <c r="CE142" i="23"/>
  <c r="CE147" i="12"/>
  <c r="CE137" i="12"/>
  <c r="CD137" i="23"/>
  <c r="CE73" i="23"/>
  <c r="AM152" i="24" a="1"/>
  <c r="CE75" i="24"/>
  <c r="CE103" i="24"/>
  <c r="CE15" i="12"/>
  <c r="CE19" i="12"/>
  <c r="CE117" i="12"/>
  <c r="S152" i="24" a="1"/>
  <c r="F115" i="3" a="1"/>
  <c r="CE109" i="24"/>
  <c r="CE47" i="12"/>
  <c r="AJ152" i="24" a="1"/>
  <c r="CE20" i="12"/>
  <c r="CD143" i="24"/>
  <c r="CE130" i="23"/>
  <c r="CD133" i="23"/>
  <c r="B21" i="23" a="1"/>
  <c r="V152" i="12" a="1"/>
  <c r="CE49" i="23"/>
  <c r="CE140" i="12"/>
  <c r="CE74" i="23"/>
  <c r="CE79" i="24"/>
  <c r="CE95" i="23"/>
  <c r="CE30" i="12"/>
  <c r="CD115" i="12"/>
  <c r="CD84" i="24"/>
  <c r="F103" i="3" a="1"/>
  <c r="CE6" i="24"/>
  <c r="CE25" i="23"/>
  <c r="CE46" i="24"/>
  <c r="I152" i="23" a="1"/>
  <c r="F54" i="3" a="1"/>
  <c r="CD120" i="24"/>
  <c r="CE132" i="24"/>
  <c r="CE62" i="12"/>
  <c r="CE133" i="23"/>
  <c r="CE100" i="23"/>
  <c r="CE119" i="24"/>
  <c r="F75" i="3" a="1"/>
  <c r="CE52" i="12"/>
  <c r="F113" i="3" a="1"/>
  <c r="F92" i="3" a="1"/>
  <c r="CE128" i="12"/>
  <c r="D7" i="23" a="1"/>
  <c r="CE67" i="23"/>
  <c r="CD114" i="23"/>
  <c r="CE110" i="24"/>
  <c r="F97" i="23" a="1"/>
  <c r="CE96" i="23"/>
  <c r="CE119" i="23"/>
  <c r="CE55" i="23"/>
  <c r="AR10" i="11" a="1"/>
  <c r="CE114" i="24"/>
  <c r="CE122" i="23"/>
  <c r="CE61" i="23"/>
  <c r="L152" i="23" a="1"/>
  <c r="CE20" i="24"/>
  <c r="AC152" i="23" a="1"/>
  <c r="AS152" i="23" a="1"/>
  <c r="G93" i="3" a="1"/>
  <c r="R152" i="24" a="1"/>
  <c r="CE63" i="23"/>
  <c r="AT152" i="23" a="1"/>
  <c r="CE114" i="12"/>
  <c r="G105" i="3" a="1"/>
  <c r="G117" i="3" a="1"/>
  <c r="CE126" i="23"/>
  <c r="CD117" i="24"/>
  <c r="G86" i="3" a="1"/>
  <c r="CE85" i="24"/>
  <c r="CE64" i="23"/>
  <c r="CE151" i="24"/>
  <c r="CD108" i="24"/>
  <c r="CD106" i="23"/>
  <c r="CE149" i="24"/>
  <c r="B7" i="24" a="1"/>
  <c r="W152" i="12" a="1"/>
  <c r="CD107" i="23"/>
  <c r="CE153" i="23"/>
  <c r="R152" i="23" a="1"/>
  <c r="CE108" i="12"/>
  <c r="F117" i="3" a="1"/>
  <c r="B97" i="23" a="1"/>
  <c r="F82" i="3" a="1"/>
  <c r="CD94" i="23"/>
  <c r="CE138" i="23"/>
  <c r="T5" i="11" a="1"/>
  <c r="CE116" i="12"/>
  <c r="CE127" i="23"/>
  <c r="G121" i="3" a="1"/>
  <c r="O152" i="23" a="1"/>
  <c r="CE44" i="24"/>
  <c r="A7" i="24" a="1"/>
  <c r="CD145" i="12"/>
  <c r="B6" i="13" a="1"/>
  <c r="AE152" i="23" a="1"/>
  <c r="F41" i="3" a="1"/>
  <c r="CE136" i="23"/>
  <c r="F85" i="3" a="1"/>
  <c r="CE108" i="23"/>
  <c r="CD102" i="24"/>
  <c r="F81" i="3" a="1"/>
  <c r="CD134" i="24"/>
  <c r="CD122" i="12"/>
  <c r="G106" i="3" a="1"/>
  <c r="CE95" i="24"/>
  <c r="CE80" i="12"/>
  <c r="CD116" i="24"/>
  <c r="D21" i="24" a="1"/>
  <c r="G95" i="3" a="1"/>
  <c r="M152" i="12" a="1"/>
  <c r="CD84" i="23"/>
  <c r="CD109" i="23"/>
  <c r="CD102" i="23"/>
  <c r="CD147" i="12"/>
  <c r="CD123" i="12"/>
  <c r="CE15" i="23"/>
  <c r="CE84" i="12"/>
  <c r="AN152" i="24" a="1"/>
  <c r="B97" i="12" a="1"/>
  <c r="CE82" i="24"/>
  <c r="CE48" i="12"/>
  <c r="AJ152" i="12" a="1"/>
  <c r="CE68" i="12"/>
  <c r="G68" i="3" a="1"/>
  <c r="AB152" i="23" a="1"/>
  <c r="D71" i="24" a="1"/>
  <c r="AL152" i="24" a="1"/>
  <c r="A116" i="23" a="1"/>
  <c r="CE34" i="23"/>
  <c r="CD130" i="12"/>
  <c r="CD115" i="23"/>
  <c r="CE123" i="12"/>
  <c r="CD81" i="24"/>
  <c r="CE141" i="12"/>
  <c r="CE153" i="24"/>
  <c r="F80" i="3" a="1"/>
  <c r="CE60" i="24"/>
  <c r="F91" i="3" a="1"/>
  <c r="CE142" i="12"/>
  <c r="F78" i="3" a="1"/>
  <c r="F7" i="23" a="1"/>
  <c r="G118" i="3" a="1"/>
  <c r="CE53" i="23"/>
  <c r="G70" i="3" a="1"/>
  <c r="CE34" i="12"/>
  <c r="CD141" i="23"/>
  <c r="CD107" i="12"/>
  <c r="CD85" i="12"/>
  <c r="CE86" i="23"/>
  <c r="AH152" i="23" a="1"/>
  <c r="CE122" i="12"/>
  <c r="G91" i="3" a="1"/>
  <c r="CE85" i="23"/>
  <c r="CD122" i="23"/>
  <c r="AX3" i="11" a="1"/>
  <c r="CE75" i="23"/>
  <c r="CE107" i="23"/>
  <c r="G84" i="3" a="1"/>
  <c r="CE8" i="12"/>
  <c r="CE78" i="23"/>
  <c r="CE133" i="24"/>
  <c r="CD136" i="12"/>
  <c r="G69" i="3" a="1"/>
  <c r="CE86" i="24"/>
  <c r="T8" i="11" a="1"/>
  <c r="G42" i="3" a="1"/>
  <c r="CD106" i="24"/>
  <c r="G115" i="3" a="1"/>
  <c r="U152" i="23" a="1"/>
  <c r="CD124" i="24"/>
  <c r="G90" i="3" a="1"/>
  <c r="CE31" i="23"/>
  <c r="CE3" i="23"/>
  <c r="CE35" i="23"/>
  <c r="CE28" i="23"/>
  <c r="Z18" i="22" a="1"/>
  <c r="CE24" i="23"/>
  <c r="B66" i="24" a="1"/>
  <c r="CD116" i="23"/>
  <c r="Y152" i="12" a="1"/>
  <c r="CE77" i="24"/>
  <c r="F112" i="3" a="1"/>
  <c r="CE84" i="24"/>
  <c r="CD139" i="12"/>
  <c r="CD93" i="12"/>
  <c r="B23" i="15" a="1"/>
  <c r="F53" i="3" a="1"/>
  <c r="F123" i="3" a="1"/>
  <c r="CE7" i="24"/>
  <c r="AG152" i="23" a="1"/>
  <c r="CD136" i="23"/>
  <c r="CD102" i="12"/>
  <c r="F94" i="3" a="1"/>
  <c r="CE145" i="12"/>
  <c r="F105" i="3" a="1"/>
  <c r="CE50" i="23"/>
  <c r="CD104" i="12"/>
  <c r="CE69" i="24"/>
  <c r="BA152" i="12" a="1"/>
  <c r="AZ152" i="23" a="1"/>
  <c r="CE39" i="24"/>
  <c r="AR14" i="11" a="1"/>
  <c r="CE24" i="12"/>
  <c r="CE51" i="12"/>
  <c r="CE80" i="24"/>
  <c r="CE78" i="12"/>
  <c r="F45" i="3" a="1"/>
  <c r="G152" i="12" a="1"/>
  <c r="CD123" i="24"/>
  <c r="G71" i="3" a="1"/>
  <c r="CE35" i="24"/>
  <c r="AA152" i="23" a="1"/>
  <c r="CE92" i="23"/>
  <c r="F108" i="3" a="1"/>
  <c r="CD129" i="24"/>
  <c r="G61" i="3" a="1"/>
  <c r="CE63" i="12"/>
  <c r="G125" i="3" a="1"/>
  <c r="CE108" i="24"/>
  <c r="CD149" i="24"/>
  <c r="L152" i="24" a="1"/>
  <c r="CE65" i="24"/>
  <c r="A71" i="23" a="1"/>
  <c r="CD118" i="12"/>
  <c r="CE68" i="24"/>
  <c r="AI152" i="12" a="1"/>
  <c r="CE47" i="23"/>
  <c r="CE116" i="24"/>
  <c r="CD95" i="12"/>
  <c r="CE40" i="24"/>
  <c r="CE33" i="12"/>
  <c r="S152" i="23" a="1"/>
  <c r="F110" i="3" a="1"/>
  <c r="F46" i="3" a="1"/>
  <c r="N152" i="12" a="1"/>
  <c r="Q152" i="23" a="1"/>
  <c r="N4" i="11" a="1"/>
  <c r="CD91" i="23"/>
  <c r="CE89" i="23"/>
  <c r="F99" i="3" a="1"/>
  <c r="F89" i="3" a="1"/>
  <c r="CE8" i="24"/>
  <c r="CD113" i="23"/>
  <c r="CD116" i="12"/>
  <c r="CE43" i="23"/>
  <c r="CD85" i="24"/>
  <c r="AO152" i="12" a="1"/>
  <c r="AX152" i="12" a="1"/>
  <c r="CE111" i="24"/>
  <c r="AQ152" i="23" a="1"/>
  <c r="CE3" i="24"/>
  <c r="AH152" i="24" a="1"/>
  <c r="CE38" i="24"/>
  <c r="G104" i="3" a="1"/>
  <c r="CE120" i="23"/>
  <c r="CE56" i="23"/>
  <c r="CE94" i="24"/>
  <c r="CE106" i="24"/>
  <c r="CE18" i="24"/>
  <c r="F60" i="3" a="1"/>
  <c r="F70" i="3" a="1"/>
  <c r="F97" i="12" a="1"/>
  <c r="Z5" i="21" a="1"/>
  <c r="CD130" i="23"/>
  <c r="CE126" i="24"/>
  <c r="AP152" i="24" a="1"/>
  <c r="CE105" i="24"/>
  <c r="CE119" i="12"/>
  <c r="F100" i="3" a="1"/>
  <c r="CD86" i="24"/>
  <c r="F77" i="3" a="1"/>
  <c r="CE61" i="12"/>
  <c r="CE101" i="23"/>
  <c r="CE12" i="12"/>
  <c r="CE18" i="12"/>
  <c r="CE21" i="12"/>
  <c r="CE72" i="24"/>
  <c r="CD96" i="23"/>
  <c r="B13" i="15" a="1"/>
  <c r="CD152" i="23"/>
  <c r="CE118" i="24"/>
  <c r="CE107" i="24"/>
  <c r="F107" i="3" a="1"/>
  <c r="F98" i="3" a="1"/>
  <c r="AJ152" i="23" a="1"/>
  <c r="G98" i="3" a="1"/>
  <c r="AX5" i="11" a="1"/>
  <c r="CE10" i="23"/>
  <c r="CE52" i="23"/>
  <c r="CD117" i="23"/>
  <c r="G101" i="3" a="1"/>
  <c r="F64" i="3" a="1"/>
  <c r="AR15" i="11" a="1"/>
  <c r="CE16" i="24"/>
  <c r="AC152" i="12" a="1"/>
  <c r="CE7" i="23"/>
  <c r="CE57" i="12"/>
  <c r="CE26" i="23"/>
  <c r="CE143" i="12"/>
  <c r="CD134" i="23"/>
  <c r="CE127" i="12"/>
  <c r="CE86" i="12"/>
  <c r="AO152" i="23" a="1"/>
  <c r="G50" i="3" a="1"/>
  <c r="N152" i="24" a="1"/>
  <c r="F101" i="3" a="1"/>
  <c r="F71" i="3" a="1"/>
  <c r="CE121" i="23"/>
  <c r="CE66" i="24"/>
  <c r="CE60" i="12"/>
  <c r="CD99" i="24"/>
  <c r="CE141" i="23"/>
  <c r="CE11" i="12"/>
  <c r="R152" i="12" a="1"/>
  <c r="F93" i="3" a="1"/>
  <c r="G64" i="3" a="1"/>
  <c r="A97" i="23" a="1"/>
  <c r="CD125" i="12"/>
  <c r="CD125" i="23"/>
  <c r="CE109" i="12"/>
  <c r="CE143" i="24"/>
  <c r="CE14" i="12"/>
  <c r="G89" i="3" a="1"/>
  <c r="G100" i="3" a="1"/>
  <c r="A66" i="24" a="1"/>
  <c r="G97" i="3" a="1"/>
  <c r="CE17" i="23"/>
  <c r="V152" i="23" a="1"/>
  <c r="CE127" i="24"/>
  <c r="G94" i="3" a="1"/>
  <c r="CD138" i="23"/>
  <c r="G46" i="3" a="1"/>
  <c r="CE88" i="24"/>
  <c r="G65" i="3" a="1"/>
  <c r="AH152" i="12" a="1"/>
  <c r="G81" i="3" a="1"/>
  <c r="AQ152" i="12" a="1"/>
  <c r="CE55" i="24"/>
  <c r="CD138" i="24"/>
  <c r="CD105" i="23"/>
  <c r="CD89" i="24"/>
  <c r="CE44" i="23"/>
  <c r="CD106" i="12"/>
  <c r="F58" i="3" a="1"/>
  <c r="CD145" i="24"/>
  <c r="CE107" i="12"/>
  <c r="CE148" i="23"/>
  <c r="T9" i="11" a="1"/>
  <c r="CD81" i="23"/>
  <c r="F102" i="3" a="1"/>
  <c r="F114" i="3" a="1"/>
  <c r="G47" i="3" a="1"/>
  <c r="CE10" i="24"/>
  <c r="CD82" i="23"/>
  <c r="G75" i="3" a="1"/>
  <c r="AN152" i="23" a="1"/>
  <c r="AR152" i="24" a="1"/>
  <c r="CE14" i="23"/>
  <c r="T152" i="23" a="1"/>
  <c r="CE102" i="24"/>
  <c r="A7" i="23" a="1"/>
  <c r="F73" i="3" a="1"/>
  <c r="CD144" i="24"/>
  <c r="D71" i="23" a="1"/>
  <c r="AR152" i="12" a="1"/>
  <c r="CE56" i="24"/>
  <c r="CE96" i="12"/>
  <c r="B21" i="24" a="1"/>
  <c r="G43" i="3" a="1"/>
  <c r="CE135" i="23"/>
  <c r="CE2" i="12"/>
  <c r="W152" i="23" a="1"/>
  <c r="F57" i="3" a="1"/>
  <c r="CE89" i="12"/>
  <c r="CE118" i="12"/>
  <c r="AR12" i="11" a="1"/>
  <c r="AE152" i="12" a="1"/>
  <c r="F152" i="12" a="1"/>
  <c r="AS152" i="12" a="1"/>
  <c r="E47" i="24" a="1"/>
  <c r="CD84" i="12"/>
  <c r="CE134" i="12"/>
  <c r="S152" i="12" a="1"/>
  <c r="H152" i="12" a="1"/>
  <c r="F10" i="11" a="1"/>
  <c r="K152" i="12" a="1"/>
  <c r="CE79" i="23"/>
  <c r="CD118" i="24"/>
  <c r="CD143" i="12"/>
  <c r="CE2" i="24"/>
  <c r="G44" i="3" a="1"/>
  <c r="Y19" i="22" a="1"/>
  <c r="CE21" i="24"/>
  <c r="G123" i="3" a="1"/>
  <c r="E71" i="23" a="1"/>
  <c r="CE93" i="12"/>
  <c r="E66" i="23" a="1"/>
  <c r="CE54" i="23"/>
  <c r="CD148" i="12"/>
  <c r="CE26" i="24"/>
  <c r="CE66" i="12"/>
  <c r="F21" i="24" a="1"/>
  <c r="CE71" i="12"/>
  <c r="CE81" i="23"/>
  <c r="CD131" i="23"/>
  <c r="G74" i="3" a="1"/>
  <c r="CD104" i="24"/>
  <c r="CE137" i="24"/>
  <c r="CD95" i="23"/>
  <c r="CE131" i="23"/>
  <c r="CD138" i="12"/>
  <c r="CE64" i="24"/>
  <c r="CE51" i="23"/>
  <c r="AX152" i="23" a="1"/>
  <c r="CE62" i="24"/>
  <c r="CE79" i="12"/>
  <c r="CD113" i="12"/>
  <c r="G85" i="3" a="1"/>
  <c r="CD117" i="12"/>
  <c r="CE4" i="23"/>
  <c r="CD114" i="24"/>
  <c r="CD120" i="23"/>
  <c r="CE126" i="12"/>
  <c r="AN152" i="12" a="1"/>
  <c r="CE117" i="23"/>
  <c r="F49" i="3" a="1"/>
  <c r="CE111" i="12"/>
  <c r="CD110" i="23"/>
  <c r="CE80" i="23"/>
  <c r="AL152" i="12" a="1"/>
  <c r="A21" i="24" a="1"/>
  <c r="CE40" i="23"/>
  <c r="G127" i="3" a="1"/>
  <c r="CE53" i="12"/>
  <c r="AF152" i="23" a="1"/>
  <c r="CD95" i="24"/>
  <c r="CE76" i="23"/>
  <c r="CD121" i="24"/>
  <c r="CE52" i="24"/>
  <c r="F96" i="3" a="1"/>
  <c r="G60" i="3" a="1"/>
  <c r="CE113" i="23"/>
  <c r="CE101" i="12"/>
  <c r="CD140" i="23"/>
  <c r="CD152" i="12"/>
  <c r="CE125" i="23"/>
  <c r="CD93" i="23"/>
  <c r="CE73" i="12"/>
  <c r="CD129" i="23"/>
  <c r="CE19" i="23"/>
  <c r="N152" i="23" a="1"/>
  <c r="D97" i="24" a="1"/>
  <c r="J152" i="12" a="1"/>
  <c r="F90" i="3" a="1"/>
  <c r="Z152" i="23" a="1"/>
  <c r="AI152" i="24" a="1"/>
  <c r="CE98" i="23"/>
  <c r="CD91" i="12"/>
  <c r="G77" i="3" a="1"/>
  <c r="CE59" i="24"/>
  <c r="CE36" i="23"/>
  <c r="CE56" i="12"/>
  <c r="CD111" i="23"/>
  <c r="CD108" i="12"/>
  <c r="CE74" i="24"/>
  <c r="AR7" i="11" a="1"/>
  <c r="CE97" i="23"/>
  <c r="CE61" i="24"/>
  <c r="CD105" i="12"/>
  <c r="CE144" i="24"/>
  <c r="Z152" i="12" a="1"/>
  <c r="CD111" i="24"/>
  <c r="CE4" i="24"/>
  <c r="CE122" i="24"/>
  <c r="CE32" i="23"/>
  <c r="G78" i="3" a="1"/>
  <c r="AX6" i="11" a="1"/>
  <c r="CE55" i="12"/>
  <c r="G92" i="3" a="1"/>
  <c r="CE89" i="24"/>
  <c r="CD88" i="12"/>
  <c r="G83" i="3" a="1"/>
  <c r="AZ152" i="12" a="1"/>
  <c r="CE125" i="24"/>
  <c r="CE43" i="12"/>
  <c r="CD148" i="23"/>
  <c r="A47" i="24" a="1"/>
  <c r="CE100" i="12"/>
  <c r="CE132" i="12"/>
  <c r="CD87" i="24"/>
  <c r="CD132" i="24"/>
  <c r="AX12" i="11" a="1"/>
  <c r="K152" i="23" a="1"/>
  <c r="F124" i="3" a="1"/>
  <c r="CD97" i="23"/>
  <c r="CE151" i="23"/>
  <c r="CD93" i="24"/>
  <c r="CE128" i="24"/>
  <c r="CD126" i="24"/>
  <c r="CE81" i="24"/>
  <c r="CE104" i="23"/>
  <c r="I152" i="24" a="1"/>
  <c r="CD131" i="12"/>
  <c r="CE18" i="23"/>
  <c r="CE33" i="24"/>
  <c r="CE28" i="12"/>
  <c r="U152" i="24" a="1"/>
  <c r="CE154" i="23"/>
  <c r="CE36" i="12"/>
  <c r="CE146" i="12"/>
  <c r="CE58" i="24"/>
  <c r="CE110" i="23"/>
  <c r="CE32" i="24"/>
  <c r="CE82" i="12"/>
  <c r="CE9" i="12"/>
  <c r="A71" i="24" a="1"/>
  <c r="AM152" i="12" a="1"/>
  <c r="CD107" i="24"/>
  <c r="F4" i="11" a="1"/>
  <c r="AX8" i="11" a="1"/>
  <c r="B66" i="23" a="1"/>
  <c r="CE7" i="12"/>
  <c r="CD133" i="12"/>
  <c r="F8" i="21" a="1"/>
  <c r="CD130" i="24"/>
  <c r="CE144" i="12"/>
  <c r="CE129" i="24"/>
  <c r="CE12" i="24"/>
  <c r="CE41" i="23"/>
  <c r="CE82" i="23"/>
  <c r="CD140" i="12"/>
  <c r="CE5" i="12"/>
  <c r="CD151" i="23"/>
  <c r="CE65" i="12"/>
  <c r="CE2" i="23"/>
  <c r="G152" i="23" a="1"/>
  <c r="CE74" i="12"/>
  <c r="G88" i="3" a="1"/>
  <c r="CE30" i="24"/>
  <c r="CE112" i="24"/>
  <c r="CE99" i="12"/>
  <c r="CE91" i="23"/>
  <c r="CE72" i="23"/>
  <c r="CE102" i="12"/>
  <c r="D66" i="23" a="1"/>
  <c r="G122" i="3" a="1"/>
  <c r="CE131" i="24"/>
  <c r="CE143" i="23"/>
  <c r="CE91" i="24"/>
  <c r="CD96" i="24"/>
  <c r="CE8" i="23"/>
  <c r="A97" i="24" a="1"/>
  <c r="AX10" i="11" a="1"/>
  <c r="AR152" i="23" a="1"/>
  <c r="CD127" i="24"/>
  <c r="G87" i="3" a="1"/>
  <c r="CE129" i="12"/>
  <c r="G67" i="3" a="1"/>
  <c r="G49" i="3" a="1"/>
  <c r="CE150" i="24"/>
  <c r="CE100" i="24"/>
  <c r="CE132" i="23"/>
  <c r="CD121" i="12"/>
  <c r="G114" i="3" a="1"/>
  <c r="CD92" i="24"/>
  <c r="AR6" i="11" a="1"/>
  <c r="CE44" i="12"/>
  <c r="CE17" i="12"/>
  <c r="AP152" i="12" a="1"/>
  <c r="M152" i="23" a="1"/>
  <c r="F61" i="3" a="1"/>
  <c r="CD126" i="23"/>
  <c r="G56" i="3" a="1"/>
  <c r="CE69" i="12"/>
  <c r="Z4" i="21" a="1"/>
  <c r="CD122" i="24"/>
  <c r="CE29" i="24"/>
  <c r="CE147" i="24"/>
  <c r="X152" i="12" a="1"/>
  <c r="CE145" i="24"/>
  <c r="AW152" i="12" a="1"/>
  <c r="CD145" i="23"/>
  <c r="CE45" i="24"/>
  <c r="T152" i="12" a="1"/>
  <c r="A47" i="23" a="1"/>
  <c r="F68" i="3" a="1"/>
  <c r="CE29" i="12"/>
  <c r="Z152" i="24" a="1"/>
  <c r="CE149" i="23"/>
  <c r="CE13" i="24"/>
  <c r="CD101" i="24"/>
  <c r="CE154" i="12"/>
  <c r="F42" i="3" a="1"/>
  <c r="CE152" i="24"/>
  <c r="CD125" i="24"/>
  <c r="AI152" i="23" a="1"/>
  <c r="CE94" i="12"/>
  <c r="B71" i="23" a="1"/>
  <c r="G120" i="3" a="1"/>
  <c r="CE118" i="23"/>
  <c r="CD91" i="24"/>
  <c r="AC152" i="24" a="1"/>
  <c r="CE45" i="23"/>
  <c r="F65" i="3" a="1"/>
  <c r="O152" i="24" a="1"/>
  <c r="F86" i="3" a="1"/>
  <c r="AF152" i="24" a="1"/>
  <c r="CD89" i="12"/>
  <c r="CD110" i="24"/>
  <c r="CE37" i="24"/>
  <c r="J152" i="23" a="1"/>
  <c r="Y10" i="22" a="1"/>
  <c r="CE22" i="12"/>
  <c r="G63" i="3" a="1"/>
  <c r="AX15" i="11" a="1"/>
  <c r="CE135" i="24"/>
  <c r="X152" i="24" a="1"/>
  <c r="P152" i="24" a="1"/>
  <c r="CE28" i="24"/>
  <c r="AL152" i="23" a="1"/>
  <c r="CD98" i="23"/>
  <c r="CD146" i="23"/>
  <c r="CE49" i="12"/>
  <c r="CE65" i="23"/>
  <c r="B97" i="24" a="1"/>
  <c r="CD112" i="12"/>
  <c r="AM152" i="23" a="1"/>
  <c r="G73" i="3" a="1"/>
  <c r="B7" i="23" a="1"/>
  <c r="CE148" i="12"/>
  <c r="AX11" i="11" a="1"/>
  <c r="CE139" i="12"/>
  <c r="BS11" i="23" l="1"/>
  <c r="BS18" i="23"/>
  <c r="BS26" i="23"/>
  <c r="BS34" i="23"/>
  <c r="BS50" i="23"/>
  <c r="BS78" i="23"/>
  <c r="BS27" i="23"/>
  <c r="BS6" i="23"/>
  <c r="BS41" i="23"/>
  <c r="BS71" i="23"/>
  <c r="BS115" i="23"/>
  <c r="BS144" i="23"/>
  <c r="BS20" i="23"/>
  <c r="BS72" i="23"/>
  <c r="BS132" i="23"/>
  <c r="BS21" i="23"/>
  <c r="BS36" i="23"/>
  <c r="BS43" i="23"/>
  <c r="BS47" i="23"/>
  <c r="BS81" i="23"/>
  <c r="BS109" i="23"/>
  <c r="BS117" i="23"/>
  <c r="BS125" i="23"/>
  <c r="BS133" i="23"/>
  <c r="BS35" i="23"/>
  <c r="BS13" i="23"/>
  <c r="BS51" i="23"/>
  <c r="BS80" i="23"/>
  <c r="BS124" i="23"/>
  <c r="BS29" i="23"/>
  <c r="BS4" i="23"/>
  <c r="BS14" i="23"/>
  <c r="BS22" i="23"/>
  <c r="BS30" i="23"/>
  <c r="BS37" i="23"/>
  <c r="BS52" i="23"/>
  <c r="BS59" i="23"/>
  <c r="BS66" i="23"/>
  <c r="BS74" i="23"/>
  <c r="BS110" i="23"/>
  <c r="BS118" i="23"/>
  <c r="BS126" i="23"/>
  <c r="BS19" i="23"/>
  <c r="BS57" i="23"/>
  <c r="BS79" i="23"/>
  <c r="BS123" i="23"/>
  <c r="BS7" i="23"/>
  <c r="BS42" i="23"/>
  <c r="BS64" i="23"/>
  <c r="BS116" i="23"/>
  <c r="BS67" i="23"/>
  <c r="BS127" i="23"/>
  <c r="BS75" i="23"/>
  <c r="BS111" i="23"/>
  <c r="BS140" i="23"/>
  <c r="BS148" i="23"/>
  <c r="BS84" i="23"/>
  <c r="BS60" i="23"/>
  <c r="BS68" i="23"/>
  <c r="BS76" i="23"/>
  <c r="BS141" i="23"/>
  <c r="BS103" i="23"/>
  <c r="BS12" i="23"/>
  <c r="BS46" i="23"/>
  <c r="BS63" i="23"/>
  <c r="BS107" i="23"/>
  <c r="BS131" i="23"/>
  <c r="BS28" i="23"/>
  <c r="BS58" i="23"/>
  <c r="BS108" i="23"/>
  <c r="BS145" i="23"/>
  <c r="BS44" i="23"/>
  <c r="BS53" i="23"/>
  <c r="BS119" i="23"/>
  <c r="BS10" i="23"/>
  <c r="BS77" i="23"/>
  <c r="BS142" i="23"/>
  <c r="BS83" i="23"/>
  <c r="BS49" i="23"/>
  <c r="BS25" i="23"/>
  <c r="BS9" i="23"/>
  <c r="BS139" i="23"/>
  <c r="BS91" i="23"/>
  <c r="BS56" i="23"/>
  <c r="BS32" i="23"/>
  <c r="BS16" i="23"/>
  <c r="BS138" i="23"/>
  <c r="BS122" i="23"/>
  <c r="BS106" i="23"/>
  <c r="BS90" i="23"/>
  <c r="BS39" i="23"/>
  <c r="BS31" i="23"/>
  <c r="BS15" i="23"/>
  <c r="BS137" i="23"/>
  <c r="BS129" i="23"/>
  <c r="BS121" i="23"/>
  <c r="BS113" i="23"/>
  <c r="BS105" i="23"/>
  <c r="BS97" i="23"/>
  <c r="BS89" i="23"/>
  <c r="BS70" i="23"/>
  <c r="BS38" i="23"/>
  <c r="BS128" i="23"/>
  <c r="BS112" i="23"/>
  <c r="BS96" i="23"/>
  <c r="BS45" i="23"/>
  <c r="BS143" i="23"/>
  <c r="BS87" i="23"/>
  <c r="BS134" i="23"/>
  <c r="BS102" i="23"/>
  <c r="BS94" i="23"/>
  <c r="BS86" i="23"/>
  <c r="BS73" i="23"/>
  <c r="BS33" i="23"/>
  <c r="BS17" i="23"/>
  <c r="BS147" i="23"/>
  <c r="BS99" i="23"/>
  <c r="BS40" i="23"/>
  <c r="BS24" i="23"/>
  <c r="BS8" i="23"/>
  <c r="BS146" i="23"/>
  <c r="BS130" i="23"/>
  <c r="BS114" i="23"/>
  <c r="BS82" i="23"/>
  <c r="BS23" i="23"/>
  <c r="BS61" i="23"/>
  <c r="BS135" i="23"/>
  <c r="BS95" i="23"/>
  <c r="BS3" i="23"/>
  <c r="BS101" i="23"/>
  <c r="BS93" i="23"/>
  <c r="BS85" i="23"/>
  <c r="BS65" i="23"/>
  <c r="BS48" i="23"/>
  <c r="BS98" i="23"/>
  <c r="BS55" i="23"/>
  <c r="BS62" i="23"/>
  <c r="BS54" i="23"/>
  <c r="BS136" i="23"/>
  <c r="BS120" i="23"/>
  <c r="BS104" i="23"/>
  <c r="BS88" i="23"/>
  <c r="BS69" i="23"/>
  <c r="BS5" i="23"/>
  <c r="BS100" i="23"/>
  <c r="BS92" i="23"/>
  <c r="BS98" i="24"/>
  <c r="BS87" i="24"/>
  <c r="BS102" i="24"/>
  <c r="BS94" i="24"/>
  <c r="BS86" i="24"/>
  <c r="BS101" i="24"/>
  <c r="BS93" i="24"/>
  <c r="BS85" i="24"/>
  <c r="BS100" i="24"/>
  <c r="BS92" i="24"/>
  <c r="BS84" i="24"/>
  <c r="BS90" i="24"/>
  <c r="BS99" i="24"/>
  <c r="BS91" i="24"/>
  <c r="BS83" i="24"/>
  <c r="BS97" i="24"/>
  <c r="BS89" i="24"/>
  <c r="BS104" i="24"/>
  <c r="BS96" i="24"/>
  <c r="BS88" i="24"/>
  <c r="BS103" i="24"/>
  <c r="BS95" i="24"/>
  <c r="Y21" i="22"/>
  <c r="Y20" i="22"/>
  <c r="Y11" i="22"/>
  <c r="Y12" i="22"/>
  <c r="G3" i="24"/>
  <c r="G4" i="24" s="1"/>
  <c r="F5" i="24"/>
  <c r="BS9" i="24"/>
  <c r="F44" i="24"/>
  <c r="G44" i="24" s="1"/>
  <c r="H44" i="24" s="1"/>
  <c r="BS10" i="24"/>
  <c r="BS25" i="24"/>
  <c r="BS3" i="24"/>
  <c r="BS11" i="24"/>
  <c r="BS18" i="24"/>
  <c r="BS19" i="24"/>
  <c r="BS20" i="24"/>
  <c r="BS4" i="24"/>
  <c r="BS21" i="24"/>
  <c r="BS2" i="24"/>
  <c r="BS8" i="24"/>
  <c r="BS14" i="24"/>
  <c r="A21" i="24"/>
  <c r="F21" i="24"/>
  <c r="B7" i="24"/>
  <c r="B21" i="24"/>
  <c r="A7" i="24"/>
  <c r="D7" i="24"/>
  <c r="F7" i="24"/>
  <c r="F6" i="24" s="1"/>
  <c r="F91" i="24" s="1"/>
  <c r="D21" i="24"/>
  <c r="CF81" i="24"/>
  <c r="B47" i="24"/>
  <c r="A47" i="24"/>
  <c r="E47" i="24"/>
  <c r="E46" i="24" s="1"/>
  <c r="B66" i="24"/>
  <c r="D71" i="24"/>
  <c r="CF84" i="24"/>
  <c r="A71" i="24"/>
  <c r="E71" i="24"/>
  <c r="E70" i="24" s="1"/>
  <c r="CF82" i="24"/>
  <c r="D66" i="24"/>
  <c r="B71" i="24"/>
  <c r="D47" i="24"/>
  <c r="A66" i="24"/>
  <c r="E66" i="24"/>
  <c r="E65" i="24" s="1"/>
  <c r="CF83" i="24"/>
  <c r="CF86" i="24"/>
  <c r="CF106" i="24"/>
  <c r="CF114" i="24"/>
  <c r="CF119" i="24"/>
  <c r="CF127" i="24"/>
  <c r="H152" i="24"/>
  <c r="T152" i="24"/>
  <c r="AV152" i="24"/>
  <c r="B97" i="24"/>
  <c r="CF98" i="24"/>
  <c r="CF109" i="24"/>
  <c r="CF142" i="24"/>
  <c r="CF94" i="24"/>
  <c r="CF125" i="24"/>
  <c r="CF147" i="24"/>
  <c r="AJ152" i="24"/>
  <c r="CF87" i="24"/>
  <c r="CF89" i="24"/>
  <c r="CF107" i="24"/>
  <c r="CF115" i="24"/>
  <c r="CF128" i="24"/>
  <c r="AN152" i="24"/>
  <c r="AZ152" i="24"/>
  <c r="CF118" i="24"/>
  <c r="CF120" i="24"/>
  <c r="CF123" i="24"/>
  <c r="CF131" i="24"/>
  <c r="CF144" i="24"/>
  <c r="CF85" i="24"/>
  <c r="CF95" i="24"/>
  <c r="CF101" i="24"/>
  <c r="CF105" i="24"/>
  <c r="AB152" i="24"/>
  <c r="CF90" i="24"/>
  <c r="CF97" i="24"/>
  <c r="CF108" i="24"/>
  <c r="B116" i="24"/>
  <c r="CF116" i="24"/>
  <c r="CF121" i="24"/>
  <c r="CF129" i="24"/>
  <c r="CF132" i="24"/>
  <c r="CF88" i="24"/>
  <c r="A97" i="24"/>
  <c r="CF103" i="24"/>
  <c r="CF111" i="24"/>
  <c r="CF124" i="24"/>
  <c r="AR152" i="24"/>
  <c r="CF92" i="24"/>
  <c r="F97" i="24"/>
  <c r="CF100" i="24"/>
  <c r="CF113" i="24"/>
  <c r="CF135" i="24"/>
  <c r="CF146" i="24"/>
  <c r="X152" i="24"/>
  <c r="CF91" i="24"/>
  <c r="CF102" i="24"/>
  <c r="L152" i="24"/>
  <c r="CF96" i="24"/>
  <c r="D97" i="24"/>
  <c r="CF140" i="24"/>
  <c r="CF151" i="24"/>
  <c r="CF153" i="24"/>
  <c r="CF93" i="24"/>
  <c r="CF110" i="24"/>
  <c r="A116" i="24"/>
  <c r="CF117" i="24"/>
  <c r="CF126" i="24"/>
  <c r="CF137" i="24"/>
  <c r="CF139" i="24"/>
  <c r="P152" i="24"/>
  <c r="CF99" i="24"/>
  <c r="CF104" i="24"/>
  <c r="CF112" i="24"/>
  <c r="F116" i="24"/>
  <c r="CF122" i="24"/>
  <c r="CF130" i="24"/>
  <c r="CF134" i="24"/>
  <c r="CF148" i="24"/>
  <c r="AF152" i="24"/>
  <c r="CF141" i="24"/>
  <c r="CF149" i="24"/>
  <c r="I152" i="24"/>
  <c r="M152" i="24"/>
  <c r="Q152" i="24"/>
  <c r="U152" i="24"/>
  <c r="Y152" i="24"/>
  <c r="AC152" i="24"/>
  <c r="AG152" i="24"/>
  <c r="AK152" i="24"/>
  <c r="AO152" i="24"/>
  <c r="AS152" i="24"/>
  <c r="AW152" i="24"/>
  <c r="BA152" i="24"/>
  <c r="CF154" i="24"/>
  <c r="CF133" i="24"/>
  <c r="CF138" i="24"/>
  <c r="CF143" i="24"/>
  <c r="F152" i="24"/>
  <c r="J152" i="24"/>
  <c r="N152" i="24"/>
  <c r="R152" i="24"/>
  <c r="V152" i="24"/>
  <c r="Z152" i="24"/>
  <c r="AD152" i="24"/>
  <c r="AH152" i="24"/>
  <c r="AL152" i="24"/>
  <c r="AP152" i="24"/>
  <c r="AT152" i="24"/>
  <c r="AX152" i="24"/>
  <c r="CF152" i="24"/>
  <c r="CF136" i="24"/>
  <c r="CF145" i="24"/>
  <c r="CF150" i="24"/>
  <c r="G152" i="24"/>
  <c r="K152" i="24"/>
  <c r="O152" i="24"/>
  <c r="S152" i="24"/>
  <c r="W152" i="24"/>
  <c r="AA152" i="24"/>
  <c r="AE152" i="24"/>
  <c r="AI152" i="24"/>
  <c r="AM152" i="24"/>
  <c r="AQ152" i="24"/>
  <c r="AU152" i="24"/>
  <c r="AY152" i="24"/>
  <c r="BS13" i="24"/>
  <c r="BS30" i="24"/>
  <c r="BS35" i="24"/>
  <c r="BS7" i="24"/>
  <c r="BS141" i="24"/>
  <c r="BS149" i="24"/>
  <c r="BS128" i="24"/>
  <c r="BS113" i="24"/>
  <c r="BS144" i="24"/>
  <c r="BS142" i="24"/>
  <c r="BS130" i="24"/>
  <c r="BS108" i="24"/>
  <c r="BS126" i="24"/>
  <c r="BS110" i="24"/>
  <c r="BS120" i="24"/>
  <c r="BS115" i="24"/>
  <c r="BS112" i="24"/>
  <c r="BS122" i="24"/>
  <c r="BS52" i="24"/>
  <c r="BS61" i="24"/>
  <c r="BS55" i="24"/>
  <c r="BS53" i="24"/>
  <c r="BS72" i="24"/>
  <c r="BS65" i="24"/>
  <c r="BS62" i="24"/>
  <c r="BS50" i="24"/>
  <c r="BS56" i="24"/>
  <c r="BS43" i="24"/>
  <c r="BS59" i="24"/>
  <c r="BS44" i="24"/>
  <c r="BS78" i="24"/>
  <c r="BS51" i="24"/>
  <c r="BS45" i="24"/>
  <c r="BS41" i="24"/>
  <c r="BS38" i="24"/>
  <c r="BS69" i="24"/>
  <c r="BS54" i="24"/>
  <c r="BS28" i="24"/>
  <c r="BS36" i="24"/>
  <c r="BS60" i="24"/>
  <c r="BS6" i="24"/>
  <c r="BS12" i="24"/>
  <c r="BS15" i="24"/>
  <c r="BS26" i="24"/>
  <c r="BS31" i="24"/>
  <c r="BS33" i="24"/>
  <c r="BS71" i="24"/>
  <c r="BS16" i="24"/>
  <c r="BS37" i="24"/>
  <c r="BS42" i="24"/>
  <c r="BS23" i="24"/>
  <c r="AY151" i="24"/>
  <c r="AQ151" i="24"/>
  <c r="AI151" i="24"/>
  <c r="AA151" i="24"/>
  <c r="S151" i="24"/>
  <c r="K151" i="24"/>
  <c r="AW151" i="24"/>
  <c r="AO151" i="24"/>
  <c r="AG151" i="24"/>
  <c r="Y151" i="24"/>
  <c r="Q151" i="24"/>
  <c r="I151" i="24"/>
  <c r="AU151" i="24"/>
  <c r="AM151" i="24"/>
  <c r="AE151" i="24"/>
  <c r="W151" i="24"/>
  <c r="O151" i="24"/>
  <c r="G151" i="24"/>
  <c r="AS151" i="24"/>
  <c r="AF151" i="24"/>
  <c r="T151" i="24"/>
  <c r="F151" i="24"/>
  <c r="AV151" i="24"/>
  <c r="AH151" i="24"/>
  <c r="R151" i="24"/>
  <c r="AL151" i="24"/>
  <c r="V151" i="24"/>
  <c r="BA151" i="24"/>
  <c r="AK151" i="24"/>
  <c r="U151" i="24"/>
  <c r="F140" i="24"/>
  <c r="G140" i="24" s="1"/>
  <c r="H140" i="24" s="1"/>
  <c r="I140" i="24" s="1"/>
  <c r="J140" i="24" s="1"/>
  <c r="K140" i="24" s="1"/>
  <c r="L140" i="24" s="1"/>
  <c r="M140" i="24" s="1"/>
  <c r="N140" i="24" s="1"/>
  <c r="O140" i="24" s="1"/>
  <c r="P140" i="24" s="1"/>
  <c r="Q140" i="24" s="1"/>
  <c r="R140" i="24" s="1"/>
  <c r="S140" i="24" s="1"/>
  <c r="T140" i="24" s="1"/>
  <c r="U140" i="24" s="1"/>
  <c r="V140" i="24" s="1"/>
  <c r="W140" i="24" s="1"/>
  <c r="X140" i="24" s="1"/>
  <c r="Y140" i="24" s="1"/>
  <c r="Z140" i="24" s="1"/>
  <c r="AA140" i="24" s="1"/>
  <c r="AB140" i="24" s="1"/>
  <c r="AC140" i="24" s="1"/>
  <c r="AD140" i="24" s="1"/>
  <c r="AE140" i="24" s="1"/>
  <c r="AF140" i="24" s="1"/>
  <c r="AG140" i="24" s="1"/>
  <c r="AH140" i="24" s="1"/>
  <c r="AI140" i="24" s="1"/>
  <c r="AJ140" i="24" s="1"/>
  <c r="AK140" i="24" s="1"/>
  <c r="AL140" i="24" s="1"/>
  <c r="AM140" i="24" s="1"/>
  <c r="AN140" i="24" s="1"/>
  <c r="AO140" i="24" s="1"/>
  <c r="AP140" i="24" s="1"/>
  <c r="AQ140" i="24" s="1"/>
  <c r="AR140" i="24" s="1"/>
  <c r="AS140" i="24" s="1"/>
  <c r="AT140" i="24" s="1"/>
  <c r="AU140" i="24" s="1"/>
  <c r="AV140" i="24" s="1"/>
  <c r="AW140" i="24" s="1"/>
  <c r="AX140" i="24" s="1"/>
  <c r="AY140" i="24" s="1"/>
  <c r="AZ140" i="24" s="1"/>
  <c r="BA140" i="24" s="1"/>
  <c r="AP151" i="24"/>
  <c r="Z151" i="24"/>
  <c r="J151" i="24"/>
  <c r="AC151" i="24"/>
  <c r="AZ151" i="24"/>
  <c r="AB151" i="24"/>
  <c r="AX151" i="24"/>
  <c r="X151" i="24"/>
  <c r="AT151" i="24"/>
  <c r="P151" i="24"/>
  <c r="AR151" i="24"/>
  <c r="N151" i="24"/>
  <c r="AN151" i="24"/>
  <c r="M151" i="24"/>
  <c r="AJ151" i="24"/>
  <c r="L151" i="24"/>
  <c r="AD151" i="24"/>
  <c r="H151" i="24"/>
  <c r="BS5" i="24"/>
  <c r="BS17" i="24"/>
  <c r="BS22" i="24"/>
  <c r="BS24" i="24"/>
  <c r="BS29" i="24"/>
  <c r="BS34" i="24"/>
  <c r="BS39" i="24"/>
  <c r="BS40" i="24"/>
  <c r="BS57" i="24"/>
  <c r="BS27" i="24"/>
  <c r="BS68" i="24"/>
  <c r="BS32" i="24"/>
  <c r="BS46" i="24"/>
  <c r="BS47" i="24"/>
  <c r="BS70" i="24"/>
  <c r="BS77" i="24"/>
  <c r="BS48" i="24"/>
  <c r="BS58" i="24"/>
  <c r="BS73" i="24"/>
  <c r="BS49" i="24"/>
  <c r="BS74" i="24"/>
  <c r="BS79" i="24"/>
  <c r="E43" i="24"/>
  <c r="BS63" i="24"/>
  <c r="BS66" i="24"/>
  <c r="BS64" i="24"/>
  <c r="BS67" i="24"/>
  <c r="BS75" i="24"/>
  <c r="BS81" i="24"/>
  <c r="BS76" i="24"/>
  <c r="BS82" i="24"/>
  <c r="BS140" i="24"/>
  <c r="BS131" i="24"/>
  <c r="BS143" i="24"/>
  <c r="BS105" i="24"/>
  <c r="BS118" i="24"/>
  <c r="BS123" i="24"/>
  <c r="BS148" i="24"/>
  <c r="BS150" i="24"/>
  <c r="BS129" i="24"/>
  <c r="BS119" i="24"/>
  <c r="BS121" i="24"/>
  <c r="BS145" i="24"/>
  <c r="BS111" i="24"/>
  <c r="BS114" i="24"/>
  <c r="BS127" i="24"/>
  <c r="BS109" i="24"/>
  <c r="BS117" i="24"/>
  <c r="BS133" i="24"/>
  <c r="BS125" i="24"/>
  <c r="BS146" i="24"/>
  <c r="BS107" i="24"/>
  <c r="BS116" i="24"/>
  <c r="BS134" i="24"/>
  <c r="BS124" i="24"/>
  <c r="BS132" i="24"/>
  <c r="BS106" i="24"/>
  <c r="BS147" i="24"/>
  <c r="G3" i="23"/>
  <c r="G5" i="23" s="1"/>
  <c r="E45" i="23"/>
  <c r="F83" i="23" s="1"/>
  <c r="F4" i="23"/>
  <c r="B7" i="23"/>
  <c r="E71" i="23"/>
  <c r="E70" i="23" s="1"/>
  <c r="A47" i="23"/>
  <c r="B47" i="23"/>
  <c r="CF84" i="23"/>
  <c r="D7" i="23"/>
  <c r="D47" i="23"/>
  <c r="E47" i="23"/>
  <c r="E46" i="23" s="1"/>
  <c r="A7" i="23"/>
  <c r="F7" i="23"/>
  <c r="F6" i="23" s="1"/>
  <c r="F91" i="23" s="1"/>
  <c r="A71" i="23"/>
  <c r="D21" i="23"/>
  <c r="D66" i="23"/>
  <c r="B71" i="23"/>
  <c r="A21" i="23"/>
  <c r="F21" i="23"/>
  <c r="CF83" i="23"/>
  <c r="A66" i="23"/>
  <c r="E66" i="23"/>
  <c r="E65" i="23" s="1"/>
  <c r="CF88" i="23"/>
  <c r="B21" i="23"/>
  <c r="B66" i="23"/>
  <c r="D71" i="23"/>
  <c r="CF90" i="23"/>
  <c r="CF96" i="23"/>
  <c r="CF97" i="23"/>
  <c r="CF103" i="23"/>
  <c r="CF118" i="23"/>
  <c r="AV152" i="23"/>
  <c r="CF92" i="23"/>
  <c r="CF112" i="23"/>
  <c r="CF128" i="23"/>
  <c r="CF81" i="23"/>
  <c r="CF86" i="23"/>
  <c r="B97" i="23"/>
  <c r="CF122" i="23"/>
  <c r="H152" i="23"/>
  <c r="CF91" i="23"/>
  <c r="CF93" i="23"/>
  <c r="CF110" i="23"/>
  <c r="A116" i="23"/>
  <c r="CF116" i="23"/>
  <c r="CF144" i="23"/>
  <c r="CF100" i="23"/>
  <c r="CF108" i="23"/>
  <c r="CF87" i="23"/>
  <c r="CF89" i="23"/>
  <c r="CF105" i="23"/>
  <c r="AN152" i="23"/>
  <c r="CF82" i="23"/>
  <c r="CF95" i="23"/>
  <c r="CF102" i="23"/>
  <c r="CF130" i="23"/>
  <c r="CF139" i="23"/>
  <c r="CF85" i="23"/>
  <c r="CF106" i="23"/>
  <c r="CF124" i="23"/>
  <c r="CF136" i="23"/>
  <c r="B116" i="23"/>
  <c r="CF120" i="23"/>
  <c r="CF135" i="23"/>
  <c r="CF146" i="23"/>
  <c r="X152" i="23"/>
  <c r="D97" i="23"/>
  <c r="CF107" i="23"/>
  <c r="CF142" i="23"/>
  <c r="CF147" i="23"/>
  <c r="AZ152" i="23"/>
  <c r="CF94" i="23"/>
  <c r="CF109" i="23"/>
  <c r="CF111" i="23"/>
  <c r="CF113" i="23"/>
  <c r="F116" i="23"/>
  <c r="CF121" i="23"/>
  <c r="CF123" i="23"/>
  <c r="CF137" i="23"/>
  <c r="T152" i="23"/>
  <c r="AB152" i="23"/>
  <c r="AJ152" i="23"/>
  <c r="AR152" i="23"/>
  <c r="A97" i="23"/>
  <c r="F97" i="23"/>
  <c r="CF98" i="23"/>
  <c r="CF101" i="23"/>
  <c r="CF115" i="23"/>
  <c r="CF125" i="23"/>
  <c r="CF129" i="23"/>
  <c r="CF131" i="23"/>
  <c r="CF140" i="23"/>
  <c r="L152" i="23"/>
  <c r="CF151" i="23"/>
  <c r="CF153" i="23"/>
  <c r="CF99" i="23"/>
  <c r="CF104" i="23"/>
  <c r="CF114" i="23"/>
  <c r="CF117" i="23"/>
  <c r="CF126" i="23"/>
  <c r="CF141" i="23"/>
  <c r="P152" i="23"/>
  <c r="CF119" i="23"/>
  <c r="CF127" i="23"/>
  <c r="CF132" i="23"/>
  <c r="CF134" i="23"/>
  <c r="CF148" i="23"/>
  <c r="AF152" i="23"/>
  <c r="CF149" i="23"/>
  <c r="I152" i="23"/>
  <c r="M152" i="23"/>
  <c r="Q152" i="23"/>
  <c r="U152" i="23"/>
  <c r="Y152" i="23"/>
  <c r="AC152" i="23"/>
  <c r="AG152" i="23"/>
  <c r="AK152" i="23"/>
  <c r="AO152" i="23"/>
  <c r="AS152" i="23"/>
  <c r="AW152" i="23"/>
  <c r="BA152" i="23"/>
  <c r="CF154" i="23"/>
  <c r="CF133" i="23"/>
  <c r="CF138" i="23"/>
  <c r="CF143" i="23"/>
  <c r="F152" i="23"/>
  <c r="J152" i="23"/>
  <c r="N152" i="23"/>
  <c r="R152" i="23"/>
  <c r="V152" i="23"/>
  <c r="Z152" i="23"/>
  <c r="AD152" i="23"/>
  <c r="AH152" i="23"/>
  <c r="AL152" i="23"/>
  <c r="AP152" i="23"/>
  <c r="AT152" i="23"/>
  <c r="AX152" i="23"/>
  <c r="CF152" i="23"/>
  <c r="CF145" i="23"/>
  <c r="CF150" i="23"/>
  <c r="G152" i="23"/>
  <c r="K152" i="23"/>
  <c r="O152" i="23"/>
  <c r="S152" i="23"/>
  <c r="W152" i="23"/>
  <c r="AA152" i="23"/>
  <c r="AE152" i="23"/>
  <c r="AI152" i="23"/>
  <c r="AM152" i="23"/>
  <c r="AQ152" i="23"/>
  <c r="AU152" i="23"/>
  <c r="AY152" i="23"/>
  <c r="I44" i="23"/>
  <c r="BS149" i="23"/>
  <c r="F151" i="12"/>
  <c r="AY151" i="23"/>
  <c r="AQ151" i="23"/>
  <c r="AI151" i="23"/>
  <c r="AA151" i="23"/>
  <c r="S151" i="23"/>
  <c r="K151" i="23"/>
  <c r="AW151" i="23"/>
  <c r="AO151" i="23"/>
  <c r="AG151" i="23"/>
  <c r="Y151" i="23"/>
  <c r="Q151" i="23"/>
  <c r="I151" i="23"/>
  <c r="AU151" i="23"/>
  <c r="AM151" i="23"/>
  <c r="AE151" i="23"/>
  <c r="W151" i="23"/>
  <c r="O151" i="23"/>
  <c r="G151" i="23"/>
  <c r="AS151" i="23"/>
  <c r="AF151" i="23"/>
  <c r="T151" i="23"/>
  <c r="F151" i="23"/>
  <c r="AV151" i="23"/>
  <c r="AH151" i="23"/>
  <c r="R151" i="23"/>
  <c r="AL151" i="23"/>
  <c r="V151" i="23"/>
  <c r="BA151" i="23"/>
  <c r="AK151" i="23"/>
  <c r="U151" i="23"/>
  <c r="AZ151" i="23"/>
  <c r="AJ151" i="23"/>
  <c r="P151" i="23"/>
  <c r="F140" i="23"/>
  <c r="G140" i="23" s="1"/>
  <c r="H140" i="23" s="1"/>
  <c r="I140" i="23" s="1"/>
  <c r="J140" i="23" s="1"/>
  <c r="K140" i="23" s="1"/>
  <c r="L140" i="23" s="1"/>
  <c r="M140" i="23" s="1"/>
  <c r="N140" i="23" s="1"/>
  <c r="O140" i="23" s="1"/>
  <c r="P140" i="23" s="1"/>
  <c r="Q140" i="23" s="1"/>
  <c r="R140" i="23" s="1"/>
  <c r="S140" i="23" s="1"/>
  <c r="T140" i="23" s="1"/>
  <c r="U140" i="23" s="1"/>
  <c r="V140" i="23" s="1"/>
  <c r="W140" i="23" s="1"/>
  <c r="X140" i="23" s="1"/>
  <c r="Y140" i="23" s="1"/>
  <c r="Z140" i="23" s="1"/>
  <c r="AA140" i="23" s="1"/>
  <c r="AB140" i="23" s="1"/>
  <c r="AC140" i="23" s="1"/>
  <c r="AD140" i="23" s="1"/>
  <c r="AE140" i="23" s="1"/>
  <c r="AF140" i="23" s="1"/>
  <c r="AG140" i="23" s="1"/>
  <c r="AH140" i="23" s="1"/>
  <c r="AI140" i="23" s="1"/>
  <c r="AJ140" i="23" s="1"/>
  <c r="AK140" i="23" s="1"/>
  <c r="AL140" i="23" s="1"/>
  <c r="AM140" i="23" s="1"/>
  <c r="AN140" i="23" s="1"/>
  <c r="AO140" i="23" s="1"/>
  <c r="AP140" i="23" s="1"/>
  <c r="AQ140" i="23" s="1"/>
  <c r="AR140" i="23" s="1"/>
  <c r="AS140" i="23" s="1"/>
  <c r="AT140" i="23" s="1"/>
  <c r="AU140" i="23" s="1"/>
  <c r="AV140" i="23" s="1"/>
  <c r="AW140" i="23" s="1"/>
  <c r="AX140" i="23" s="1"/>
  <c r="AY140" i="23" s="1"/>
  <c r="AZ140" i="23" s="1"/>
  <c r="BA140" i="23" s="1"/>
  <c r="AX151" i="23"/>
  <c r="AD151" i="23"/>
  <c r="N151" i="23"/>
  <c r="AP151" i="23"/>
  <c r="Z151" i="23"/>
  <c r="J151" i="23"/>
  <c r="AR151" i="23"/>
  <c r="AN151" i="23"/>
  <c r="AC151" i="23"/>
  <c r="AB151" i="23"/>
  <c r="X151" i="23"/>
  <c r="M151" i="23"/>
  <c r="L151" i="23"/>
  <c r="AT151" i="23"/>
  <c r="H151" i="23"/>
  <c r="BS2" i="23"/>
  <c r="BS150" i="23"/>
  <c r="F126" i="3"/>
  <c r="F110" i="3"/>
  <c r="F98" i="3"/>
  <c r="F90" i="3"/>
  <c r="F78" i="3"/>
  <c r="F66" i="3"/>
  <c r="F58" i="3"/>
  <c r="F50" i="3"/>
  <c r="F46" i="3"/>
  <c r="G125" i="3"/>
  <c r="G117" i="3"/>
  <c r="G113" i="3"/>
  <c r="G101" i="3"/>
  <c r="G93" i="3"/>
  <c r="G81" i="3"/>
  <c r="G77" i="3"/>
  <c r="G69" i="3"/>
  <c r="G57" i="3"/>
  <c r="G45" i="3"/>
  <c r="F118" i="3"/>
  <c r="F102" i="3"/>
  <c r="F86" i="3"/>
  <c r="F74" i="3"/>
  <c r="F62" i="3"/>
  <c r="F54" i="3"/>
  <c r="F42" i="3"/>
  <c r="G121" i="3"/>
  <c r="G109" i="3"/>
  <c r="G97" i="3"/>
  <c r="G85" i="3"/>
  <c r="G73" i="3"/>
  <c r="G65" i="3"/>
  <c r="G61" i="3"/>
  <c r="G53" i="3"/>
  <c r="G49" i="3"/>
  <c r="F125" i="3"/>
  <c r="F121" i="3"/>
  <c r="F117" i="3"/>
  <c r="F113" i="3"/>
  <c r="F109" i="3"/>
  <c r="F105" i="3"/>
  <c r="F101" i="3"/>
  <c r="F97" i="3"/>
  <c r="F93" i="3"/>
  <c r="F89" i="3"/>
  <c r="F85" i="3"/>
  <c r="F81" i="3"/>
  <c r="F77" i="3"/>
  <c r="F73" i="3"/>
  <c r="F69" i="3"/>
  <c r="F65" i="3"/>
  <c r="F61" i="3"/>
  <c r="F57" i="3"/>
  <c r="F53" i="3"/>
  <c r="F49" i="3"/>
  <c r="F45" i="3"/>
  <c r="G41" i="3"/>
  <c r="G124" i="3"/>
  <c r="G120" i="3"/>
  <c r="G116" i="3"/>
  <c r="G112" i="3"/>
  <c r="G108" i="3"/>
  <c r="G104" i="3"/>
  <c r="G100" i="3"/>
  <c r="G96" i="3"/>
  <c r="G92" i="3"/>
  <c r="G88" i="3"/>
  <c r="G84" i="3"/>
  <c r="G80" i="3"/>
  <c r="G76" i="3"/>
  <c r="G72" i="3"/>
  <c r="G68" i="3"/>
  <c r="G64" i="3"/>
  <c r="G60" i="3"/>
  <c r="G56" i="3"/>
  <c r="G52" i="3"/>
  <c r="G48" i="3"/>
  <c r="G44" i="3"/>
  <c r="F114" i="3"/>
  <c r="G105" i="3"/>
  <c r="F41" i="3"/>
  <c r="F124" i="3"/>
  <c r="F120" i="3"/>
  <c r="F116" i="3"/>
  <c r="F112" i="3"/>
  <c r="F108" i="3"/>
  <c r="F104" i="3"/>
  <c r="F100" i="3"/>
  <c r="F96" i="3"/>
  <c r="F92" i="3"/>
  <c r="F88" i="3"/>
  <c r="F84" i="3"/>
  <c r="F80" i="3"/>
  <c r="F76" i="3"/>
  <c r="F72" i="3"/>
  <c r="F68" i="3"/>
  <c r="F64" i="3"/>
  <c r="F60" i="3"/>
  <c r="F56" i="3"/>
  <c r="F52" i="3"/>
  <c r="F48" i="3"/>
  <c r="F44" i="3"/>
  <c r="G127" i="3"/>
  <c r="G123" i="3"/>
  <c r="G119" i="3"/>
  <c r="G115" i="3"/>
  <c r="G111" i="3"/>
  <c r="G107" i="3"/>
  <c r="G103" i="3"/>
  <c r="G99" i="3"/>
  <c r="G95" i="3"/>
  <c r="G91" i="3"/>
  <c r="G87" i="3"/>
  <c r="G83" i="3"/>
  <c r="G79" i="3"/>
  <c r="G75" i="3"/>
  <c r="G71" i="3"/>
  <c r="G67" i="3"/>
  <c r="G63" i="3"/>
  <c r="G59" i="3"/>
  <c r="G55" i="3"/>
  <c r="G51" i="3"/>
  <c r="G47" i="3"/>
  <c r="G43" i="3"/>
  <c r="F122" i="3"/>
  <c r="F106" i="3"/>
  <c r="F94" i="3"/>
  <c r="F82" i="3"/>
  <c r="F70" i="3"/>
  <c r="G89" i="3"/>
  <c r="F127" i="3"/>
  <c r="F123" i="3"/>
  <c r="F119" i="3"/>
  <c r="F115" i="3"/>
  <c r="F111" i="3"/>
  <c r="F107" i="3"/>
  <c r="F103" i="3"/>
  <c r="F99" i="3"/>
  <c r="F95" i="3"/>
  <c r="F91" i="3"/>
  <c r="F87" i="3"/>
  <c r="F83" i="3"/>
  <c r="F79" i="3"/>
  <c r="F75" i="3"/>
  <c r="F71" i="3"/>
  <c r="F67" i="3"/>
  <c r="F63" i="3"/>
  <c r="F59" i="3"/>
  <c r="F55" i="3"/>
  <c r="F51" i="3"/>
  <c r="F47" i="3"/>
  <c r="F43" i="3"/>
  <c r="G126" i="3"/>
  <c r="G122" i="3"/>
  <c r="G118" i="3"/>
  <c r="G114" i="3"/>
  <c r="G110" i="3"/>
  <c r="G106" i="3"/>
  <c r="G102" i="3"/>
  <c r="G98" i="3"/>
  <c r="G94" i="3"/>
  <c r="G90" i="3"/>
  <c r="G86" i="3"/>
  <c r="G82" i="3"/>
  <c r="G78" i="3"/>
  <c r="G74" i="3"/>
  <c r="G70" i="3"/>
  <c r="G66" i="3"/>
  <c r="G62" i="3"/>
  <c r="G58" i="3"/>
  <c r="G54" i="3"/>
  <c r="G50" i="3"/>
  <c r="G46" i="3"/>
  <c r="G42" i="3"/>
  <c r="B8" i="14"/>
  <c r="Z9" i="22"/>
  <c r="Z18" i="22"/>
  <c r="Y19" i="22"/>
  <c r="Y10" i="22"/>
  <c r="D9" i="21"/>
  <c r="Z5" i="21"/>
  <c r="F3" i="21" s="1" a="1"/>
  <c r="F3" i="21" s="1"/>
  <c r="Z4" i="21"/>
  <c r="A31" i="21" s="1"/>
  <c r="F8" i="21"/>
  <c r="AR15" i="11"/>
  <c r="CF149" i="12"/>
  <c r="CF109" i="12"/>
  <c r="CF148" i="12"/>
  <c r="CF140" i="12"/>
  <c r="CF132" i="12"/>
  <c r="CF124" i="12"/>
  <c r="CF116" i="12"/>
  <c r="CF108" i="12"/>
  <c r="CF100" i="12"/>
  <c r="CF92" i="12"/>
  <c r="CF84" i="12"/>
  <c r="CF133" i="12"/>
  <c r="CF101" i="12"/>
  <c r="CF147" i="12"/>
  <c r="CF139" i="12"/>
  <c r="CF131" i="12"/>
  <c r="CF123" i="12"/>
  <c r="CF115" i="12"/>
  <c r="CF107" i="12"/>
  <c r="CF99" i="12"/>
  <c r="CF91" i="12"/>
  <c r="CF83" i="12"/>
  <c r="CF154" i="12"/>
  <c r="CF146" i="12"/>
  <c r="CF138" i="12"/>
  <c r="CF130" i="12"/>
  <c r="CF122" i="12"/>
  <c r="CF114" i="12"/>
  <c r="CF106" i="12"/>
  <c r="CF98" i="12"/>
  <c r="CF90" i="12"/>
  <c r="CF82" i="12"/>
  <c r="CF125" i="12"/>
  <c r="CF153" i="12"/>
  <c r="CF145" i="12"/>
  <c r="CF137" i="12"/>
  <c r="CF129" i="12"/>
  <c r="CF121" i="12"/>
  <c r="CF113" i="12"/>
  <c r="CF105" i="12"/>
  <c r="CF97" i="12"/>
  <c r="CF89" i="12"/>
  <c r="CF81" i="12"/>
  <c r="CF141" i="12"/>
  <c r="CF93" i="12"/>
  <c r="CF152" i="12"/>
  <c r="CF144" i="12"/>
  <c r="CF136" i="12"/>
  <c r="CF128" i="12"/>
  <c r="CF120" i="12"/>
  <c r="CF112" i="12"/>
  <c r="CF104" i="12"/>
  <c r="CF96" i="12"/>
  <c r="CF88" i="12"/>
  <c r="CF117" i="12"/>
  <c r="CF85" i="12"/>
  <c r="CF151" i="12"/>
  <c r="CF143" i="12"/>
  <c r="CF135" i="12"/>
  <c r="CF127" i="12"/>
  <c r="CF119" i="12"/>
  <c r="CF111" i="12"/>
  <c r="CF103" i="12"/>
  <c r="CF95" i="12"/>
  <c r="CF87" i="12"/>
  <c r="CF150" i="12"/>
  <c r="CF142" i="12"/>
  <c r="CF134" i="12"/>
  <c r="CF126" i="12"/>
  <c r="CF118" i="12"/>
  <c r="CF110" i="12"/>
  <c r="CF102" i="12"/>
  <c r="CF94" i="12"/>
  <c r="CF86" i="12"/>
  <c r="F152" i="12"/>
  <c r="AX152" i="12"/>
  <c r="AT152" i="12"/>
  <c r="AP152" i="12"/>
  <c r="AL152" i="12"/>
  <c r="AH152" i="12"/>
  <c r="AD152" i="12"/>
  <c r="Z152" i="12"/>
  <c r="V152" i="12"/>
  <c r="R152" i="12"/>
  <c r="N152" i="12"/>
  <c r="J152" i="12"/>
  <c r="BA152" i="12"/>
  <c r="AW152" i="12"/>
  <c r="AS152" i="12"/>
  <c r="AO152" i="12"/>
  <c r="AK152" i="12"/>
  <c r="AG152" i="12"/>
  <c r="AC152" i="12"/>
  <c r="Y152" i="12"/>
  <c r="U152" i="12"/>
  <c r="Q152" i="12"/>
  <c r="M152" i="12"/>
  <c r="I152" i="12"/>
  <c r="AZ152" i="12"/>
  <c r="AV152" i="12"/>
  <c r="AR152" i="12"/>
  <c r="AN152" i="12"/>
  <c r="AJ152" i="12"/>
  <c r="AF152" i="12"/>
  <c r="AB152" i="12"/>
  <c r="X152" i="12"/>
  <c r="T152" i="12"/>
  <c r="P152" i="12"/>
  <c r="L152" i="12"/>
  <c r="H152" i="12"/>
  <c r="AY152" i="12"/>
  <c r="AU152" i="12"/>
  <c r="AQ152" i="12"/>
  <c r="AM152" i="12"/>
  <c r="AI152" i="12"/>
  <c r="AE152" i="12"/>
  <c r="AA152" i="12"/>
  <c r="W152" i="12"/>
  <c r="S152" i="12"/>
  <c r="O152" i="12"/>
  <c r="K152" i="12"/>
  <c r="G152" i="12"/>
  <c r="C25" i="18"/>
  <c r="D25" i="18"/>
  <c r="F25" i="18"/>
  <c r="E25" i="18"/>
  <c r="J25" i="18"/>
  <c r="G25" i="18"/>
  <c r="I25" i="18"/>
  <c r="H25" i="18"/>
  <c r="B10" i="18"/>
  <c r="V4" i="18"/>
  <c r="A32" i="18" s="1"/>
  <c r="V5" i="18"/>
  <c r="B3" i="18" s="1" a="1"/>
  <c r="B3" i="18" s="1"/>
  <c r="B4" i="18" s="1" a="1"/>
  <c r="B4" i="18" s="1"/>
  <c r="AX15" i="11"/>
  <c r="AX16" i="11"/>
  <c r="AX13" i="11"/>
  <c r="AX12" i="11"/>
  <c r="AX10" i="11"/>
  <c r="AX11" i="11"/>
  <c r="AX14" i="11"/>
  <c r="AX9" i="11"/>
  <c r="AX5" i="11"/>
  <c r="AX8" i="11"/>
  <c r="AX4" i="11"/>
  <c r="AX3" i="11"/>
  <c r="AX7" i="11"/>
  <c r="AX6" i="11"/>
  <c r="D97" i="12"/>
  <c r="F97" i="12"/>
  <c r="A97" i="12"/>
  <c r="B97" i="12"/>
  <c r="AR13" i="11"/>
  <c r="AR14" i="11"/>
  <c r="F9" i="11"/>
  <c r="I151" i="12"/>
  <c r="J151" i="12"/>
  <c r="Q151" i="12"/>
  <c r="Y151" i="12"/>
  <c r="AG151" i="12"/>
  <c r="AO151" i="12"/>
  <c r="AW151" i="12"/>
  <c r="N151" i="12"/>
  <c r="V151" i="12"/>
  <c r="AD151" i="12"/>
  <c r="AL151" i="12"/>
  <c r="AT151" i="12"/>
  <c r="G151" i="12"/>
  <c r="O151" i="12"/>
  <c r="W151" i="12"/>
  <c r="AE151" i="12"/>
  <c r="AM151" i="12"/>
  <c r="AU151" i="12"/>
  <c r="H151" i="12"/>
  <c r="P151" i="12"/>
  <c r="X151" i="12"/>
  <c r="AF151" i="12"/>
  <c r="AN151" i="12"/>
  <c r="AV151" i="12"/>
  <c r="K151" i="12"/>
  <c r="S151" i="12"/>
  <c r="AA151" i="12"/>
  <c r="AI151" i="12"/>
  <c r="AQ151" i="12"/>
  <c r="AY151" i="12"/>
  <c r="R151" i="12"/>
  <c r="Z151" i="12"/>
  <c r="AH151" i="12"/>
  <c r="AP151" i="12"/>
  <c r="AX151" i="12"/>
  <c r="L151" i="12"/>
  <c r="T151" i="12"/>
  <c r="AB151" i="12"/>
  <c r="AJ151" i="12"/>
  <c r="AR151" i="12"/>
  <c r="AZ151" i="12"/>
  <c r="M151" i="12"/>
  <c r="U151" i="12"/>
  <c r="AC151" i="12"/>
  <c r="AK151" i="12"/>
  <c r="AS151" i="12"/>
  <c r="BA151" i="12"/>
  <c r="AR12" i="11"/>
  <c r="F10" i="11"/>
  <c r="AR8" i="11"/>
  <c r="AK7" i="11"/>
  <c r="F4" i="11"/>
  <c r="N5" i="11"/>
  <c r="N6" i="11"/>
  <c r="N4" i="11"/>
  <c r="AR7" i="11"/>
  <c r="AK6" i="11"/>
  <c r="AK5" i="11"/>
  <c r="T9" i="11"/>
  <c r="AR4" i="11"/>
  <c r="T8" i="11"/>
  <c r="AR5" i="11"/>
  <c r="AR10" i="11"/>
  <c r="AR6" i="11"/>
  <c r="AR11" i="11"/>
  <c r="AC3" i="11"/>
  <c r="T6" i="11"/>
  <c r="T7" i="11"/>
  <c r="T5" i="11"/>
  <c r="I13" i="17"/>
  <c r="B13" i="17"/>
  <c r="B6" i="17"/>
  <c r="B7" i="17" s="1"/>
  <c r="B23" i="15"/>
  <c r="B18" i="15"/>
  <c r="B13" i="15"/>
  <c r="B8" i="15"/>
  <c r="E5" i="15"/>
  <c r="E12" i="15" s="1"/>
  <c r="H5" i="15"/>
  <c r="H12" i="15" s="1"/>
  <c r="K5" i="15"/>
  <c r="K12" i="15" s="1"/>
  <c r="E4" i="15"/>
  <c r="H4" i="15"/>
  <c r="B23" i="14"/>
  <c r="B22" i="14"/>
  <c r="B16" i="14"/>
  <c r="B24" i="14"/>
  <c r="I15" i="13"/>
  <c r="I14" i="13" s="1"/>
  <c r="B15" i="13"/>
  <c r="B6" i="13"/>
  <c r="B7" i="13" s="1"/>
  <c r="CD73" i="24"/>
  <c r="CD77" i="12"/>
  <c r="CD64" i="12"/>
  <c r="CD21" i="12"/>
  <c r="CD63" i="12"/>
  <c r="CD18" i="23"/>
  <c r="CD36" i="12"/>
  <c r="CD21" i="23"/>
  <c r="CD33" i="24"/>
  <c r="CD62" i="24"/>
  <c r="CD79" i="12"/>
  <c r="CD68" i="24"/>
  <c r="CD43" i="12"/>
  <c r="CD50" i="24"/>
  <c r="CD78" i="23"/>
  <c r="CD40" i="23"/>
  <c r="CD73" i="23"/>
  <c r="CD35" i="23"/>
  <c r="CD71" i="24"/>
  <c r="CD35" i="12"/>
  <c r="CD79" i="24"/>
  <c r="CD22" i="24"/>
  <c r="CD7" i="24"/>
  <c r="CD61" i="12"/>
  <c r="CD50" i="12"/>
  <c r="CD59" i="23"/>
  <c r="CD36" i="23"/>
  <c r="CD18" i="12"/>
  <c r="CD21" i="24"/>
  <c r="CD9" i="24"/>
  <c r="CD61" i="23"/>
  <c r="CD70" i="23"/>
  <c r="CD40" i="12"/>
  <c r="CD38" i="24"/>
  <c r="CD49" i="24"/>
  <c r="CD74" i="24"/>
  <c r="CD61" i="24"/>
  <c r="CD19" i="12"/>
  <c r="CD64" i="24"/>
  <c r="CD33" i="12"/>
  <c r="CD74" i="12"/>
  <c r="H11" i="21" a="1"/>
  <c r="CD65" i="23"/>
  <c r="CD71" i="23"/>
  <c r="CD75" i="24"/>
  <c r="CD75" i="23"/>
  <c r="CD80" i="12"/>
  <c r="CD44" i="24"/>
  <c r="I11" i="21" a="1"/>
  <c r="D11" i="21" a="1"/>
  <c r="CD63" i="23"/>
  <c r="CD44" i="12"/>
  <c r="CD63" i="24"/>
  <c r="CD19" i="23"/>
  <c r="CD38" i="12"/>
  <c r="CD8" i="24"/>
  <c r="CD75" i="12"/>
  <c r="CD16" i="12"/>
  <c r="CD51" i="12"/>
  <c r="CD34" i="24"/>
  <c r="CD22" i="12"/>
  <c r="CD70" i="24"/>
  <c r="CD41" i="24"/>
  <c r="CD69" i="24"/>
  <c r="CD67" i="24"/>
  <c r="J11" i="21" a="1"/>
  <c r="CD69" i="23"/>
  <c r="CD16" i="24"/>
  <c r="CD74" i="23"/>
  <c r="CD19" i="24"/>
  <c r="CD66" i="24"/>
  <c r="CD23" i="23"/>
  <c r="CD42" i="23"/>
  <c r="CD36" i="24"/>
  <c r="CD51" i="24"/>
  <c r="CD9" i="23"/>
  <c r="I26" i="18" a="1"/>
  <c r="CD62" i="12"/>
  <c r="CD70" i="12"/>
  <c r="CD68" i="23"/>
  <c r="CD80" i="23"/>
  <c r="CD10" i="24"/>
  <c r="CD37" i="12"/>
  <c r="CD49" i="12"/>
  <c r="CD49" i="23"/>
  <c r="CD39" i="23"/>
  <c r="CD23" i="12"/>
  <c r="K11" i="21" a="1"/>
  <c r="CD37" i="23"/>
  <c r="H26" i="18" a="1"/>
  <c r="CD43" i="23"/>
  <c r="CD78" i="24"/>
  <c r="C116" i="12" a="1"/>
  <c r="N11" i="21" a="1"/>
  <c r="CD71" i="12"/>
  <c r="CD42" i="24"/>
  <c r="CD10" i="12"/>
  <c r="CD22" i="23"/>
  <c r="J26" i="18" a="1"/>
  <c r="CD67" i="12"/>
  <c r="CD79" i="23"/>
  <c r="CD18" i="24"/>
  <c r="CD43" i="24"/>
  <c r="CD50" i="23"/>
  <c r="CD39" i="24"/>
  <c r="CD7" i="23"/>
  <c r="CD72" i="24"/>
  <c r="CD77" i="23"/>
  <c r="CD76" i="24"/>
  <c r="CD20" i="12"/>
  <c r="CD33" i="23"/>
  <c r="CD73" i="12"/>
  <c r="CD39" i="12"/>
  <c r="CD77" i="24"/>
  <c r="CD34" i="23"/>
  <c r="CD60" i="24"/>
  <c r="CD72" i="12"/>
  <c r="CD44" i="23"/>
  <c r="CD80" i="24"/>
  <c r="CD42" i="12"/>
  <c r="CD20" i="24"/>
  <c r="CD78" i="12"/>
  <c r="M11" i="21" a="1"/>
  <c r="CD9" i="12"/>
  <c r="G26" i="18" a="1"/>
  <c r="CD16" i="23"/>
  <c r="CD40" i="24"/>
  <c r="G11" i="21" a="1"/>
  <c r="CD10" i="23"/>
  <c r="CD69" i="12"/>
  <c r="D26" i="18" a="1"/>
  <c r="CD60" i="23"/>
  <c r="CD38" i="23"/>
  <c r="CD65" i="24"/>
  <c r="CD7" i="12"/>
  <c r="CD76" i="12"/>
  <c r="C116" i="23" a="1"/>
  <c r="L11" i="21" a="1"/>
  <c r="C116" i="24" a="1"/>
  <c r="CD65" i="12"/>
  <c r="F26" i="18" a="1"/>
  <c r="CD20" i="23"/>
  <c r="C26" i="18" a="1"/>
  <c r="CD72" i="23"/>
  <c r="CD37" i="24"/>
  <c r="CD23" i="24"/>
  <c r="CD60" i="12"/>
  <c r="I14" i="17" a="1"/>
  <c r="CD59" i="24"/>
  <c r="CD59" i="12"/>
  <c r="CD51" i="23"/>
  <c r="CD67" i="23"/>
  <c r="CD76" i="23"/>
  <c r="CD8" i="23"/>
  <c r="CD8" i="12"/>
  <c r="CD66" i="23"/>
  <c r="CD41" i="12"/>
  <c r="CD41" i="23"/>
  <c r="CD35" i="24"/>
  <c r="CD68" i="12"/>
  <c r="E26" i="18" a="1"/>
  <c r="CD34" i="12"/>
  <c r="CD64" i="23"/>
  <c r="CD66" i="12"/>
  <c r="CD62" i="23"/>
  <c r="H3" i="23" l="1"/>
  <c r="G21" i="24" a="1"/>
  <c r="G21" i="24" s="1"/>
  <c r="H21" i="24" s="1" a="1"/>
  <c r="H21" i="24" s="1"/>
  <c r="G4" i="23"/>
  <c r="F71" i="24" a="1"/>
  <c r="F71" i="24" s="1"/>
  <c r="F37" i="24" s="1"/>
  <c r="F93" i="24" s="1"/>
  <c r="G97" i="24" a="1"/>
  <c r="G97" i="24" s="1"/>
  <c r="H97" i="24" s="1" a="1"/>
  <c r="H97" i="24" s="1"/>
  <c r="H3" i="24"/>
  <c r="G5" i="24"/>
  <c r="G116" i="24" a="1"/>
  <c r="G116" i="24" s="1"/>
  <c r="H116" i="24" s="1" a="1"/>
  <c r="H116" i="24" s="1"/>
  <c r="F47" i="24" a="1"/>
  <c r="F47" i="24" s="1"/>
  <c r="F46" i="24" s="1"/>
  <c r="G116" i="23" a="1"/>
  <c r="G116" i="23" s="1"/>
  <c r="H116" i="23" s="1" a="1"/>
  <c r="H116" i="23" s="1"/>
  <c r="G97" i="23" a="1"/>
  <c r="G97" i="23" s="1"/>
  <c r="H97" i="23" s="1" a="1"/>
  <c r="H97" i="23" s="1"/>
  <c r="F66" i="24" a="1"/>
  <c r="F66" i="24" s="1"/>
  <c r="F65" i="24" s="1"/>
  <c r="F38" i="24" s="1"/>
  <c r="E42" i="24"/>
  <c r="G7" i="24" a="1"/>
  <c r="G7" i="24" s="1"/>
  <c r="G6" i="24" s="1"/>
  <c r="G91" i="24" s="1"/>
  <c r="F71" i="23" a="1"/>
  <c r="F71" i="23" s="1"/>
  <c r="G71" i="23" s="1" a="1"/>
  <c r="G71" i="23" s="1"/>
  <c r="H71" i="23" s="1" a="1"/>
  <c r="H71" i="23" s="1"/>
  <c r="G21" i="23" a="1"/>
  <c r="G21" i="23" s="1"/>
  <c r="H21" i="23" s="1" a="1"/>
  <c r="H21" i="23" s="1"/>
  <c r="F47" i="23" a="1"/>
  <c r="F47" i="23" s="1"/>
  <c r="F46" i="23" s="1"/>
  <c r="CF35" i="24"/>
  <c r="CF36" i="24"/>
  <c r="CF41" i="24"/>
  <c r="CF42" i="24"/>
  <c r="CF43" i="24"/>
  <c r="CF64" i="24"/>
  <c r="CF68" i="24"/>
  <c r="CF65" i="24"/>
  <c r="CF73" i="24"/>
  <c r="CF63" i="24"/>
  <c r="C116" i="24"/>
  <c r="CF74" i="24"/>
  <c r="CF71" i="24"/>
  <c r="CF61" i="24"/>
  <c r="CF62" i="24"/>
  <c r="CF66" i="24"/>
  <c r="CF67" i="24"/>
  <c r="CF80" i="24"/>
  <c r="CF51" i="24"/>
  <c r="CF77" i="24"/>
  <c r="CF23" i="24"/>
  <c r="F161" i="24" s="1" a="1"/>
  <c r="F161" i="24" s="1"/>
  <c r="CF9" i="24"/>
  <c r="CF10" i="24"/>
  <c r="CF7" i="24"/>
  <c r="CF8" i="24"/>
  <c r="CF69" i="24"/>
  <c r="CF19" i="24"/>
  <c r="CF40" i="24"/>
  <c r="CF37" i="24"/>
  <c r="CF38" i="24"/>
  <c r="CF39" i="24"/>
  <c r="CF78" i="24"/>
  <c r="CF79" i="24"/>
  <c r="CF22" i="24"/>
  <c r="CF20" i="24"/>
  <c r="CF18" i="24"/>
  <c r="CF16" i="24"/>
  <c r="CF33" i="24"/>
  <c r="CF34" i="24"/>
  <c r="G161" i="24" s="1" a="1"/>
  <c r="G161" i="24" s="1"/>
  <c r="CF21" i="24"/>
  <c r="CF49" i="24"/>
  <c r="CF50" i="24"/>
  <c r="CF75" i="24"/>
  <c r="CF70" i="24"/>
  <c r="CF44" i="24"/>
  <c r="CF72" i="24"/>
  <c r="CF59" i="24"/>
  <c r="CF60" i="24"/>
  <c r="CF76" i="24"/>
  <c r="I44" i="24"/>
  <c r="H161" i="24" a="1"/>
  <c r="H161" i="24" s="1"/>
  <c r="H5" i="24"/>
  <c r="H4" i="24"/>
  <c r="I3" i="24"/>
  <c r="F70" i="24"/>
  <c r="G7" i="23" a="1"/>
  <c r="G7" i="23" s="1"/>
  <c r="G6" i="23" s="1"/>
  <c r="G91" i="23" s="1"/>
  <c r="F66" i="23" a="1"/>
  <c r="F66" i="23" s="1"/>
  <c r="F65" i="23" s="1"/>
  <c r="F38" i="23" s="1"/>
  <c r="E43" i="23"/>
  <c r="E42" i="23" s="1"/>
  <c r="CF36" i="23"/>
  <c r="CF35" i="23"/>
  <c r="CF43" i="23"/>
  <c r="CF41" i="23"/>
  <c r="CF42" i="23"/>
  <c r="CF73" i="23"/>
  <c r="CF63" i="23"/>
  <c r="CF64" i="23"/>
  <c r="CF68" i="23"/>
  <c r="CF65" i="23"/>
  <c r="C116" i="23"/>
  <c r="CF74" i="23"/>
  <c r="CF71" i="23"/>
  <c r="CF61" i="23"/>
  <c r="CF62" i="23"/>
  <c r="CF67" i="23"/>
  <c r="CF66" i="23"/>
  <c r="CF80" i="23"/>
  <c r="CF51" i="23"/>
  <c r="CF77" i="23"/>
  <c r="CF23" i="23"/>
  <c r="F161" i="23" s="1" a="1"/>
  <c r="F161" i="23" s="1"/>
  <c r="CF8" i="23"/>
  <c r="CF9" i="23"/>
  <c r="CF10" i="23"/>
  <c r="CF7" i="23"/>
  <c r="CF79" i="23"/>
  <c r="CF20" i="23"/>
  <c r="CF18" i="23"/>
  <c r="CF16" i="23"/>
  <c r="CF22" i="23"/>
  <c r="CF69" i="23"/>
  <c r="CF19" i="23"/>
  <c r="CF38" i="23"/>
  <c r="CF39" i="23"/>
  <c r="CF40" i="23"/>
  <c r="CF37" i="23"/>
  <c r="CF78" i="23"/>
  <c r="CF34" i="23"/>
  <c r="G161" i="23" s="1" a="1"/>
  <c r="G161" i="23" s="1"/>
  <c r="CF33" i="23"/>
  <c r="CF21" i="23"/>
  <c r="CF50" i="23"/>
  <c r="CF49" i="23"/>
  <c r="CF75" i="23"/>
  <c r="CF70" i="23"/>
  <c r="CF44" i="23"/>
  <c r="CF72" i="23"/>
  <c r="CF60" i="23"/>
  <c r="CF59" i="23"/>
  <c r="CF76" i="23"/>
  <c r="H161" i="23" a="1"/>
  <c r="H161" i="23" s="1"/>
  <c r="H4" i="23"/>
  <c r="H5" i="23"/>
  <c r="I3" i="23"/>
  <c r="J44" i="23"/>
  <c r="AA9" i="22" a="1"/>
  <c r="AA9" i="22" s="1"/>
  <c r="AA18" i="22" a="1"/>
  <c r="AA18" i="22" s="1"/>
  <c r="G11" i="21"/>
  <c r="I11" i="21"/>
  <c r="M11" i="21"/>
  <c r="K11" i="21"/>
  <c r="H11" i="21"/>
  <c r="J11" i="21"/>
  <c r="N11" i="21"/>
  <c r="D11" i="21"/>
  <c r="L11" i="21"/>
  <c r="C8" i="21"/>
  <c r="F5" i="21" a="1"/>
  <c r="F5" i="21" s="1"/>
  <c r="F4" i="21" a="1"/>
  <c r="F4" i="21" s="1"/>
  <c r="CF67" i="12"/>
  <c r="CF74" i="12"/>
  <c r="CF23" i="12"/>
  <c r="CF7" i="12"/>
  <c r="CF8" i="12"/>
  <c r="CF9" i="12"/>
  <c r="CF10" i="12"/>
  <c r="CF79" i="12"/>
  <c r="CF22" i="12"/>
  <c r="CF20" i="12"/>
  <c r="CF16" i="12"/>
  <c r="CF18" i="12"/>
  <c r="CF69" i="12"/>
  <c r="CF19" i="12"/>
  <c r="CF37" i="12"/>
  <c r="CF38" i="12"/>
  <c r="CF39" i="12"/>
  <c r="CF40" i="12"/>
  <c r="CF78" i="12"/>
  <c r="CF61" i="12"/>
  <c r="CF62" i="12"/>
  <c r="CF71" i="12"/>
  <c r="CF33" i="12"/>
  <c r="CF34" i="12"/>
  <c r="CF21" i="12"/>
  <c r="CF49" i="12"/>
  <c r="CF50" i="12"/>
  <c r="CF75" i="12"/>
  <c r="CF80" i="12"/>
  <c r="CF51" i="12"/>
  <c r="CF70" i="12"/>
  <c r="CF44" i="12"/>
  <c r="CF72" i="12"/>
  <c r="CF59" i="12"/>
  <c r="CF60" i="12"/>
  <c r="CF76" i="12"/>
  <c r="CF77" i="12"/>
  <c r="CF36" i="12"/>
  <c r="CF35" i="12"/>
  <c r="CF41" i="12"/>
  <c r="CF42" i="12"/>
  <c r="CF43" i="12"/>
  <c r="CF63" i="12"/>
  <c r="CF64" i="12"/>
  <c r="CF73" i="12"/>
  <c r="CF65" i="12"/>
  <c r="CF66" i="12"/>
  <c r="CF68" i="12"/>
  <c r="J26" i="18"/>
  <c r="E26" i="18"/>
  <c r="F26" i="18"/>
  <c r="D26" i="18"/>
  <c r="I26" i="18"/>
  <c r="G26" i="18"/>
  <c r="H26" i="18"/>
  <c r="C26" i="18"/>
  <c r="B25" i="18"/>
  <c r="C116" i="12"/>
  <c r="B14" i="17"/>
  <c r="I14" i="17"/>
  <c r="I12" i="17" s="1"/>
  <c r="R9" i="13"/>
  <c r="K23" i="15"/>
  <c r="K21" i="15" s="1"/>
  <c r="H23" i="15"/>
  <c r="H21" i="15" s="1"/>
  <c r="E23" i="15"/>
  <c r="E21" i="15" s="1"/>
  <c r="K18" i="15"/>
  <c r="K16" i="15" s="1"/>
  <c r="H18" i="15"/>
  <c r="H16" i="15" s="1"/>
  <c r="E18" i="15"/>
  <c r="E16" i="15" s="1"/>
  <c r="K8" i="15"/>
  <c r="E8" i="15"/>
  <c r="H13" i="15"/>
  <c r="H11" i="15" s="1"/>
  <c r="E13" i="15"/>
  <c r="E11" i="15" s="1"/>
  <c r="K13" i="15"/>
  <c r="K11" i="15" s="1"/>
  <c r="H8" i="15"/>
  <c r="R13" i="13"/>
  <c r="B17" i="13"/>
  <c r="R11" i="13" s="1"/>
  <c r="B16" i="13" a="1"/>
  <c r="B15" i="17" a="1"/>
  <c r="C11" i="21" a="1"/>
  <c r="F11" i="21" a="1"/>
  <c r="B26" i="18" a="1"/>
  <c r="G71" i="24" l="1" a="1"/>
  <c r="G71" i="24" s="1"/>
  <c r="G70" i="24" s="1"/>
  <c r="G66" i="24" a="1"/>
  <c r="G66" i="24" s="1"/>
  <c r="G65" i="24" s="1"/>
  <c r="G38" i="24" s="1"/>
  <c r="G47" i="24" a="1"/>
  <c r="G47" i="24" s="1"/>
  <c r="G46" i="24" s="1"/>
  <c r="F37" i="23"/>
  <c r="F93" i="23" s="1"/>
  <c r="F70" i="23"/>
  <c r="F86" i="23" s="1"/>
  <c r="G66" i="23" a="1"/>
  <c r="G66" i="23" s="1"/>
  <c r="G65" i="23" s="1"/>
  <c r="G38" i="23" s="1"/>
  <c r="H7" i="24" a="1"/>
  <c r="H7" i="24" s="1"/>
  <c r="H6" i="24" s="1"/>
  <c r="H91" i="24" s="1"/>
  <c r="G47" i="23" a="1"/>
  <c r="G47" i="23" s="1"/>
  <c r="G46" i="23" s="1"/>
  <c r="G70" i="23"/>
  <c r="G37" i="23"/>
  <c r="G93" i="23" s="1"/>
  <c r="H7" i="23" a="1"/>
  <c r="H7" i="23" s="1"/>
  <c r="H6" i="23" s="1"/>
  <c r="H91" i="23" s="1"/>
  <c r="F20" i="24"/>
  <c r="F40" i="24" s="1"/>
  <c r="F139" i="24"/>
  <c r="F86" i="24"/>
  <c r="J44" i="24"/>
  <c r="F41" i="24"/>
  <c r="I97" i="24" a="1"/>
  <c r="I97" i="24" s="1"/>
  <c r="I116" i="24" a="1"/>
  <c r="I116" i="24" s="1"/>
  <c r="I21" i="24" a="1"/>
  <c r="I21" i="24" s="1"/>
  <c r="J3" i="24"/>
  <c r="I4" i="24"/>
  <c r="I5" i="24"/>
  <c r="H70" i="23"/>
  <c r="H37" i="23"/>
  <c r="H93" i="23" s="1"/>
  <c r="K44" i="23"/>
  <c r="F20" i="23"/>
  <c r="I97" i="23" a="1"/>
  <c r="I97" i="23" s="1"/>
  <c r="I116" i="23" a="1"/>
  <c r="I116" i="23" s="1"/>
  <c r="I21" i="23" a="1"/>
  <c r="I21" i="23" s="1"/>
  <c r="I4" i="23"/>
  <c r="I5" i="23"/>
  <c r="I71" i="23" a="1"/>
  <c r="I71" i="23" s="1"/>
  <c r="J3" i="23"/>
  <c r="F11" i="21"/>
  <c r="C11" i="21"/>
  <c r="B26" i="18"/>
  <c r="B15" i="17"/>
  <c r="B16" i="17" s="1"/>
  <c r="B12" i="17" s="1"/>
  <c r="E10" i="17" s="1"/>
  <c r="K26" i="15"/>
  <c r="B16" i="13"/>
  <c r="H26" i="15"/>
  <c r="E26" i="15"/>
  <c r="F139" i="23" l="1"/>
  <c r="H71" i="24" a="1"/>
  <c r="H71" i="24" s="1"/>
  <c r="I71" i="24" s="1" a="1"/>
  <c r="I71" i="24" s="1"/>
  <c r="I70" i="24" s="1"/>
  <c r="G37" i="24"/>
  <c r="G93" i="24" s="1"/>
  <c r="H66" i="24" a="1"/>
  <c r="H66" i="24" s="1"/>
  <c r="H65" i="24" s="1"/>
  <c r="H38" i="24" s="1"/>
  <c r="H47" i="24" a="1"/>
  <c r="H47" i="24" s="1"/>
  <c r="H46" i="24" s="1"/>
  <c r="G86" i="23"/>
  <c r="H66" i="23" a="1"/>
  <c r="H66" i="23" s="1"/>
  <c r="H65" i="23" s="1"/>
  <c r="H38" i="23" s="1"/>
  <c r="G139" i="23"/>
  <c r="I7" i="24" a="1"/>
  <c r="I7" i="24" s="1"/>
  <c r="I6" i="24" s="1"/>
  <c r="I91" i="24" s="1"/>
  <c r="H47" i="23" a="1"/>
  <c r="H47" i="23" s="1"/>
  <c r="H46" i="23" s="1"/>
  <c r="F84" i="24"/>
  <c r="F85" i="24" s="1"/>
  <c r="F92" i="24" s="1"/>
  <c r="F90" i="24" s="1"/>
  <c r="I7" i="23" a="1"/>
  <c r="I7" i="23" s="1"/>
  <c r="I6" i="23" s="1"/>
  <c r="I91" i="23" s="1"/>
  <c r="K44" i="24"/>
  <c r="J116" i="24" a="1"/>
  <c r="J116" i="24" s="1"/>
  <c r="J97" i="24" a="1"/>
  <c r="J97" i="24" s="1"/>
  <c r="K3" i="24"/>
  <c r="J4" i="24"/>
  <c r="J21" i="24" a="1"/>
  <c r="J21" i="24" s="1"/>
  <c r="J5" i="24"/>
  <c r="G139" i="24"/>
  <c r="G86" i="24"/>
  <c r="F41" i="23"/>
  <c r="F40" i="23"/>
  <c r="L44" i="23"/>
  <c r="J97" i="23" a="1"/>
  <c r="J97" i="23" s="1"/>
  <c r="J116" i="23" a="1"/>
  <c r="J116" i="23" s="1"/>
  <c r="J21" i="23" a="1"/>
  <c r="J21" i="23" s="1"/>
  <c r="J71" i="23" a="1"/>
  <c r="J71" i="23" s="1"/>
  <c r="J5" i="23"/>
  <c r="J4" i="23"/>
  <c r="K3" i="23"/>
  <c r="I37" i="23"/>
  <c r="I93" i="23" s="1"/>
  <c r="I70" i="23"/>
  <c r="H139" i="23"/>
  <c r="H86" i="23"/>
  <c r="C13" i="21"/>
  <c r="B14" i="13"/>
  <c r="E10" i="13" s="1"/>
  <c r="R10" i="13"/>
  <c r="F149" i="24" a="1"/>
  <c r="J71" i="24" l="1" a="1"/>
  <c r="J71" i="24" s="1"/>
  <c r="J70" i="24" s="1"/>
  <c r="H70" i="24"/>
  <c r="I66" i="24" a="1"/>
  <c r="I66" i="24" s="1"/>
  <c r="I65" i="24" s="1"/>
  <c r="I38" i="24" s="1"/>
  <c r="H37" i="24"/>
  <c r="H93" i="24" s="1"/>
  <c r="I37" i="24"/>
  <c r="I93" i="24" s="1"/>
  <c r="I47" i="24" a="1"/>
  <c r="I47" i="24" s="1"/>
  <c r="I46" i="24" s="1"/>
  <c r="I66" i="23" a="1"/>
  <c r="I66" i="23" s="1"/>
  <c r="I65" i="23" s="1"/>
  <c r="I38" i="23" s="1"/>
  <c r="J7" i="24" a="1"/>
  <c r="J7" i="24" s="1"/>
  <c r="J6" i="24" s="1"/>
  <c r="J91" i="24" s="1"/>
  <c r="I47" i="23" a="1"/>
  <c r="I47" i="23" s="1"/>
  <c r="I46" i="23" s="1"/>
  <c r="J7" i="23" a="1"/>
  <c r="J7" i="23" s="1"/>
  <c r="J6" i="23" s="1"/>
  <c r="J91" i="23" s="1"/>
  <c r="F149" i="24"/>
  <c r="K116" i="24" a="1"/>
  <c r="K116" i="24" s="1"/>
  <c r="K97" i="24" a="1"/>
  <c r="K97" i="24" s="1"/>
  <c r="L3" i="24"/>
  <c r="K21" i="24" a="1"/>
  <c r="K21" i="24" s="1"/>
  <c r="K4" i="24"/>
  <c r="K5" i="24"/>
  <c r="L44" i="24"/>
  <c r="H139" i="24"/>
  <c r="H86" i="24"/>
  <c r="I139" i="24"/>
  <c r="I86" i="24"/>
  <c r="F82" i="24"/>
  <c r="F45" i="24" s="1"/>
  <c r="K116" i="23" a="1"/>
  <c r="K116" i="23" s="1"/>
  <c r="K97" i="23" a="1"/>
  <c r="K97" i="23" s="1"/>
  <c r="K21" i="23" a="1"/>
  <c r="K21" i="23" s="1"/>
  <c r="K71" i="23" a="1"/>
  <c r="K71" i="23" s="1"/>
  <c r="K5" i="23"/>
  <c r="L3" i="23"/>
  <c r="K4" i="23"/>
  <c r="J70" i="23"/>
  <c r="J37" i="23"/>
  <c r="J93" i="23" s="1"/>
  <c r="M44" i="23"/>
  <c r="I139" i="23"/>
  <c r="I86" i="23"/>
  <c r="F84" i="23"/>
  <c r="R12" i="13"/>
  <c r="E12" i="13"/>
  <c r="E44" i="12"/>
  <c r="E45" i="12" s="1"/>
  <c r="F83" i="12" s="1"/>
  <c r="E66" i="12" a="1"/>
  <c r="E71" i="12" a="1"/>
  <c r="J66" i="24" l="1" a="1"/>
  <c r="J66" i="24" s="1"/>
  <c r="J65" i="24" s="1"/>
  <c r="J38" i="24" s="1"/>
  <c r="K71" i="24" a="1"/>
  <c r="K71" i="24" s="1"/>
  <c r="L71" i="24" s="1" a="1"/>
  <c r="L71" i="24" s="1"/>
  <c r="J37" i="24"/>
  <c r="J93" i="24" s="1"/>
  <c r="J47" i="24" a="1"/>
  <c r="J47" i="24" s="1"/>
  <c r="J46" i="24" s="1"/>
  <c r="J66" i="23" a="1"/>
  <c r="J66" i="23" s="1"/>
  <c r="J65" i="23" s="1"/>
  <c r="J38" i="23" s="1"/>
  <c r="K7" i="24" a="1"/>
  <c r="K7" i="24" s="1"/>
  <c r="K6" i="24" s="1"/>
  <c r="K91" i="24" s="1"/>
  <c r="K7" i="23" a="1"/>
  <c r="K7" i="23" s="1"/>
  <c r="K6" i="23" s="1"/>
  <c r="K91" i="23" s="1"/>
  <c r="J47" i="23" a="1"/>
  <c r="J47" i="23" s="1"/>
  <c r="J46" i="23" s="1"/>
  <c r="G83" i="24"/>
  <c r="F43" i="24"/>
  <c r="L116" i="24" a="1"/>
  <c r="L116" i="24" s="1"/>
  <c r="L97" i="24" a="1"/>
  <c r="L97" i="24" s="1"/>
  <c r="M3" i="24"/>
  <c r="L21" i="24" a="1"/>
  <c r="L21" i="24" s="1"/>
  <c r="L4" i="24"/>
  <c r="L5" i="24"/>
  <c r="M44" i="24"/>
  <c r="K66" i="24" a="1"/>
  <c r="K66" i="24" s="1"/>
  <c r="K65" i="24" s="1"/>
  <c r="K38" i="24" s="1"/>
  <c r="J139" i="24"/>
  <c r="J86" i="24"/>
  <c r="K37" i="23"/>
  <c r="K93" i="23" s="1"/>
  <c r="K70" i="23"/>
  <c r="L116" i="23" a="1"/>
  <c r="L116" i="23" s="1"/>
  <c r="L97" i="23" a="1"/>
  <c r="L97" i="23" s="1"/>
  <c r="L21" i="23" a="1"/>
  <c r="L21" i="23" s="1"/>
  <c r="L71" i="23" a="1"/>
  <c r="L71" i="23" s="1"/>
  <c r="M3" i="23"/>
  <c r="L4" i="23"/>
  <c r="L5" i="23"/>
  <c r="F85" i="23"/>
  <c r="F92" i="23" s="1"/>
  <c r="F90" i="23" s="1"/>
  <c r="J139" i="23"/>
  <c r="J86" i="23"/>
  <c r="N44" i="23"/>
  <c r="E43" i="12"/>
  <c r="E66" i="12"/>
  <c r="E65" i="12" s="1"/>
  <c r="E71" i="12"/>
  <c r="E70" i="12" s="1"/>
  <c r="F44" i="12"/>
  <c r="F149" i="23" a="1"/>
  <c r="K66" i="23" l="1" a="1"/>
  <c r="K66" i="23" s="1"/>
  <c r="K65" i="23" s="1"/>
  <c r="K38" i="23" s="1"/>
  <c r="K70" i="24"/>
  <c r="K86" i="24" s="1"/>
  <c r="K37" i="24"/>
  <c r="K93" i="24" s="1"/>
  <c r="L7" i="23" a="1"/>
  <c r="L7" i="23" s="1"/>
  <c r="L6" i="23" s="1"/>
  <c r="L91" i="23" s="1"/>
  <c r="K47" i="24" a="1"/>
  <c r="K47" i="24" s="1"/>
  <c r="K46" i="24" s="1"/>
  <c r="L7" i="24" a="1"/>
  <c r="L7" i="24" s="1"/>
  <c r="L6" i="24" s="1"/>
  <c r="L91" i="24" s="1"/>
  <c r="K47" i="23" a="1"/>
  <c r="K47" i="23" s="1"/>
  <c r="K46" i="23" s="1"/>
  <c r="N44" i="24"/>
  <c r="L70" i="24"/>
  <c r="L37" i="24"/>
  <c r="L93" i="24" s="1"/>
  <c r="L66" i="24" a="1"/>
  <c r="L66" i="24" s="1"/>
  <c r="L65" i="24" s="1"/>
  <c r="L38" i="24" s="1"/>
  <c r="F82" i="23"/>
  <c r="F45" i="23" s="1"/>
  <c r="G83" i="23" s="1"/>
  <c r="F138" i="24"/>
  <c r="F137" i="24" s="1"/>
  <c r="F42" i="24"/>
  <c r="K139" i="24"/>
  <c r="M161" i="24" a="1"/>
  <c r="M161" i="24" s="1"/>
  <c r="M116" i="24" a="1"/>
  <c r="M116" i="24" s="1"/>
  <c r="M97" i="24" a="1"/>
  <c r="M97" i="24" s="1"/>
  <c r="M71" i="24" a="1"/>
  <c r="M71" i="24" s="1"/>
  <c r="M21" i="24" a="1"/>
  <c r="M21" i="24" s="1"/>
  <c r="N3" i="24"/>
  <c r="M4" i="24"/>
  <c r="M5" i="24"/>
  <c r="F149" i="23"/>
  <c r="L66" i="23" a="1"/>
  <c r="L66" i="23" s="1"/>
  <c r="L65" i="23" s="1"/>
  <c r="L38" i="23" s="1"/>
  <c r="L70" i="23"/>
  <c r="L37" i="23"/>
  <c r="L93" i="23" s="1"/>
  <c r="O44" i="23"/>
  <c r="K139" i="23"/>
  <c r="K86" i="23"/>
  <c r="M161" i="23" a="1"/>
  <c r="M161" i="23" s="1"/>
  <c r="M97" i="23" a="1"/>
  <c r="M97" i="23" s="1"/>
  <c r="M116" i="23" a="1"/>
  <c r="M116" i="23" s="1"/>
  <c r="M21" i="23" a="1"/>
  <c r="M21" i="23" s="1"/>
  <c r="N3" i="23"/>
  <c r="M7" i="23" a="1"/>
  <c r="M7" i="23" s="1"/>
  <c r="M6" i="23" s="1"/>
  <c r="M91" i="23" s="1"/>
  <c r="M4" i="23"/>
  <c r="M71" i="23" a="1"/>
  <c r="M71" i="23" s="1"/>
  <c r="M5" i="23"/>
  <c r="F36" i="12"/>
  <c r="F140" i="12"/>
  <c r="G140" i="12" s="1"/>
  <c r="H140" i="12" s="1"/>
  <c r="I140" i="12" s="1"/>
  <c r="J140" i="12" s="1"/>
  <c r="K140" i="12" s="1"/>
  <c r="L140" i="12" s="1"/>
  <c r="M140" i="12" s="1"/>
  <c r="N140" i="12" s="1"/>
  <c r="O140" i="12" s="1"/>
  <c r="P140" i="12" s="1"/>
  <c r="Q140" i="12" s="1"/>
  <c r="R140" i="12" s="1"/>
  <c r="S140" i="12" s="1"/>
  <c r="T140" i="12" s="1"/>
  <c r="U140" i="12" s="1"/>
  <c r="V140" i="12" s="1"/>
  <c r="W140" i="12" s="1"/>
  <c r="X140" i="12" s="1"/>
  <c r="Y140" i="12" s="1"/>
  <c r="Z140" i="12" s="1"/>
  <c r="AA140" i="12" s="1"/>
  <c r="AB140" i="12" s="1"/>
  <c r="AC140" i="12" s="1"/>
  <c r="AD140" i="12" s="1"/>
  <c r="AE140" i="12" s="1"/>
  <c r="AF140" i="12" s="1"/>
  <c r="AG140" i="12" s="1"/>
  <c r="AH140" i="12" s="1"/>
  <c r="AI140" i="12" s="1"/>
  <c r="AJ140" i="12" s="1"/>
  <c r="AK140" i="12" s="1"/>
  <c r="AL140" i="12" s="1"/>
  <c r="AM140" i="12" s="1"/>
  <c r="AN140" i="12" s="1"/>
  <c r="AO140" i="12" s="1"/>
  <c r="AP140" i="12" s="1"/>
  <c r="AQ140" i="12" s="1"/>
  <c r="AR140" i="12" s="1"/>
  <c r="AS140" i="12" s="1"/>
  <c r="AT140" i="12" s="1"/>
  <c r="AU140" i="12" s="1"/>
  <c r="AV140" i="12" s="1"/>
  <c r="AW140" i="12" s="1"/>
  <c r="AX140" i="12" s="1"/>
  <c r="AY140" i="12" s="1"/>
  <c r="AZ140" i="12" s="1"/>
  <c r="BA140" i="12" s="1"/>
  <c r="BT3" i="12"/>
  <c r="BT2" i="12"/>
  <c r="F3" i="12"/>
  <c r="F161" i="12" s="1" a="1"/>
  <c r="F161" i="12" s="1"/>
  <c r="C91" i="10" a="1"/>
  <c r="C91" i="10" s="1"/>
  <c r="C90" i="10" s="1"/>
  <c r="A91" i="10" a="1"/>
  <c r="A91" i="10" s="1"/>
  <c r="C75" i="10" a="1"/>
  <c r="C75" i="10" s="1"/>
  <c r="C74" i="10" s="1"/>
  <c r="A75" i="10" a="1"/>
  <c r="A75" i="10" s="1"/>
  <c r="C49" i="10"/>
  <c r="A50" i="10" a="1"/>
  <c r="A50" i="10" s="1"/>
  <c r="C3" i="10" a="1"/>
  <c r="C3" i="10" s="1"/>
  <c r="C2" i="10" s="1"/>
  <c r="A3" i="10" a="1"/>
  <c r="A3" i="10" s="1"/>
  <c r="A5" i="12"/>
  <c r="A4" i="12"/>
  <c r="C33" i="10" a="1"/>
  <c r="C33" i="10" s="1"/>
  <c r="A33" i="10" a="1"/>
  <c r="A33" i="10" s="1"/>
  <c r="A19" i="9"/>
  <c r="A41" i="3"/>
  <c r="A17" i="9"/>
  <c r="G683" i="1"/>
  <c r="G684" i="1"/>
  <c r="AR3" i="11" a="1"/>
  <c r="F3" i="11" a="1"/>
  <c r="B71" i="12" a="1"/>
  <c r="T3" i="11" a="1"/>
  <c r="A116" i="12" a="1"/>
  <c r="A21" i="12" a="1"/>
  <c r="T4" i="11" a="1"/>
  <c r="D7" i="12" a="1"/>
  <c r="AC4" i="11" a="1"/>
  <c r="B47" i="12" a="1"/>
  <c r="F116" i="12" a="1"/>
  <c r="AK3" i="11" a="1"/>
  <c r="C41" i="3" a="1"/>
  <c r="AR9" i="11" a="1"/>
  <c r="F5" i="11" a="1"/>
  <c r="F6" i="11" a="1"/>
  <c r="H684" i="1" a="1"/>
  <c r="N7" i="11" a="1"/>
  <c r="A7" i="12" a="1"/>
  <c r="B21" i="12" a="1"/>
  <c r="F8" i="11" a="1"/>
  <c r="F150" i="24" a="1"/>
  <c r="F7" i="11" a="1"/>
  <c r="D66" i="12" a="1"/>
  <c r="D71" i="12" a="1"/>
  <c r="F7" i="12" a="1"/>
  <c r="N3" i="11" a="1"/>
  <c r="E47" i="12" a="1"/>
  <c r="AK4" i="11" a="1"/>
  <c r="A71" i="12" a="1"/>
  <c r="B7" i="12" a="1"/>
  <c r="B66" i="12" a="1"/>
  <c r="H683" i="1" a="1"/>
  <c r="D47" i="12" a="1"/>
  <c r="D21" i="12" a="1"/>
  <c r="A47" i="12" a="1"/>
  <c r="B116" i="12" a="1"/>
  <c r="A66" i="12" a="1"/>
  <c r="F21" i="12" a="1"/>
  <c r="BS83" i="12" l="1"/>
  <c r="BS91" i="12"/>
  <c r="BS99" i="12"/>
  <c r="BS102" i="12"/>
  <c r="BS84" i="12"/>
  <c r="BS92" i="12"/>
  <c r="BS100" i="12"/>
  <c r="BS85" i="12"/>
  <c r="BS93" i="12"/>
  <c r="BS101" i="12"/>
  <c r="BS86" i="12"/>
  <c r="BS87" i="12"/>
  <c r="BS95" i="12"/>
  <c r="BS103" i="12"/>
  <c r="BS94" i="12"/>
  <c r="BS88" i="12"/>
  <c r="BS96" i="12"/>
  <c r="BS104" i="12"/>
  <c r="BS89" i="12"/>
  <c r="BS97" i="12"/>
  <c r="BS90" i="12"/>
  <c r="BS98" i="12"/>
  <c r="L47" i="24" a="1"/>
  <c r="L47" i="24" s="1"/>
  <c r="L46" i="24" s="1"/>
  <c r="F43" i="23"/>
  <c r="F138" i="23" s="1"/>
  <c r="F137" i="23" s="1"/>
  <c r="M7" i="24" a="1"/>
  <c r="M7" i="24" s="1"/>
  <c r="M6" i="24" s="1"/>
  <c r="M91" i="24" s="1"/>
  <c r="L47" i="23" a="1"/>
  <c r="L47" i="23" s="1"/>
  <c r="L46" i="23" s="1"/>
  <c r="M66" i="24" a="1"/>
  <c r="M66" i="24" s="1"/>
  <c r="M65" i="24" s="1"/>
  <c r="M38" i="24" s="1"/>
  <c r="F150" i="24"/>
  <c r="F148" i="24" s="1"/>
  <c r="N116" i="24" a="1"/>
  <c r="N116" i="24" s="1"/>
  <c r="N161" i="24" a="1"/>
  <c r="N161" i="24" s="1"/>
  <c r="N97" i="24" a="1"/>
  <c r="N97" i="24" s="1"/>
  <c r="N71" i="24" a="1"/>
  <c r="N71" i="24" s="1"/>
  <c r="N4" i="24"/>
  <c r="N5" i="24"/>
  <c r="O3" i="24"/>
  <c r="N21" i="24" a="1"/>
  <c r="N21" i="24" s="1"/>
  <c r="L139" i="24"/>
  <c r="L86" i="24"/>
  <c r="O44" i="24"/>
  <c r="M70" i="24"/>
  <c r="M37" i="24"/>
  <c r="M93" i="24" s="1"/>
  <c r="M37" i="23"/>
  <c r="M93" i="23" s="1"/>
  <c r="M70" i="23"/>
  <c r="L139" i="23"/>
  <c r="L86" i="23"/>
  <c r="N161" i="23" a="1"/>
  <c r="N161" i="23" s="1"/>
  <c r="N97" i="23" a="1"/>
  <c r="N97" i="23" s="1"/>
  <c r="N116" i="23" a="1"/>
  <c r="N116" i="23" s="1"/>
  <c r="N21" i="23" a="1"/>
  <c r="N21" i="23" s="1"/>
  <c r="N71" i="23" a="1"/>
  <c r="N71" i="23" s="1"/>
  <c r="N7" i="23" a="1"/>
  <c r="N7" i="23" s="1"/>
  <c r="N6" i="23" s="1"/>
  <c r="N91" i="23" s="1"/>
  <c r="O3" i="23"/>
  <c r="N4" i="23"/>
  <c r="N5" i="23"/>
  <c r="M66" i="23" a="1"/>
  <c r="M66" i="23" s="1"/>
  <c r="M65" i="23" s="1"/>
  <c r="M38" i="23" s="1"/>
  <c r="P44" i="23"/>
  <c r="C41" i="3"/>
  <c r="A42" i="3"/>
  <c r="BS67" i="12"/>
  <c r="BS3" i="12"/>
  <c r="BS45" i="12"/>
  <c r="BS53" i="12"/>
  <c r="BS5" i="12"/>
  <c r="BS70" i="12"/>
  <c r="BS21" i="12"/>
  <c r="BS37" i="12"/>
  <c r="BS61" i="12"/>
  <c r="BS13" i="12"/>
  <c r="BS78" i="12"/>
  <c r="BS29" i="12"/>
  <c r="BS63" i="12"/>
  <c r="BS64" i="12"/>
  <c r="BS47" i="12"/>
  <c r="BS49" i="12"/>
  <c r="BS60" i="12"/>
  <c r="BS4" i="12"/>
  <c r="BS68" i="12"/>
  <c r="BS54" i="12"/>
  <c r="BS23" i="12"/>
  <c r="BS56" i="12"/>
  <c r="BS11" i="12"/>
  <c r="BS15" i="12"/>
  <c r="BS73" i="12"/>
  <c r="BS72" i="12"/>
  <c r="BS57" i="12"/>
  <c r="BS22" i="12"/>
  <c r="BS20" i="12"/>
  <c r="BS76" i="12"/>
  <c r="BS79" i="12"/>
  <c r="BS75" i="12"/>
  <c r="BS55" i="12"/>
  <c r="BS8" i="12"/>
  <c r="BS18" i="12"/>
  <c r="BS10" i="12"/>
  <c r="BS36" i="12"/>
  <c r="BS6" i="12"/>
  <c r="BS65" i="12"/>
  <c r="BS26" i="12"/>
  <c r="BS12" i="12"/>
  <c r="BS28" i="12"/>
  <c r="BS31" i="12"/>
  <c r="BS44" i="12"/>
  <c r="BS66" i="12"/>
  <c r="BS30" i="12"/>
  <c r="BS24" i="12"/>
  <c r="BS17" i="12"/>
  <c r="BS14" i="12"/>
  <c r="BS74" i="12"/>
  <c r="BS34" i="12"/>
  <c r="BS27" i="12"/>
  <c r="BS69" i="12"/>
  <c r="BS48" i="12"/>
  <c r="BS19" i="12"/>
  <c r="BS62" i="12"/>
  <c r="BS32" i="12"/>
  <c r="BS46" i="12"/>
  <c r="BS9" i="12"/>
  <c r="BS52" i="12"/>
  <c r="BS42" i="12"/>
  <c r="BS35" i="12"/>
  <c r="BS77" i="12"/>
  <c r="BS58" i="12"/>
  <c r="BS39" i="12"/>
  <c r="BS16" i="12"/>
  <c r="BS40" i="12"/>
  <c r="BS71" i="12"/>
  <c r="BS25" i="12"/>
  <c r="BS38" i="12"/>
  <c r="BS50" i="12"/>
  <c r="BS43" i="12"/>
  <c r="BS7" i="12"/>
  <c r="BS33" i="12"/>
  <c r="BS51" i="12"/>
  <c r="BS41" i="12"/>
  <c r="BS59" i="12"/>
  <c r="BS130" i="12"/>
  <c r="BS110" i="12"/>
  <c r="BS134" i="12"/>
  <c r="BS126" i="12"/>
  <c r="BS149" i="12"/>
  <c r="BS145" i="12"/>
  <c r="BS141" i="12"/>
  <c r="BS132" i="12"/>
  <c r="BS128" i="12"/>
  <c r="BS124" i="12"/>
  <c r="BS120" i="12"/>
  <c r="BS116" i="12"/>
  <c r="BS112" i="12"/>
  <c r="BS108" i="12"/>
  <c r="BS82" i="12"/>
  <c r="BS143" i="12"/>
  <c r="BS114" i="12"/>
  <c r="BS106" i="12"/>
  <c r="BS144" i="12"/>
  <c r="BS140" i="12"/>
  <c r="BS131" i="12"/>
  <c r="BS127" i="12"/>
  <c r="BS123" i="12"/>
  <c r="BS115" i="12"/>
  <c r="BS107" i="12"/>
  <c r="BS147" i="12"/>
  <c r="BS118" i="12"/>
  <c r="BS148" i="12"/>
  <c r="BS119" i="12"/>
  <c r="BS111" i="12"/>
  <c r="BS81" i="12"/>
  <c r="BS122" i="12"/>
  <c r="BS142" i="12"/>
  <c r="BS150" i="12"/>
  <c r="BS109" i="12"/>
  <c r="BS133" i="12"/>
  <c r="BS105" i="12"/>
  <c r="BS117" i="12"/>
  <c r="BS113" i="12"/>
  <c r="BS125" i="12"/>
  <c r="BS121" i="12"/>
  <c r="BS146" i="12"/>
  <c r="BS129" i="12"/>
  <c r="G3" i="12"/>
  <c r="G161" i="12" s="1" a="1"/>
  <c r="G161" i="12" s="1"/>
  <c r="F116" i="12"/>
  <c r="A116" i="12"/>
  <c r="B116" i="12"/>
  <c r="F7" i="11"/>
  <c r="N3" i="11"/>
  <c r="D7" i="12"/>
  <c r="F4" i="12"/>
  <c r="F5" i="12"/>
  <c r="B71" i="12"/>
  <c r="F71" i="12" s="1" a="1"/>
  <c r="F71" i="12" s="1"/>
  <c r="F70" i="12" s="1"/>
  <c r="D71" i="12"/>
  <c r="A71" i="12"/>
  <c r="A66" i="12"/>
  <c r="B66" i="12"/>
  <c r="D66" i="12"/>
  <c r="D47" i="12"/>
  <c r="D21" i="12"/>
  <c r="E47" i="12"/>
  <c r="E46" i="12" s="1"/>
  <c r="E42" i="12" s="1"/>
  <c r="B47" i="12"/>
  <c r="A47" i="12"/>
  <c r="AR3" i="11"/>
  <c r="AR9" i="11"/>
  <c r="AK3" i="11"/>
  <c r="F6" i="11"/>
  <c r="AK4" i="11"/>
  <c r="G44" i="12"/>
  <c r="H44" i="12" s="1"/>
  <c r="I44" i="12" s="1"/>
  <c r="BS2" i="12"/>
  <c r="B7" i="12"/>
  <c r="N7" i="11"/>
  <c r="B21" i="12"/>
  <c r="F21" i="12"/>
  <c r="A21" i="12"/>
  <c r="A7" i="12"/>
  <c r="F7" i="12"/>
  <c r="F6" i="12" s="1"/>
  <c r="C32" i="10"/>
  <c r="C103" i="10" s="1"/>
  <c r="T4" i="11"/>
  <c r="T3" i="11"/>
  <c r="F8" i="11"/>
  <c r="F5" i="11"/>
  <c r="F3" i="11"/>
  <c r="AC4" i="11"/>
  <c r="H683" i="1"/>
  <c r="H684" i="1"/>
  <c r="CD58" i="12"/>
  <c r="C97" i="12" a="1"/>
  <c r="CD48" i="12"/>
  <c r="CD55" i="12"/>
  <c r="C97" i="24" a="1"/>
  <c r="CD53" i="23"/>
  <c r="CD25" i="23"/>
  <c r="CD56" i="23"/>
  <c r="CD13" i="24"/>
  <c r="CD14" i="23"/>
  <c r="B41" i="3" a="1"/>
  <c r="C47" i="23" a="1"/>
  <c r="CD52" i="12"/>
  <c r="C21" i="12" a="1"/>
  <c r="CD25" i="24"/>
  <c r="CD46" i="24"/>
  <c r="CD48" i="23"/>
  <c r="CD55" i="23"/>
  <c r="CD30" i="23"/>
  <c r="C66" i="23" a="1"/>
  <c r="CD52" i="24"/>
  <c r="CD28" i="23"/>
  <c r="CD31" i="23"/>
  <c r="CD2" i="23"/>
  <c r="CD6" i="23"/>
  <c r="CD56" i="12"/>
  <c r="CD45" i="23"/>
  <c r="CD45" i="12"/>
  <c r="CD4" i="24"/>
  <c r="C66" i="24" a="1"/>
  <c r="CD57" i="24"/>
  <c r="CD46" i="23"/>
  <c r="CD12" i="24"/>
  <c r="CD6" i="24"/>
  <c r="CD54" i="24"/>
  <c r="CD6" i="12"/>
  <c r="CD32" i="23"/>
  <c r="CD11" i="23"/>
  <c r="CD57" i="12"/>
  <c r="CD5" i="24"/>
  <c r="C71" i="12" a="1"/>
  <c r="CD3" i="12"/>
  <c r="CD47" i="24"/>
  <c r="CD17" i="12"/>
  <c r="CD24" i="24"/>
  <c r="CD31" i="24"/>
  <c r="C71" i="24" a="1"/>
  <c r="CD30" i="24"/>
  <c r="CD25" i="12"/>
  <c r="C71" i="23" a="1"/>
  <c r="CD24" i="12"/>
  <c r="CD12" i="12"/>
  <c r="CD2" i="12"/>
  <c r="CD29" i="12"/>
  <c r="CD17" i="23"/>
  <c r="F150" i="23" a="1"/>
  <c r="CD29" i="23"/>
  <c r="CD54" i="23"/>
  <c r="CD46" i="12"/>
  <c r="C21" i="23" a="1"/>
  <c r="C21" i="24" a="1"/>
  <c r="CD47" i="12"/>
  <c r="CD3" i="24"/>
  <c r="CD29" i="24"/>
  <c r="CD27" i="12"/>
  <c r="CD28" i="12"/>
  <c r="CD27" i="23"/>
  <c r="CD53" i="12"/>
  <c r="CD26" i="12"/>
  <c r="CD17" i="24"/>
  <c r="CD45" i="24"/>
  <c r="C47" i="24" a="1"/>
  <c r="C66" i="12" a="1"/>
  <c r="CD12" i="23"/>
  <c r="C42" i="3" a="1"/>
  <c r="CD27" i="24"/>
  <c r="B42" i="3" a="1"/>
  <c r="CD28" i="24"/>
  <c r="CD5" i="12"/>
  <c r="CD3" i="23"/>
  <c r="CD11" i="24"/>
  <c r="C7" i="24" a="1"/>
  <c r="CD58" i="24"/>
  <c r="C47" i="12" a="1"/>
  <c r="CD13" i="12"/>
  <c r="CD31" i="12"/>
  <c r="CD11" i="12"/>
  <c r="C97" i="23" a="1"/>
  <c r="CD47" i="23"/>
  <c r="CD5" i="23"/>
  <c r="CD2" i="24"/>
  <c r="C7" i="23" a="1"/>
  <c r="CD48" i="24"/>
  <c r="CD52" i="23"/>
  <c r="CD32" i="24"/>
  <c r="CD26" i="24"/>
  <c r="CD15" i="12"/>
  <c r="C7" i="12" a="1"/>
  <c r="CD30" i="12"/>
  <c r="CD53" i="24"/>
  <c r="CD14" i="24"/>
  <c r="CD4" i="12"/>
  <c r="CD56" i="24"/>
  <c r="CD57" i="23"/>
  <c r="CD13" i="23"/>
  <c r="CD14" i="12"/>
  <c r="CD24" i="23"/>
  <c r="CD55" i="24"/>
  <c r="CD32" i="12"/>
  <c r="CD26" i="23"/>
  <c r="CD15" i="23"/>
  <c r="CD4" i="23"/>
  <c r="CD58" i="23"/>
  <c r="CD54" i="12"/>
  <c r="CD15" i="24"/>
  <c r="B5" i="7" l="1"/>
  <c r="B3" i="10" a="1"/>
  <c r="B3" i="10" s="1"/>
  <c r="B3" i="3" a="1"/>
  <c r="B3" i="3" s="1"/>
  <c r="B5" i="18" a="1"/>
  <c r="B5" i="18" s="1"/>
  <c r="F42" i="23"/>
  <c r="N7" i="24" a="1"/>
  <c r="N7" i="24" s="1"/>
  <c r="N6" i="24" s="1"/>
  <c r="N91" i="24" s="1"/>
  <c r="M47" i="24" a="1"/>
  <c r="M47" i="24" s="1"/>
  <c r="M46" i="24" s="1"/>
  <c r="G36" i="24"/>
  <c r="G20" i="24" s="1"/>
  <c r="G40" i="24" s="1"/>
  <c r="M47" i="23" a="1"/>
  <c r="M47" i="23" s="1"/>
  <c r="M46" i="23" s="1"/>
  <c r="N66" i="24" a="1"/>
  <c r="N66" i="24" s="1"/>
  <c r="N65" i="24" s="1"/>
  <c r="N38" i="24" s="1"/>
  <c r="CF30" i="24"/>
  <c r="CF31" i="24"/>
  <c r="CF32" i="24"/>
  <c r="CF2" i="24"/>
  <c r="CF3" i="24"/>
  <c r="CF11" i="24"/>
  <c r="C21" i="24"/>
  <c r="CF58" i="24"/>
  <c r="L161" i="24" s="1" a="1"/>
  <c r="L161" i="24" s="1"/>
  <c r="CF55" i="24"/>
  <c r="CF53" i="24"/>
  <c r="CF56" i="24"/>
  <c r="CF57" i="24"/>
  <c r="CF52" i="24"/>
  <c r="CF54" i="24"/>
  <c r="CF14" i="24"/>
  <c r="CF13" i="24"/>
  <c r="CF17" i="24"/>
  <c r="I161" i="24" s="1" a="1"/>
  <c r="I161" i="24" s="1"/>
  <c r="C71" i="24"/>
  <c r="CF15" i="24"/>
  <c r="J161" i="24" s="1" a="1"/>
  <c r="J161" i="24" s="1"/>
  <c r="C97" i="24"/>
  <c r="CF12" i="24"/>
  <c r="CF26" i="24"/>
  <c r="C47" i="24"/>
  <c r="CF24" i="24"/>
  <c r="CF29" i="24"/>
  <c r="K161" i="24" s="1" a="1"/>
  <c r="K161" i="24" s="1"/>
  <c r="CF28" i="24"/>
  <c r="CF25" i="24"/>
  <c r="CF27" i="24"/>
  <c r="CF46" i="24"/>
  <c r="CF47" i="24"/>
  <c r="CF48" i="24"/>
  <c r="CF45" i="24"/>
  <c r="C66" i="24"/>
  <c r="CF6" i="24"/>
  <c r="C7" i="24"/>
  <c r="CF5" i="24"/>
  <c r="CF4" i="24"/>
  <c r="O161" i="24" a="1"/>
  <c r="O161" i="24" s="1"/>
  <c r="O116" i="24" a="1"/>
  <c r="O116" i="24" s="1"/>
  <c r="O97" i="24" a="1"/>
  <c r="O97" i="24" s="1"/>
  <c r="O71" i="24" a="1"/>
  <c r="O71" i="24" s="1"/>
  <c r="O4" i="24"/>
  <c r="O5" i="24"/>
  <c r="O21" i="24" a="1"/>
  <c r="O21" i="24" s="1"/>
  <c r="P3" i="24"/>
  <c r="N70" i="24"/>
  <c r="N37" i="24"/>
  <c r="N93" i="24" s="1"/>
  <c r="P44" i="24"/>
  <c r="M139" i="24"/>
  <c r="M86" i="24"/>
  <c r="C97" i="23"/>
  <c r="CF12" i="23"/>
  <c r="CF29" i="23"/>
  <c r="K161" i="23" s="1" a="1"/>
  <c r="K161" i="23" s="1"/>
  <c r="CF27" i="23"/>
  <c r="C47" i="23"/>
  <c r="CF25" i="23"/>
  <c r="CF24" i="23"/>
  <c r="CF26" i="23"/>
  <c r="CF28" i="23"/>
  <c r="CF48" i="23"/>
  <c r="CF46" i="23"/>
  <c r="CF47" i="23"/>
  <c r="CF45" i="23"/>
  <c r="CF4" i="23"/>
  <c r="CF5" i="23"/>
  <c r="CF6" i="23"/>
  <c r="C7" i="23"/>
  <c r="F150" i="23"/>
  <c r="F148" i="23" s="1"/>
  <c r="C66" i="23"/>
  <c r="CF32" i="23"/>
  <c r="CF31" i="23"/>
  <c r="CF30" i="23"/>
  <c r="CF2" i="23"/>
  <c r="CF3" i="23"/>
  <c r="CF17" i="23"/>
  <c r="I161" i="23" s="1" a="1"/>
  <c r="I161" i="23" s="1"/>
  <c r="C71" i="23"/>
  <c r="CF15" i="23"/>
  <c r="J161" i="23" s="1" a="1"/>
  <c r="J161" i="23" s="1"/>
  <c r="C21" i="23"/>
  <c r="CF11" i="23"/>
  <c r="CF54" i="23"/>
  <c r="CF57" i="23"/>
  <c r="CF52" i="23"/>
  <c r="CF58" i="23"/>
  <c r="L161" i="23" s="1" a="1"/>
  <c r="L161" i="23" s="1"/>
  <c r="CF55" i="23"/>
  <c r="CF53" i="23"/>
  <c r="CF56" i="23"/>
  <c r="CF14" i="23"/>
  <c r="CF13" i="23"/>
  <c r="Q44" i="23"/>
  <c r="O161" i="23" a="1"/>
  <c r="O161" i="23" s="1"/>
  <c r="O97" i="23" a="1"/>
  <c r="O97" i="23" s="1"/>
  <c r="O116" i="23" a="1"/>
  <c r="O116" i="23" s="1"/>
  <c r="O21" i="23" a="1"/>
  <c r="O21" i="23" s="1"/>
  <c r="O71" i="23" a="1"/>
  <c r="O71" i="23" s="1"/>
  <c r="P3" i="23"/>
  <c r="O7" i="23" a="1"/>
  <c r="O7" i="23" s="1"/>
  <c r="O6" i="23" s="1"/>
  <c r="O91" i="23" s="1"/>
  <c r="O4" i="23"/>
  <c r="O5" i="23"/>
  <c r="N70" i="23"/>
  <c r="N37" i="23"/>
  <c r="N93" i="23" s="1"/>
  <c r="N66" i="23" a="1"/>
  <c r="N66" i="23" s="1"/>
  <c r="N65" i="23" s="1"/>
  <c r="N38" i="23" s="1"/>
  <c r="M139" i="23"/>
  <c r="M86" i="23"/>
  <c r="C42" i="3"/>
  <c r="A43" i="3"/>
  <c r="CF17" i="12"/>
  <c r="CF15" i="12"/>
  <c r="CF30" i="12"/>
  <c r="CF31" i="12"/>
  <c r="CF32" i="12"/>
  <c r="CF11" i="12"/>
  <c r="CF53" i="12"/>
  <c r="CF54" i="12"/>
  <c r="CF52" i="12"/>
  <c r="CF55" i="12"/>
  <c r="CF56" i="12"/>
  <c r="CF57" i="12"/>
  <c r="CF58" i="12"/>
  <c r="CF13" i="12"/>
  <c r="CF14" i="12"/>
  <c r="CF12" i="12"/>
  <c r="CF29" i="12"/>
  <c r="CF24" i="12"/>
  <c r="CF25" i="12"/>
  <c r="CF26" i="12"/>
  <c r="CF27" i="12"/>
  <c r="CF28" i="12"/>
  <c r="CF45" i="12"/>
  <c r="CF46" i="12"/>
  <c r="CF47" i="12"/>
  <c r="CF48" i="12"/>
  <c r="CF3" i="12"/>
  <c r="CF5" i="12"/>
  <c r="CF6" i="12"/>
  <c r="CF4" i="12"/>
  <c r="G97" i="12" a="1"/>
  <c r="G97" i="12" s="1"/>
  <c r="CF2" i="12"/>
  <c r="C97" i="12"/>
  <c r="G5" i="12"/>
  <c r="F47" i="12" a="1"/>
  <c r="F47" i="12" s="1"/>
  <c r="G47" i="12" s="1" a="1"/>
  <c r="G47" i="12" s="1"/>
  <c r="H3" i="12"/>
  <c r="H161" i="12" s="1" a="1"/>
  <c r="H161" i="12" s="1"/>
  <c r="F66" i="12" a="1"/>
  <c r="F66" i="12" s="1"/>
  <c r="F65" i="12" s="1"/>
  <c r="F38" i="12" s="1"/>
  <c r="F86" i="12"/>
  <c r="F139" i="12"/>
  <c r="G4" i="12"/>
  <c r="F91" i="12"/>
  <c r="G116" i="12" a="1"/>
  <c r="G116" i="12" s="1"/>
  <c r="G7" i="12" a="1"/>
  <c r="G7" i="12" s="1"/>
  <c r="G71" i="12" a="1"/>
  <c r="G71" i="12" s="1"/>
  <c r="F37" i="12"/>
  <c r="F93" i="12" s="1"/>
  <c r="C71" i="12"/>
  <c r="B91" i="10" a="1"/>
  <c r="B91" i="10" s="1"/>
  <c r="C66" i="12"/>
  <c r="B75" i="10" a="1"/>
  <c r="B75" i="10" s="1"/>
  <c r="C47" i="12"/>
  <c r="B50" i="10" a="1"/>
  <c r="B50" i="10" s="1"/>
  <c r="C102" i="10"/>
  <c r="J44" i="12"/>
  <c r="G21" i="12" a="1"/>
  <c r="G21" i="12" s="1"/>
  <c r="C21" i="12"/>
  <c r="C7" i="12"/>
  <c r="B41" i="3"/>
  <c r="B42" i="3"/>
  <c r="B33" i="10" a="1"/>
  <c r="B33" i="10" s="1"/>
  <c r="B43" i="3" a="1"/>
  <c r="C43" i="3" a="1"/>
  <c r="G41" i="24" l="1"/>
  <c r="G84" i="24" s="1"/>
  <c r="G85" i="24" s="1"/>
  <c r="G92" i="24" s="1"/>
  <c r="G90" i="24" s="1"/>
  <c r="B13" i="7"/>
  <c r="B15" i="7" s="1"/>
  <c r="B17" i="7" s="1"/>
  <c r="B18" i="7" s="1"/>
  <c r="D13" i="7"/>
  <c r="D15" i="7" s="1"/>
  <c r="D17" i="7" s="1"/>
  <c r="D18" i="7" s="1"/>
  <c r="E13" i="7"/>
  <c r="E15" i="7" s="1"/>
  <c r="E17" i="7" s="1"/>
  <c r="E18" i="7" s="1"/>
  <c r="C13" i="7"/>
  <c r="C15" i="7" s="1"/>
  <c r="C17" i="7" s="1"/>
  <c r="C18" i="7" s="1"/>
  <c r="N47" i="23" a="1"/>
  <c r="N47" i="23" s="1"/>
  <c r="N46" i="23" s="1"/>
  <c r="N47" i="24" a="1"/>
  <c r="N47" i="24" s="1"/>
  <c r="N46" i="24" s="1"/>
  <c r="O7" i="24" a="1"/>
  <c r="O7" i="24" s="1"/>
  <c r="O6" i="24" s="1"/>
  <c r="O91" i="24" s="1"/>
  <c r="G36" i="23"/>
  <c r="G20" i="23" s="1"/>
  <c r="H116" i="12" a="1"/>
  <c r="H116" i="12" s="1"/>
  <c r="O66" i="24" a="1"/>
  <c r="O66" i="24" s="1"/>
  <c r="O65" i="24" s="1"/>
  <c r="O38" i="24" s="1"/>
  <c r="N139" i="24"/>
  <c r="N86" i="24"/>
  <c r="O70" i="24"/>
  <c r="O37" i="24"/>
  <c r="O93" i="24" s="1"/>
  <c r="P97" i="24" a="1"/>
  <c r="P97" i="24" s="1"/>
  <c r="P161" i="24" a="1"/>
  <c r="P161" i="24" s="1"/>
  <c r="P116" i="24" a="1"/>
  <c r="P116" i="24" s="1"/>
  <c r="P71" i="24" a="1"/>
  <c r="P71" i="24" s="1"/>
  <c r="P5" i="24"/>
  <c r="P21" i="24" a="1"/>
  <c r="P21" i="24" s="1"/>
  <c r="Q3" i="24"/>
  <c r="P4" i="24"/>
  <c r="Q44" i="24"/>
  <c r="H7" i="12" a="1"/>
  <c r="H7" i="12" s="1"/>
  <c r="O66" i="23" a="1"/>
  <c r="O66" i="23" s="1"/>
  <c r="O65" i="23" s="1"/>
  <c r="O38" i="23" s="1"/>
  <c r="P161" i="23" a="1"/>
  <c r="P161" i="23" s="1"/>
  <c r="P116" i="23" a="1"/>
  <c r="P116" i="23" s="1"/>
  <c r="P97" i="23" a="1"/>
  <c r="P97" i="23" s="1"/>
  <c r="P21" i="23" a="1"/>
  <c r="P21" i="23" s="1"/>
  <c r="P71" i="23" a="1"/>
  <c r="P71" i="23" s="1"/>
  <c r="Q3" i="23"/>
  <c r="P4" i="23"/>
  <c r="P5" i="23"/>
  <c r="P7" i="23" a="1"/>
  <c r="P7" i="23" s="1"/>
  <c r="P6" i="23" s="1"/>
  <c r="P91" i="23" s="1"/>
  <c r="R44" i="23"/>
  <c r="N139" i="23"/>
  <c r="N86" i="23"/>
  <c r="O37" i="23"/>
  <c r="O93" i="23" s="1"/>
  <c r="O70" i="23"/>
  <c r="G40" i="23"/>
  <c r="G41" i="23"/>
  <c r="C43" i="3"/>
  <c r="B43" i="3"/>
  <c r="A44" i="3"/>
  <c r="F20" i="12"/>
  <c r="H97" i="12" a="1"/>
  <c r="H97" i="12" s="1"/>
  <c r="F46" i="12"/>
  <c r="I3" i="12"/>
  <c r="I161" i="12" s="1" a="1"/>
  <c r="I161" i="12" s="1"/>
  <c r="H47" i="12" a="1"/>
  <c r="H5" i="12"/>
  <c r="H4" i="12"/>
  <c r="G66" i="12" a="1"/>
  <c r="G66" i="12" s="1"/>
  <c r="H66" i="12" s="1" a="1"/>
  <c r="H66" i="12" s="1"/>
  <c r="G70" i="12"/>
  <c r="G86" i="12" s="1"/>
  <c r="G46" i="12"/>
  <c r="G37" i="12"/>
  <c r="G93" i="12" s="1"/>
  <c r="H71" i="12" a="1"/>
  <c r="H71" i="12" s="1"/>
  <c r="K44" i="12"/>
  <c r="H21" i="12" a="1"/>
  <c r="H21" i="12" s="1"/>
  <c r="C44" i="3" a="1"/>
  <c r="G149" i="24" a="1"/>
  <c r="B44" i="3" a="1"/>
  <c r="E19" i="7" l="1"/>
  <c r="D19" i="7"/>
  <c r="C19" i="7"/>
  <c r="O47" i="23" a="1"/>
  <c r="O47" i="23" s="1"/>
  <c r="O46" i="23" s="1"/>
  <c r="P7" i="24" a="1"/>
  <c r="P7" i="24" s="1"/>
  <c r="P6" i="24" s="1"/>
  <c r="P91" i="24" s="1"/>
  <c r="O47" i="24" a="1"/>
  <c r="O47" i="24" s="1"/>
  <c r="O46" i="24" s="1"/>
  <c r="P66" i="24" a="1"/>
  <c r="P66" i="24" s="1"/>
  <c r="P65" i="24" s="1"/>
  <c r="P38" i="24" s="1"/>
  <c r="G82" i="24"/>
  <c r="G45" i="24" s="1"/>
  <c r="H83" i="24" s="1"/>
  <c r="G149" i="24"/>
  <c r="Q161" i="24" a="1"/>
  <c r="Q161" i="24" s="1"/>
  <c r="Q116" i="24" a="1"/>
  <c r="Q116" i="24" s="1"/>
  <c r="Q97" i="24" a="1"/>
  <c r="Q97" i="24" s="1"/>
  <c r="Q71" i="24" a="1"/>
  <c r="Q71" i="24" s="1"/>
  <c r="Q21" i="24" a="1"/>
  <c r="Q21" i="24" s="1"/>
  <c r="Q5" i="24"/>
  <c r="R3" i="24"/>
  <c r="Q4" i="24"/>
  <c r="O139" i="24"/>
  <c r="O86" i="24"/>
  <c r="R44" i="24"/>
  <c r="P37" i="24"/>
  <c r="P93" i="24" s="1"/>
  <c r="P70" i="24"/>
  <c r="G84" i="23"/>
  <c r="G85" i="23" s="1"/>
  <c r="G92" i="23" s="1"/>
  <c r="G90" i="23" s="1"/>
  <c r="Q161" i="23" a="1"/>
  <c r="Q161" i="23" s="1"/>
  <c r="Q116" i="23" a="1"/>
  <c r="Q116" i="23" s="1"/>
  <c r="Q97" i="23" a="1"/>
  <c r="Q97" i="23" s="1"/>
  <c r="Q21" i="23" a="1"/>
  <c r="Q21" i="23" s="1"/>
  <c r="Q4" i="23"/>
  <c r="Q5" i="23"/>
  <c r="Q7" i="23" a="1"/>
  <c r="Q7" i="23" s="1"/>
  <c r="Q6" i="23" s="1"/>
  <c r="Q91" i="23" s="1"/>
  <c r="Q71" i="23" a="1"/>
  <c r="Q71" i="23" s="1"/>
  <c r="R3" i="23"/>
  <c r="O139" i="23"/>
  <c r="O86" i="23"/>
  <c r="P66" i="23" a="1"/>
  <c r="P66" i="23" s="1"/>
  <c r="P65" i="23" s="1"/>
  <c r="P38" i="23" s="1"/>
  <c r="P70" i="23"/>
  <c r="P37" i="23"/>
  <c r="P93" i="23" s="1"/>
  <c r="S44" i="23"/>
  <c r="C44" i="3"/>
  <c r="B44" i="3"/>
  <c r="A45" i="3"/>
  <c r="I97" i="12" a="1"/>
  <c r="I97" i="12" s="1"/>
  <c r="H47" i="12"/>
  <c r="H46" i="12" s="1"/>
  <c r="I5" i="12"/>
  <c r="I4" i="12"/>
  <c r="J3" i="12"/>
  <c r="J161" i="12" s="1" a="1"/>
  <c r="J161" i="12" s="1"/>
  <c r="I7" i="12" a="1"/>
  <c r="I7" i="12" s="1"/>
  <c r="I116" i="12" a="1"/>
  <c r="I116" i="12" s="1"/>
  <c r="G65" i="12"/>
  <c r="G38" i="12" s="1"/>
  <c r="G139" i="12"/>
  <c r="F41" i="12"/>
  <c r="F40" i="12"/>
  <c r="H70" i="12"/>
  <c r="H86" i="12" s="1"/>
  <c r="I66" i="12" a="1"/>
  <c r="I66" i="12" s="1"/>
  <c r="H65" i="12"/>
  <c r="H38" i="12" s="1"/>
  <c r="H37" i="12"/>
  <c r="H93" i="12" s="1"/>
  <c r="I71" i="12" a="1"/>
  <c r="I71" i="12" s="1"/>
  <c r="L44" i="12"/>
  <c r="I21" i="12" a="1"/>
  <c r="I21" i="12" s="1"/>
  <c r="C45" i="3" a="1"/>
  <c r="G149" i="23" a="1"/>
  <c r="B45" i="3" a="1"/>
  <c r="G43" i="24" l="1"/>
  <c r="G138" i="24" s="1"/>
  <c r="G137" i="24" s="1"/>
  <c r="P47" i="23" a="1"/>
  <c r="P47" i="23" s="1"/>
  <c r="P46" i="23" s="1"/>
  <c r="Q7" i="24" a="1"/>
  <c r="Q7" i="24" s="1"/>
  <c r="Q6" i="24" s="1"/>
  <c r="Q91" i="24" s="1"/>
  <c r="P47" i="24" a="1"/>
  <c r="P47" i="24" s="1"/>
  <c r="Q66" i="24" a="1"/>
  <c r="Q66" i="24" s="1"/>
  <c r="Q65" i="24" s="1"/>
  <c r="Q38" i="24" s="1"/>
  <c r="Q70" i="24"/>
  <c r="Q37" i="24"/>
  <c r="Q93" i="24" s="1"/>
  <c r="P139" i="24"/>
  <c r="P86" i="24"/>
  <c r="S44" i="24"/>
  <c r="R161" i="24" a="1"/>
  <c r="R161" i="24" s="1"/>
  <c r="R116" i="24" a="1"/>
  <c r="R116" i="24" s="1"/>
  <c r="R97" i="24" a="1"/>
  <c r="R97" i="24" s="1"/>
  <c r="R71" i="24" a="1"/>
  <c r="R71" i="24" s="1"/>
  <c r="S3" i="24"/>
  <c r="R4" i="24"/>
  <c r="R21" i="24" a="1"/>
  <c r="R21" i="24" s="1"/>
  <c r="R5" i="24"/>
  <c r="G149" i="23"/>
  <c r="G82" i="23"/>
  <c r="G45" i="23" s="1"/>
  <c r="P139" i="23"/>
  <c r="P86" i="23"/>
  <c r="T44" i="23"/>
  <c r="Q66" i="23" a="1"/>
  <c r="Q66" i="23" s="1"/>
  <c r="Q65" i="23" s="1"/>
  <c r="Q38" i="23" s="1"/>
  <c r="R161" i="23" a="1"/>
  <c r="R161" i="23" s="1"/>
  <c r="R97" i="23" a="1"/>
  <c r="R97" i="23" s="1"/>
  <c r="R116" i="23" a="1"/>
  <c r="R116" i="23" s="1"/>
  <c r="R21" i="23" a="1"/>
  <c r="R21" i="23" s="1"/>
  <c r="R71" i="23" a="1"/>
  <c r="R71" i="23" s="1"/>
  <c r="R5" i="23"/>
  <c r="R4" i="23"/>
  <c r="R7" i="23" a="1"/>
  <c r="R7" i="23" s="1"/>
  <c r="R6" i="23" s="1"/>
  <c r="R91" i="23" s="1"/>
  <c r="S3" i="23"/>
  <c r="Q37" i="23"/>
  <c r="Q93" i="23" s="1"/>
  <c r="Q70" i="23"/>
  <c r="C45" i="3"/>
  <c r="B45" i="3"/>
  <c r="A46" i="3"/>
  <c r="J97" i="12" a="1"/>
  <c r="J97" i="12" s="1"/>
  <c r="I47" i="12" a="1"/>
  <c r="I47" i="12" s="1"/>
  <c r="J47" i="12" s="1" a="1"/>
  <c r="J47" i="12" s="1"/>
  <c r="J116" i="12" a="1"/>
  <c r="J116" i="12" s="1"/>
  <c r="J5" i="12"/>
  <c r="K3" i="12"/>
  <c r="K161" i="12" s="1" a="1"/>
  <c r="K161" i="12" s="1"/>
  <c r="J4" i="12"/>
  <c r="J7" i="12" a="1"/>
  <c r="J7" i="12" s="1"/>
  <c r="H139" i="12"/>
  <c r="F84" i="12"/>
  <c r="I70" i="12"/>
  <c r="I86" i="12" s="1"/>
  <c r="G6" i="12"/>
  <c r="G91" i="12" s="1"/>
  <c r="I65" i="12"/>
  <c r="I38" i="12" s="1"/>
  <c r="J66" i="12" a="1"/>
  <c r="J66" i="12" s="1"/>
  <c r="I37" i="12"/>
  <c r="I93" i="12" s="1"/>
  <c r="J71" i="12" a="1"/>
  <c r="J71" i="12" s="1"/>
  <c r="M44" i="12"/>
  <c r="J21" i="12" a="1"/>
  <c r="J21" i="12" s="1"/>
  <c r="B46" i="3" a="1"/>
  <c r="G150" i="24" a="1"/>
  <c r="C46" i="3" a="1"/>
  <c r="G42" i="24" l="1"/>
  <c r="Q47" i="23" a="1"/>
  <c r="Q47" i="23" s="1"/>
  <c r="Q46" i="23" s="1"/>
  <c r="R7" i="24" a="1"/>
  <c r="R7" i="24" s="1"/>
  <c r="R6" i="24" s="1"/>
  <c r="R91" i="24" s="1"/>
  <c r="P46" i="24"/>
  <c r="Q47" i="24" a="1"/>
  <c r="Q47" i="24" s="1"/>
  <c r="R66" i="24" a="1"/>
  <c r="R66" i="24" s="1"/>
  <c r="R65" i="24" s="1"/>
  <c r="R38" i="24" s="1"/>
  <c r="G150" i="24"/>
  <c r="G148" i="24" s="1"/>
  <c r="S161" i="24" a="1"/>
  <c r="S161" i="24" s="1"/>
  <c r="S116" i="24" a="1"/>
  <c r="S116" i="24" s="1"/>
  <c r="S97" i="24" a="1"/>
  <c r="S97" i="24" s="1"/>
  <c r="S71" i="24" a="1"/>
  <c r="S71" i="24" s="1"/>
  <c r="T3" i="24"/>
  <c r="S21" i="24" a="1"/>
  <c r="S21" i="24" s="1"/>
  <c r="S4" i="24"/>
  <c r="S5" i="24"/>
  <c r="T44" i="24"/>
  <c r="R70" i="24"/>
  <c r="R37" i="24"/>
  <c r="R93" i="24" s="1"/>
  <c r="Q139" i="24"/>
  <c r="Q86" i="24"/>
  <c r="U44" i="23"/>
  <c r="R70" i="23"/>
  <c r="R37" i="23"/>
  <c r="R93" i="23" s="1"/>
  <c r="Q139" i="23"/>
  <c r="Q86" i="23"/>
  <c r="R66" i="23" a="1"/>
  <c r="R66" i="23" s="1"/>
  <c r="R65" i="23" s="1"/>
  <c r="R38" i="23" s="1"/>
  <c r="S161" i="23" a="1"/>
  <c r="S161" i="23" s="1"/>
  <c r="S97" i="23" a="1"/>
  <c r="S97" i="23" s="1"/>
  <c r="S116" i="23" a="1"/>
  <c r="S116" i="23" s="1"/>
  <c r="S21" i="23" a="1"/>
  <c r="S21" i="23" s="1"/>
  <c r="S71" i="23" a="1"/>
  <c r="S71" i="23" s="1"/>
  <c r="T3" i="23"/>
  <c r="S7" i="23" a="1"/>
  <c r="S7" i="23" s="1"/>
  <c r="S6" i="23" s="1"/>
  <c r="S91" i="23" s="1"/>
  <c r="S5" i="23"/>
  <c r="S4" i="23"/>
  <c r="H83" i="23"/>
  <c r="G43" i="23"/>
  <c r="C46" i="3"/>
  <c r="B46" i="3"/>
  <c r="A47" i="3"/>
  <c r="K97" i="12" a="1"/>
  <c r="K97" i="12" s="1"/>
  <c r="I46" i="12"/>
  <c r="K47" i="12" a="1"/>
  <c r="K47" i="12" s="1"/>
  <c r="K116" i="12" a="1"/>
  <c r="K116" i="12" s="1"/>
  <c r="K5" i="12"/>
  <c r="K4" i="12"/>
  <c r="L3" i="12"/>
  <c r="L161" i="12" s="1" a="1"/>
  <c r="L161" i="12" s="1"/>
  <c r="K7" i="12" a="1"/>
  <c r="K7" i="12" s="1"/>
  <c r="I139" i="12"/>
  <c r="F85" i="12"/>
  <c r="J70" i="12"/>
  <c r="J86" i="12" s="1"/>
  <c r="J46" i="12"/>
  <c r="J65" i="12"/>
  <c r="J38" i="12" s="1"/>
  <c r="K66" i="12" a="1"/>
  <c r="K66" i="12" s="1"/>
  <c r="J37" i="12"/>
  <c r="J93" i="12" s="1"/>
  <c r="K71" i="12" a="1"/>
  <c r="K71" i="12" s="1"/>
  <c r="N44" i="12"/>
  <c r="K21" i="12" a="1"/>
  <c r="K21" i="12" s="1"/>
  <c r="C47" i="3" a="1"/>
  <c r="B47" i="3" a="1"/>
  <c r="R47" i="23" l="1" a="1"/>
  <c r="R47" i="23" s="1"/>
  <c r="R46" i="23" s="1"/>
  <c r="S7" i="24" a="1"/>
  <c r="S7" i="24" s="1"/>
  <c r="S6" i="24" s="1"/>
  <c r="S91" i="24" s="1"/>
  <c r="Q46" i="24"/>
  <c r="R47" i="24" a="1"/>
  <c r="R47" i="24" s="1"/>
  <c r="H36" i="24"/>
  <c r="H20" i="24" s="1"/>
  <c r="H40" i="24" s="1"/>
  <c r="S66" i="24" a="1"/>
  <c r="S66" i="24" s="1"/>
  <c r="S65" i="24" s="1"/>
  <c r="S38" i="24" s="1"/>
  <c r="R139" i="24"/>
  <c r="R86" i="24"/>
  <c r="U44" i="24"/>
  <c r="S70" i="24"/>
  <c r="S37" i="24"/>
  <c r="S93" i="24" s="1"/>
  <c r="T161" i="24" a="1"/>
  <c r="T161" i="24" s="1"/>
  <c r="T97" i="24" a="1"/>
  <c r="T97" i="24" s="1"/>
  <c r="T116" i="24" a="1"/>
  <c r="T116" i="24" s="1"/>
  <c r="T71" i="24" a="1"/>
  <c r="T71" i="24" s="1"/>
  <c r="U3" i="24"/>
  <c r="T21" i="24" a="1"/>
  <c r="T21" i="24" s="1"/>
  <c r="T4" i="24"/>
  <c r="T5" i="24"/>
  <c r="H41" i="24"/>
  <c r="S66" i="23" a="1"/>
  <c r="S66" i="23" s="1"/>
  <c r="S65" i="23" s="1"/>
  <c r="S38" i="23" s="1"/>
  <c r="T161" i="23" a="1"/>
  <c r="T161" i="23" s="1"/>
  <c r="T97" i="23" a="1"/>
  <c r="T97" i="23" s="1"/>
  <c r="T116" i="23" a="1"/>
  <c r="T116" i="23" s="1"/>
  <c r="T21" i="23" a="1"/>
  <c r="T21" i="23" s="1"/>
  <c r="T71" i="23" a="1"/>
  <c r="T71" i="23" s="1"/>
  <c r="U3" i="23"/>
  <c r="T7" i="23" a="1"/>
  <c r="T7" i="23" s="1"/>
  <c r="T6" i="23" s="1"/>
  <c r="T91" i="23" s="1"/>
  <c r="T4" i="23"/>
  <c r="T5" i="23"/>
  <c r="G138" i="23"/>
  <c r="G137" i="23" s="1"/>
  <c r="G42" i="23"/>
  <c r="S37" i="23"/>
  <c r="S93" i="23" s="1"/>
  <c r="S70" i="23"/>
  <c r="R86" i="23"/>
  <c r="R139" i="23"/>
  <c r="V44" i="23"/>
  <c r="C47" i="3"/>
  <c r="B47" i="3"/>
  <c r="A48" i="3"/>
  <c r="L97" i="12" a="1"/>
  <c r="L97" i="12" s="1"/>
  <c r="L47" i="12" a="1"/>
  <c r="L47" i="12" s="1"/>
  <c r="L5" i="12"/>
  <c r="L4" i="12"/>
  <c r="M3" i="12"/>
  <c r="M161" i="12" s="1" a="1"/>
  <c r="M161" i="12" s="1"/>
  <c r="L7" i="12" a="1"/>
  <c r="L7" i="12" s="1"/>
  <c r="L116" i="12" a="1"/>
  <c r="L116" i="12" s="1"/>
  <c r="J139" i="12"/>
  <c r="F82" i="12"/>
  <c r="F92" i="12"/>
  <c r="F90" i="12" s="1"/>
  <c r="K70" i="12"/>
  <c r="K86" i="12" s="1"/>
  <c r="K65" i="12"/>
  <c r="K38" i="12" s="1"/>
  <c r="L66" i="12" a="1"/>
  <c r="L66" i="12" s="1"/>
  <c r="K46" i="12"/>
  <c r="K37" i="12"/>
  <c r="K93" i="12" s="1"/>
  <c r="L71" i="12" a="1"/>
  <c r="L71" i="12" s="1"/>
  <c r="O44" i="12"/>
  <c r="L21" i="12" a="1"/>
  <c r="L21" i="12" s="1"/>
  <c r="G150" i="23" a="1"/>
  <c r="B48" i="3" a="1"/>
  <c r="F149" i="12" a="1"/>
  <c r="C48" i="3" a="1"/>
  <c r="S47" i="23" l="1" a="1"/>
  <c r="S47" i="23" s="1"/>
  <c r="S46" i="23" s="1"/>
  <c r="T7" i="24" a="1"/>
  <c r="T7" i="24" s="1"/>
  <c r="T6" i="24" s="1"/>
  <c r="T91" i="24" s="1"/>
  <c r="R46" i="24"/>
  <c r="S47" i="24" a="1"/>
  <c r="S47" i="24" s="1"/>
  <c r="H84" i="24"/>
  <c r="T66" i="24" a="1"/>
  <c r="T66" i="24" s="1"/>
  <c r="T65" i="24" s="1"/>
  <c r="T38" i="24" s="1"/>
  <c r="U161" i="24" a="1"/>
  <c r="U161" i="24" s="1"/>
  <c r="U116" i="24" a="1"/>
  <c r="U116" i="24" s="1"/>
  <c r="U97" i="24" a="1"/>
  <c r="U97" i="24" s="1"/>
  <c r="U71" i="24" a="1"/>
  <c r="U71" i="24" s="1"/>
  <c r="U21" i="24" a="1"/>
  <c r="U21" i="24" s="1"/>
  <c r="V3" i="24"/>
  <c r="U4" i="24"/>
  <c r="U5" i="24"/>
  <c r="T70" i="24"/>
  <c r="T37" i="24"/>
  <c r="T93" i="24" s="1"/>
  <c r="S139" i="24"/>
  <c r="S86" i="24"/>
  <c r="H85" i="24"/>
  <c r="H92" i="24" s="1"/>
  <c r="H90" i="24" s="1"/>
  <c r="V44" i="24"/>
  <c r="G150" i="23"/>
  <c r="G148" i="23" s="1"/>
  <c r="T66" i="23" a="1"/>
  <c r="T66" i="23" s="1"/>
  <c r="T65" i="23" s="1"/>
  <c r="T38" i="23" s="1"/>
  <c r="W44" i="23"/>
  <c r="T70" i="23"/>
  <c r="T37" i="23"/>
  <c r="T93" i="23" s="1"/>
  <c r="S139" i="23"/>
  <c r="S86" i="23"/>
  <c r="U161" i="23" a="1"/>
  <c r="U161" i="23" s="1"/>
  <c r="U97" i="23" a="1"/>
  <c r="U97" i="23" s="1"/>
  <c r="U116" i="23" a="1"/>
  <c r="U116" i="23" s="1"/>
  <c r="U21" i="23" a="1"/>
  <c r="U21" i="23" s="1"/>
  <c r="V3" i="23"/>
  <c r="U71" i="23" a="1"/>
  <c r="U71" i="23" s="1"/>
  <c r="U7" i="23" a="1"/>
  <c r="U7" i="23" s="1"/>
  <c r="U6" i="23" s="1"/>
  <c r="U91" i="23" s="1"/>
  <c r="U4" i="23"/>
  <c r="U5" i="23"/>
  <c r="C48" i="3"/>
  <c r="B48" i="3"/>
  <c r="A49" i="3"/>
  <c r="M97" i="12" a="1"/>
  <c r="M97" i="12" s="1"/>
  <c r="M47" i="12" a="1"/>
  <c r="M47" i="12" s="1"/>
  <c r="M5" i="12"/>
  <c r="M7" i="12" a="1"/>
  <c r="M7" i="12" s="1"/>
  <c r="M4" i="12"/>
  <c r="N3" i="12"/>
  <c r="N161" i="12" s="1" a="1"/>
  <c r="N161" i="12" s="1"/>
  <c r="M116" i="12" a="1"/>
  <c r="M116" i="12" s="1"/>
  <c r="F45" i="12"/>
  <c r="K139" i="12"/>
  <c r="F149" i="12"/>
  <c r="L70" i="12"/>
  <c r="L86" i="12" s="1"/>
  <c r="L46" i="12"/>
  <c r="L65" i="12"/>
  <c r="L38" i="12" s="1"/>
  <c r="M66" i="12" a="1"/>
  <c r="M66" i="12" s="1"/>
  <c r="L37" i="12"/>
  <c r="L93" i="12" s="1"/>
  <c r="M71" i="12" a="1"/>
  <c r="M71" i="12" s="1"/>
  <c r="P44" i="12"/>
  <c r="M21" i="12" a="1"/>
  <c r="M21" i="12" s="1"/>
  <c r="H149" i="24" a="1"/>
  <c r="C49" i="3" a="1"/>
  <c r="B49" i="3" a="1"/>
  <c r="T47" i="23" l="1" a="1"/>
  <c r="T47" i="23" s="1"/>
  <c r="T46" i="23" s="1"/>
  <c r="U7" i="24" a="1"/>
  <c r="U7" i="24" s="1"/>
  <c r="U6" i="24" s="1"/>
  <c r="U91" i="24" s="1"/>
  <c r="S46" i="24"/>
  <c r="T47" i="24" a="1"/>
  <c r="T47" i="24" s="1"/>
  <c r="H36" i="23"/>
  <c r="H20" i="23" s="1"/>
  <c r="H40" i="23" s="1"/>
  <c r="U66" i="24" a="1"/>
  <c r="U66" i="24" s="1"/>
  <c r="U65" i="24" s="1"/>
  <c r="U38" i="24" s="1"/>
  <c r="H82" i="24"/>
  <c r="H45" i="24" s="1"/>
  <c r="I83" i="24" s="1"/>
  <c r="H149" i="24"/>
  <c r="V116" i="24" a="1"/>
  <c r="V116" i="24" s="1"/>
  <c r="V161" i="24" a="1"/>
  <c r="V161" i="24" s="1"/>
  <c r="V97" i="24" a="1"/>
  <c r="V97" i="24" s="1"/>
  <c r="V71" i="24" a="1"/>
  <c r="V71" i="24" s="1"/>
  <c r="V4" i="24"/>
  <c r="W3" i="24"/>
  <c r="V5" i="24"/>
  <c r="V21" i="24" a="1"/>
  <c r="V21" i="24" s="1"/>
  <c r="W44" i="24"/>
  <c r="U70" i="24"/>
  <c r="U37" i="24"/>
  <c r="U93" i="24" s="1"/>
  <c r="T86" i="24"/>
  <c r="T139" i="24"/>
  <c r="U66" i="23" a="1"/>
  <c r="U66" i="23" s="1"/>
  <c r="U65" i="23" s="1"/>
  <c r="U38" i="23" s="1"/>
  <c r="T139" i="23"/>
  <c r="T86" i="23"/>
  <c r="V161" i="23" a="1"/>
  <c r="V161" i="23" s="1"/>
  <c r="V116" i="23" a="1"/>
  <c r="V116" i="23" s="1"/>
  <c r="V97" i="23" a="1"/>
  <c r="V97" i="23" s="1"/>
  <c r="V21" i="23" a="1"/>
  <c r="V21" i="23" s="1"/>
  <c r="V71" i="23" a="1"/>
  <c r="V71" i="23" s="1"/>
  <c r="V7" i="23" a="1"/>
  <c r="V7" i="23" s="1"/>
  <c r="V6" i="23" s="1"/>
  <c r="V91" i="23" s="1"/>
  <c r="W3" i="23"/>
  <c r="V4" i="23"/>
  <c r="V5" i="23"/>
  <c r="X44" i="23"/>
  <c r="U37" i="23"/>
  <c r="U93" i="23" s="1"/>
  <c r="U70" i="23"/>
  <c r="C49" i="3"/>
  <c r="B49" i="3"/>
  <c r="A50" i="3"/>
  <c r="N97" i="12" a="1"/>
  <c r="N97" i="12" s="1"/>
  <c r="G83" i="12"/>
  <c r="F43" i="12"/>
  <c r="F42" i="12" s="1"/>
  <c r="N47" i="12" a="1"/>
  <c r="N47" i="12" s="1"/>
  <c r="N116" i="12" a="1"/>
  <c r="N116" i="12" s="1"/>
  <c r="N5" i="12"/>
  <c r="N4" i="12"/>
  <c r="O3" i="12"/>
  <c r="O161" i="12" s="1" a="1"/>
  <c r="O161" i="12" s="1"/>
  <c r="N7" i="12" a="1"/>
  <c r="N7" i="12" s="1"/>
  <c r="L139" i="12"/>
  <c r="M70" i="12"/>
  <c r="M86" i="12" s="1"/>
  <c r="M46" i="12"/>
  <c r="M65" i="12"/>
  <c r="M38" i="12" s="1"/>
  <c r="N66" i="12" a="1"/>
  <c r="N66" i="12" s="1"/>
  <c r="M37" i="12"/>
  <c r="M93" i="12" s="1"/>
  <c r="N71" i="12" a="1"/>
  <c r="N71" i="12" s="1"/>
  <c r="Q44" i="12"/>
  <c r="N21" i="12" a="1"/>
  <c r="N21" i="12" s="1"/>
  <c r="B50" i="3" a="1"/>
  <c r="C50" i="3" a="1"/>
  <c r="H41" i="23" l="1"/>
  <c r="U47" i="23" a="1"/>
  <c r="U47" i="23" s="1"/>
  <c r="U46" i="23" s="1"/>
  <c r="H43" i="24"/>
  <c r="H138" i="24" s="1"/>
  <c r="H137" i="24" s="1"/>
  <c r="V7" i="24" a="1"/>
  <c r="V7" i="24" s="1"/>
  <c r="V6" i="24" s="1"/>
  <c r="V91" i="24" s="1"/>
  <c r="V66" i="24" a="1"/>
  <c r="V66" i="24" s="1"/>
  <c r="V65" i="24" s="1"/>
  <c r="V38" i="24" s="1"/>
  <c r="T46" i="24"/>
  <c r="U47" i="24" a="1"/>
  <c r="U47" i="24" s="1"/>
  <c r="X44" i="24"/>
  <c r="V70" i="24"/>
  <c r="V37" i="24"/>
  <c r="V93" i="24" s="1"/>
  <c r="W161" i="24" a="1"/>
  <c r="W161" i="24" s="1"/>
  <c r="W97" i="24" a="1"/>
  <c r="W97" i="24" s="1"/>
  <c r="W116" i="24" a="1"/>
  <c r="W116" i="24" s="1"/>
  <c r="W71" i="24" a="1"/>
  <c r="W71" i="24" s="1"/>
  <c r="W4" i="24"/>
  <c r="W5" i="24"/>
  <c r="W21" i="24" a="1"/>
  <c r="W21" i="24" s="1"/>
  <c r="X3" i="24"/>
  <c r="U139" i="24"/>
  <c r="U86" i="24"/>
  <c r="H84" i="23"/>
  <c r="H85" i="23" s="1"/>
  <c r="H92" i="23" s="1"/>
  <c r="H90" i="23" s="1"/>
  <c r="Y44" i="23"/>
  <c r="V66" i="23" a="1"/>
  <c r="V66" i="23" s="1"/>
  <c r="V65" i="23" s="1"/>
  <c r="V38" i="23" s="1"/>
  <c r="U139" i="23"/>
  <c r="U86" i="23"/>
  <c r="W161" i="23" a="1"/>
  <c r="W161" i="23" s="1"/>
  <c r="W116" i="23" a="1"/>
  <c r="W116" i="23" s="1"/>
  <c r="W97" i="23" a="1"/>
  <c r="W97" i="23" s="1"/>
  <c r="W21" i="23" a="1"/>
  <c r="W21" i="23" s="1"/>
  <c r="W71" i="23" a="1"/>
  <c r="W71" i="23" s="1"/>
  <c r="X3" i="23"/>
  <c r="W7" i="23" a="1"/>
  <c r="W7" i="23" s="1"/>
  <c r="W6" i="23" s="1"/>
  <c r="W91" i="23" s="1"/>
  <c r="W4" i="23"/>
  <c r="W5" i="23"/>
  <c r="V70" i="23"/>
  <c r="V37" i="23"/>
  <c r="V93" i="23" s="1"/>
  <c r="C50" i="3"/>
  <c r="B50" i="3"/>
  <c r="A51" i="3"/>
  <c r="O97" i="12" a="1"/>
  <c r="O97" i="12" s="1"/>
  <c r="O47" i="12" a="1"/>
  <c r="O47" i="12" s="1"/>
  <c r="O116" i="12" a="1"/>
  <c r="O116" i="12" s="1"/>
  <c r="P3" i="12"/>
  <c r="P161" i="12" s="1" a="1"/>
  <c r="P161" i="12" s="1"/>
  <c r="O4" i="12"/>
  <c r="O7" i="12" a="1"/>
  <c r="O7" i="12" s="1"/>
  <c r="O5" i="12"/>
  <c r="M139" i="12"/>
  <c r="I6" i="12"/>
  <c r="I91" i="12" s="1"/>
  <c r="N70" i="12"/>
  <c r="N86" i="12" s="1"/>
  <c r="N46" i="12"/>
  <c r="N65" i="12"/>
  <c r="N38" i="12" s="1"/>
  <c r="O66" i="12" a="1"/>
  <c r="O66" i="12" s="1"/>
  <c r="N37" i="12"/>
  <c r="N93" i="12" s="1"/>
  <c r="O71" i="12" a="1"/>
  <c r="O71" i="12" s="1"/>
  <c r="R44" i="12"/>
  <c r="O21" i="12" a="1"/>
  <c r="O21" i="12" s="1"/>
  <c r="B51" i="3" a="1"/>
  <c r="C51" i="3" a="1"/>
  <c r="H150" i="24" a="1"/>
  <c r="H149" i="23" a="1"/>
  <c r="H42" i="24" l="1"/>
  <c r="W7" i="24" a="1"/>
  <c r="W7" i="24" s="1"/>
  <c r="W6" i="24" s="1"/>
  <c r="W91" i="24" s="1"/>
  <c r="V47" i="23" a="1"/>
  <c r="V47" i="23" s="1"/>
  <c r="V46" i="23" s="1"/>
  <c r="W66" i="24" a="1"/>
  <c r="W66" i="24" s="1"/>
  <c r="W65" i="24" s="1"/>
  <c r="W38" i="24" s="1"/>
  <c r="U46" i="24"/>
  <c r="V47" i="24" a="1"/>
  <c r="V47" i="24" s="1"/>
  <c r="H150" i="24"/>
  <c r="H148" i="24" s="1"/>
  <c r="W66" i="23" a="1"/>
  <c r="W66" i="23" s="1"/>
  <c r="W65" i="23" s="1"/>
  <c r="W38" i="23" s="1"/>
  <c r="V139" i="24"/>
  <c r="V86" i="24"/>
  <c r="W70" i="24"/>
  <c r="W37" i="24"/>
  <c r="W93" i="24" s="1"/>
  <c r="X161" i="24" a="1"/>
  <c r="X161" i="24" s="1"/>
  <c r="X97" i="24" a="1"/>
  <c r="X97" i="24" s="1"/>
  <c r="X116" i="24" a="1"/>
  <c r="X116" i="24" s="1"/>
  <c r="X71" i="24" a="1"/>
  <c r="X71" i="24" s="1"/>
  <c r="X5" i="24"/>
  <c r="X21" i="24" a="1"/>
  <c r="X21" i="24" s="1"/>
  <c r="X7" i="24" a="1"/>
  <c r="X7" i="24" s="1"/>
  <c r="X6" i="24" s="1"/>
  <c r="X91" i="24" s="1"/>
  <c r="X4" i="24"/>
  <c r="Y3" i="24"/>
  <c r="Y44" i="24"/>
  <c r="H82" i="23"/>
  <c r="H45" i="23" s="1"/>
  <c r="I83" i="23" s="1"/>
  <c r="H149" i="23"/>
  <c r="V139" i="23"/>
  <c r="V86" i="23"/>
  <c r="X161" i="23" a="1"/>
  <c r="X161" i="23" s="1"/>
  <c r="X97" i="23" a="1"/>
  <c r="X97" i="23" s="1"/>
  <c r="X116" i="23" a="1"/>
  <c r="X116" i="23" s="1"/>
  <c r="X21" i="23" a="1"/>
  <c r="X21" i="23" s="1"/>
  <c r="X71" i="23" a="1"/>
  <c r="X71" i="23" s="1"/>
  <c r="X4" i="23"/>
  <c r="X5" i="23"/>
  <c r="Y3" i="23"/>
  <c r="X7" i="23" a="1"/>
  <c r="X7" i="23" s="1"/>
  <c r="X6" i="23" s="1"/>
  <c r="X91" i="23" s="1"/>
  <c r="W37" i="23"/>
  <c r="W93" i="23" s="1"/>
  <c r="W70" i="23"/>
  <c r="Z44" i="23"/>
  <c r="C51" i="3"/>
  <c r="B51" i="3"/>
  <c r="A52" i="3"/>
  <c r="P97" i="12" a="1"/>
  <c r="P97" i="12" s="1"/>
  <c r="P47" i="12" a="1"/>
  <c r="P47" i="12" s="1"/>
  <c r="P5" i="12"/>
  <c r="P4" i="12"/>
  <c r="P7" i="12" a="1"/>
  <c r="P7" i="12" s="1"/>
  <c r="Q3" i="12"/>
  <c r="Q161" i="12" s="1" a="1"/>
  <c r="Q161" i="12" s="1"/>
  <c r="P116" i="12" a="1"/>
  <c r="P116" i="12" s="1"/>
  <c r="N139" i="12"/>
  <c r="O70" i="12"/>
  <c r="O86" i="12" s="1"/>
  <c r="O65" i="12"/>
  <c r="O38" i="12" s="1"/>
  <c r="P66" i="12" a="1"/>
  <c r="P66" i="12" s="1"/>
  <c r="O46" i="12"/>
  <c r="O37" i="12"/>
  <c r="O93" i="12" s="1"/>
  <c r="P71" i="12" a="1"/>
  <c r="P71" i="12" s="1"/>
  <c r="S44" i="12"/>
  <c r="P21" i="12" a="1"/>
  <c r="P21" i="12" s="1"/>
  <c r="B52" i="3" a="1"/>
  <c r="C52" i="3" a="1"/>
  <c r="W47" i="23" l="1" a="1"/>
  <c r="W47" i="23" s="1"/>
  <c r="W46" i="23" s="1"/>
  <c r="X66" i="24" a="1"/>
  <c r="X66" i="24" s="1"/>
  <c r="X65" i="24" s="1"/>
  <c r="X38" i="24" s="1"/>
  <c r="V46" i="24"/>
  <c r="W47" i="24" a="1"/>
  <c r="W47" i="24" s="1"/>
  <c r="I36" i="24"/>
  <c r="I20" i="24" s="1"/>
  <c r="X66" i="23" a="1"/>
  <c r="X66" i="23" s="1"/>
  <c r="X65" i="23" s="1"/>
  <c r="X38" i="23" s="1"/>
  <c r="W139" i="24"/>
  <c r="W86" i="24"/>
  <c r="X37" i="24"/>
  <c r="X93" i="24" s="1"/>
  <c r="X70" i="24"/>
  <c r="Z44" i="24"/>
  <c r="Y161" i="24" a="1"/>
  <c r="Y161" i="24" s="1"/>
  <c r="Y116" i="24" a="1"/>
  <c r="Y116" i="24" s="1"/>
  <c r="Y97" i="24" a="1"/>
  <c r="Y97" i="24" s="1"/>
  <c r="Y71" i="24" a="1"/>
  <c r="Y71" i="24" s="1"/>
  <c r="Y21" i="24" a="1"/>
  <c r="Y21" i="24" s="1"/>
  <c r="Y7" i="24" a="1"/>
  <c r="Y7" i="24" s="1"/>
  <c r="Y6" i="24" s="1"/>
  <c r="Y91" i="24" s="1"/>
  <c r="Y5" i="24"/>
  <c r="Z3" i="24"/>
  <c r="Y4" i="24"/>
  <c r="I41" i="24"/>
  <c r="I40" i="24"/>
  <c r="H43" i="23"/>
  <c r="H138" i="23" s="1"/>
  <c r="H137" i="23" s="1"/>
  <c r="Y161" i="23" a="1"/>
  <c r="Y161" i="23" s="1"/>
  <c r="Y97" i="23" a="1"/>
  <c r="Y97" i="23" s="1"/>
  <c r="Y116" i="23" a="1"/>
  <c r="Y116" i="23" s="1"/>
  <c r="Y21" i="23" a="1"/>
  <c r="Y21" i="23" s="1"/>
  <c r="Y4" i="23"/>
  <c r="Y5" i="23"/>
  <c r="Y71" i="23" a="1"/>
  <c r="Y71" i="23" s="1"/>
  <c r="Y7" i="23" a="1"/>
  <c r="Y7" i="23" s="1"/>
  <c r="Y6" i="23" s="1"/>
  <c r="Y91" i="23" s="1"/>
  <c r="Z3" i="23"/>
  <c r="AA44" i="23"/>
  <c r="W139" i="23"/>
  <c r="W86" i="23"/>
  <c r="X70" i="23"/>
  <c r="X37" i="23"/>
  <c r="X93" i="23" s="1"/>
  <c r="C52" i="3"/>
  <c r="B52" i="3"/>
  <c r="A53" i="3"/>
  <c r="Q97" i="12" a="1"/>
  <c r="Q97" i="12" s="1"/>
  <c r="Q47" i="12" a="1"/>
  <c r="Q47" i="12" s="1"/>
  <c r="Q4" i="12"/>
  <c r="R3" i="12"/>
  <c r="R161" i="12" s="1" a="1"/>
  <c r="R161" i="12" s="1"/>
  <c r="Q5" i="12"/>
  <c r="Q7" i="12" a="1"/>
  <c r="Q7" i="12" s="1"/>
  <c r="Q116" i="12" a="1"/>
  <c r="Q116" i="12" s="1"/>
  <c r="O139" i="12"/>
  <c r="P70" i="12"/>
  <c r="P86" i="12" s="1"/>
  <c r="P65" i="12"/>
  <c r="P38" i="12" s="1"/>
  <c r="Q66" i="12" a="1"/>
  <c r="Q66" i="12" s="1"/>
  <c r="P46" i="12"/>
  <c r="P37" i="12"/>
  <c r="P93" i="12" s="1"/>
  <c r="Q71" i="12" a="1"/>
  <c r="Q71" i="12" s="1"/>
  <c r="T44" i="12"/>
  <c r="Q21" i="12" a="1"/>
  <c r="Q21" i="12" s="1"/>
  <c r="H150" i="23" a="1"/>
  <c r="B53" i="3" a="1"/>
  <c r="C53" i="3" a="1"/>
  <c r="H42" i="23" l="1"/>
  <c r="X47" i="23" a="1"/>
  <c r="X47" i="23" s="1"/>
  <c r="X46" i="23" s="1"/>
  <c r="Y66" i="23" a="1"/>
  <c r="Y66" i="23" s="1"/>
  <c r="Y65" i="23" s="1"/>
  <c r="Y38" i="23" s="1"/>
  <c r="Y66" i="24" a="1"/>
  <c r="Y66" i="24" s="1"/>
  <c r="Y65" i="24" s="1"/>
  <c r="Y38" i="24" s="1"/>
  <c r="I84" i="24"/>
  <c r="I85" i="24" s="1"/>
  <c r="I92" i="24" s="1"/>
  <c r="I90" i="24" s="1"/>
  <c r="W46" i="24"/>
  <c r="X47" i="24" a="1"/>
  <c r="X47" i="24" s="1"/>
  <c r="X139" i="24"/>
  <c r="X86" i="24"/>
  <c r="Y70" i="24"/>
  <c r="Y37" i="24"/>
  <c r="Y93" i="24" s="1"/>
  <c r="AA44" i="24"/>
  <c r="Z161" i="24" a="1"/>
  <c r="Z161" i="24" s="1"/>
  <c r="Z116" i="24" a="1"/>
  <c r="Z116" i="24" s="1"/>
  <c r="Z97" i="24" a="1"/>
  <c r="Z97" i="24" s="1"/>
  <c r="Z71" i="24" a="1"/>
  <c r="Z71" i="24" s="1"/>
  <c r="Z7" i="24" a="1"/>
  <c r="Z7" i="24" s="1"/>
  <c r="Z6" i="24" s="1"/>
  <c r="Z91" i="24" s="1"/>
  <c r="AA3" i="24"/>
  <c r="Z4" i="24"/>
  <c r="Z21" i="24" a="1"/>
  <c r="Z21" i="24" s="1"/>
  <c r="Z5" i="24"/>
  <c r="H150" i="23"/>
  <c r="H148" i="23" s="1"/>
  <c r="X139" i="23"/>
  <c r="X86" i="23"/>
  <c r="Y37" i="23"/>
  <c r="Y93" i="23" s="1"/>
  <c r="Y70" i="23"/>
  <c r="AB44" i="23"/>
  <c r="Z161" i="23" a="1"/>
  <c r="Z161" i="23" s="1"/>
  <c r="Z116" i="23" a="1"/>
  <c r="Z116" i="23" s="1"/>
  <c r="Z97" i="23" a="1"/>
  <c r="Z97" i="23" s="1"/>
  <c r="Z66" i="23" a="1"/>
  <c r="Z66" i="23" s="1"/>
  <c r="Z65" i="23" s="1"/>
  <c r="Z38" i="23" s="1"/>
  <c r="Z21" i="23" a="1"/>
  <c r="Z21" i="23" s="1"/>
  <c r="Z71" i="23" a="1"/>
  <c r="Z71" i="23" s="1"/>
  <c r="Z5" i="23"/>
  <c r="Z7" i="23" a="1"/>
  <c r="Z7" i="23" s="1"/>
  <c r="Z6" i="23" s="1"/>
  <c r="Z91" i="23" s="1"/>
  <c r="Z4" i="23"/>
  <c r="AA3" i="23"/>
  <c r="C53" i="3"/>
  <c r="B53" i="3"/>
  <c r="A54" i="3"/>
  <c r="R97" i="12" a="1"/>
  <c r="R97" i="12" s="1"/>
  <c r="R47" i="12" a="1"/>
  <c r="R47" i="12" s="1"/>
  <c r="R5" i="12"/>
  <c r="R4" i="12"/>
  <c r="S3" i="12"/>
  <c r="S161" i="12" s="1" a="1"/>
  <c r="S161" i="12" s="1"/>
  <c r="R7" i="12" a="1"/>
  <c r="R7" i="12" s="1"/>
  <c r="R116" i="12" a="1"/>
  <c r="R116" i="12" s="1"/>
  <c r="P139" i="12"/>
  <c r="Q70" i="12"/>
  <c r="Q86" i="12" s="1"/>
  <c r="Q46" i="12"/>
  <c r="Q65" i="12"/>
  <c r="Q38" i="12" s="1"/>
  <c r="R66" i="12" a="1"/>
  <c r="R66" i="12" s="1"/>
  <c r="Q37" i="12"/>
  <c r="Q93" i="12" s="1"/>
  <c r="R71" i="12" a="1"/>
  <c r="R71" i="12" s="1"/>
  <c r="U44" i="12"/>
  <c r="R21" i="12" a="1"/>
  <c r="R21" i="12" s="1"/>
  <c r="I149" i="24" a="1"/>
  <c r="C54" i="3" a="1"/>
  <c r="B54" i="3" a="1"/>
  <c r="Y47" i="23" l="1" a="1"/>
  <c r="Y47" i="23" s="1"/>
  <c r="Y46" i="23" s="1"/>
  <c r="Z66" i="24" a="1"/>
  <c r="Z66" i="24" s="1"/>
  <c r="Z65" i="24" s="1"/>
  <c r="Z38" i="24" s="1"/>
  <c r="X46" i="24"/>
  <c r="Y47" i="24" a="1"/>
  <c r="Y47" i="24" s="1"/>
  <c r="I36" i="23"/>
  <c r="I20" i="23" s="1"/>
  <c r="I82" i="24"/>
  <c r="I45" i="24" s="1"/>
  <c r="J83" i="24" s="1"/>
  <c r="I149" i="24"/>
  <c r="Z70" i="24"/>
  <c r="Z37" i="24"/>
  <c r="Z93" i="24" s="1"/>
  <c r="Y139" i="24"/>
  <c r="Y86" i="24"/>
  <c r="AA161" i="24" a="1"/>
  <c r="AA161" i="24" s="1"/>
  <c r="AA97" i="24" a="1"/>
  <c r="AA97" i="24" s="1"/>
  <c r="AA116" i="24" a="1"/>
  <c r="AA116" i="24" s="1"/>
  <c r="AA71" i="24" a="1"/>
  <c r="AA71" i="24" s="1"/>
  <c r="AB3" i="24"/>
  <c r="AA21" i="24" a="1"/>
  <c r="AA21" i="24" s="1"/>
  <c r="AA4" i="24"/>
  <c r="AA7" i="24" a="1"/>
  <c r="AA7" i="24" s="1"/>
  <c r="AA6" i="24" s="1"/>
  <c r="AA91" i="24" s="1"/>
  <c r="AA5" i="24"/>
  <c r="AB44" i="24"/>
  <c r="AC44" i="23"/>
  <c r="Z70" i="23"/>
  <c r="Z37" i="23"/>
  <c r="Z93" i="23" s="1"/>
  <c r="Y139" i="23"/>
  <c r="Y86" i="23"/>
  <c r="AA161" i="23" a="1"/>
  <c r="AA161" i="23" s="1"/>
  <c r="AA116" i="23" a="1"/>
  <c r="AA116" i="23" s="1"/>
  <c r="AA97" i="23" a="1"/>
  <c r="AA97" i="23" s="1"/>
  <c r="AA21" i="23" a="1"/>
  <c r="AA21" i="23" s="1"/>
  <c r="AA71" i="23" a="1"/>
  <c r="AA71" i="23" s="1"/>
  <c r="AA5" i="23"/>
  <c r="AB3" i="23"/>
  <c r="AA7" i="23" a="1"/>
  <c r="AA7" i="23" s="1"/>
  <c r="AA6" i="23" s="1"/>
  <c r="AA91" i="23" s="1"/>
  <c r="AA66" i="23" a="1"/>
  <c r="AA66" i="23" s="1"/>
  <c r="AA65" i="23" s="1"/>
  <c r="AA38" i="23" s="1"/>
  <c r="AA4" i="23"/>
  <c r="I40" i="23"/>
  <c r="I41" i="23"/>
  <c r="C54" i="3"/>
  <c r="B54" i="3"/>
  <c r="A55" i="3"/>
  <c r="S97" i="12" a="1"/>
  <c r="S97" i="12" s="1"/>
  <c r="S47" i="12" a="1"/>
  <c r="S47" i="12" s="1"/>
  <c r="S5" i="12"/>
  <c r="S4" i="12"/>
  <c r="T3" i="12"/>
  <c r="T161" i="12" s="1" a="1"/>
  <c r="T161" i="12" s="1"/>
  <c r="S7" i="12" a="1"/>
  <c r="S7" i="12" s="1"/>
  <c r="S116" i="12" a="1"/>
  <c r="S116" i="12" s="1"/>
  <c r="Q139" i="12"/>
  <c r="J6" i="12"/>
  <c r="J91" i="12" s="1"/>
  <c r="R70" i="12"/>
  <c r="R86" i="12" s="1"/>
  <c r="R65" i="12"/>
  <c r="R38" i="12" s="1"/>
  <c r="S66" i="12" a="1"/>
  <c r="S66" i="12" s="1"/>
  <c r="R46" i="12"/>
  <c r="R37" i="12"/>
  <c r="R93" i="12" s="1"/>
  <c r="S71" i="12" a="1"/>
  <c r="S71" i="12" s="1"/>
  <c r="V44" i="12"/>
  <c r="S21" i="12" a="1"/>
  <c r="S21" i="12" s="1"/>
  <c r="C55" i="3" a="1"/>
  <c r="B55" i="3" a="1"/>
  <c r="Z47" i="23" l="1" a="1"/>
  <c r="Z47" i="23" s="1"/>
  <c r="Z46" i="23" s="1"/>
  <c r="AA66" i="24" a="1"/>
  <c r="AA66" i="24" s="1"/>
  <c r="AA65" i="24" s="1"/>
  <c r="AA38" i="24" s="1"/>
  <c r="Y46" i="24"/>
  <c r="Z47" i="24" a="1"/>
  <c r="Z47" i="24" s="1"/>
  <c r="I43" i="24"/>
  <c r="I42" i="24" s="1"/>
  <c r="AB161" i="24" a="1"/>
  <c r="AB161" i="24" s="1"/>
  <c r="AB97" i="24" a="1"/>
  <c r="AB97" i="24" s="1"/>
  <c r="AB116" i="24" a="1"/>
  <c r="AB116" i="24" s="1"/>
  <c r="AB66" i="24" a="1"/>
  <c r="AB66" i="24" s="1"/>
  <c r="AB65" i="24" s="1"/>
  <c r="AB38" i="24" s="1"/>
  <c r="AB71" i="24" a="1"/>
  <c r="AB71" i="24" s="1"/>
  <c r="AC3" i="24"/>
  <c r="AB21" i="24" a="1"/>
  <c r="AB21" i="24" s="1"/>
  <c r="AB7" i="24" a="1"/>
  <c r="AB7" i="24" s="1"/>
  <c r="AB6" i="24" s="1"/>
  <c r="AB91" i="24" s="1"/>
  <c r="AB4" i="24"/>
  <c r="AB5" i="24"/>
  <c r="I138" i="24"/>
  <c r="I137" i="24" s="1"/>
  <c r="AC44" i="24"/>
  <c r="AA70" i="24"/>
  <c r="AA37" i="24"/>
  <c r="AA93" i="24" s="1"/>
  <c r="Z139" i="24"/>
  <c r="Z86" i="24"/>
  <c r="I84" i="23"/>
  <c r="I85" i="23" s="1"/>
  <c r="I92" i="23" s="1"/>
  <c r="I90" i="23" s="1"/>
  <c r="AB161" i="23" a="1"/>
  <c r="AB161" i="23" s="1"/>
  <c r="AB116" i="23" a="1"/>
  <c r="AB116" i="23" s="1"/>
  <c r="AB97" i="23" a="1"/>
  <c r="AB97" i="23" s="1"/>
  <c r="AB21" i="23" a="1"/>
  <c r="AB21" i="23" s="1"/>
  <c r="AB71" i="23" a="1"/>
  <c r="AB71" i="23" s="1"/>
  <c r="AB66" i="23" a="1"/>
  <c r="AB66" i="23" s="1"/>
  <c r="AB65" i="23" s="1"/>
  <c r="AB38" i="23" s="1"/>
  <c r="AC3" i="23"/>
  <c r="AB7" i="23" a="1"/>
  <c r="AB7" i="23" s="1"/>
  <c r="AB6" i="23" s="1"/>
  <c r="AB91" i="23" s="1"/>
  <c r="AB4" i="23"/>
  <c r="AB5" i="23"/>
  <c r="AA37" i="23"/>
  <c r="AA93" i="23" s="1"/>
  <c r="AA70" i="23"/>
  <c r="Z139" i="23"/>
  <c r="Z86" i="23"/>
  <c r="AD44" i="23"/>
  <c r="C55" i="3"/>
  <c r="B55" i="3"/>
  <c r="A56" i="3"/>
  <c r="T97" i="12" a="1"/>
  <c r="T97" i="12" s="1"/>
  <c r="T47" i="12" a="1"/>
  <c r="T47" i="12" s="1"/>
  <c r="T5" i="12"/>
  <c r="T7" i="12" a="1"/>
  <c r="T7" i="12" s="1"/>
  <c r="T4" i="12"/>
  <c r="U3" i="12"/>
  <c r="U161" i="12" s="1" a="1"/>
  <c r="U161" i="12" s="1"/>
  <c r="T116" i="12" a="1"/>
  <c r="T116" i="12" s="1"/>
  <c r="R139" i="12"/>
  <c r="T71" i="12" a="1"/>
  <c r="T71" i="12" s="1"/>
  <c r="S70" i="12"/>
  <c r="S86" i="12" s="1"/>
  <c r="S65" i="12"/>
  <c r="S38" i="12" s="1"/>
  <c r="T66" i="12" a="1"/>
  <c r="T66" i="12" s="1"/>
  <c r="S46" i="12"/>
  <c r="S37" i="12"/>
  <c r="S93" i="12" s="1"/>
  <c r="W44" i="12"/>
  <c r="T21" i="12" a="1"/>
  <c r="T21" i="12" s="1"/>
  <c r="B56" i="3" a="1"/>
  <c r="C56" i="3" a="1"/>
  <c r="I150" i="24" a="1"/>
  <c r="I149" i="23" a="1"/>
  <c r="AA47" i="23" l="1" a="1"/>
  <c r="AA47" i="23" s="1"/>
  <c r="AA46" i="23" s="1"/>
  <c r="Z46" i="24"/>
  <c r="AA47" i="24" a="1"/>
  <c r="AA47" i="24" s="1"/>
  <c r="I150" i="24"/>
  <c r="I148" i="24" s="1"/>
  <c r="AC161" i="24" a="1"/>
  <c r="AC161" i="24" s="1"/>
  <c r="AC97" i="24" a="1"/>
  <c r="AC97" i="24" s="1"/>
  <c r="AC116" i="24" a="1"/>
  <c r="AC116" i="24" s="1"/>
  <c r="AC66" i="24" a="1"/>
  <c r="AC66" i="24" s="1"/>
  <c r="AC65" i="24" s="1"/>
  <c r="AC38" i="24" s="1"/>
  <c r="AC71" i="24" a="1"/>
  <c r="AC71" i="24" s="1"/>
  <c r="AC21" i="24" a="1"/>
  <c r="AC21" i="24" s="1"/>
  <c r="AD3" i="24"/>
  <c r="AC7" i="24" a="1"/>
  <c r="AC7" i="24" s="1"/>
  <c r="AC6" i="24" s="1"/>
  <c r="AC91" i="24" s="1"/>
  <c r="AC4" i="24"/>
  <c r="AC5" i="24"/>
  <c r="AB70" i="24"/>
  <c r="AB37" i="24"/>
  <c r="AB93" i="24" s="1"/>
  <c r="AD44" i="24"/>
  <c r="AA139" i="24"/>
  <c r="AA86" i="24"/>
  <c r="I149" i="23"/>
  <c r="AA139" i="23"/>
  <c r="AA86" i="23"/>
  <c r="AB70" i="23"/>
  <c r="AB37" i="23"/>
  <c r="AB93" i="23" s="1"/>
  <c r="AE44" i="23"/>
  <c r="I82" i="23"/>
  <c r="I45" i="23" s="1"/>
  <c r="AC161" i="23" a="1"/>
  <c r="AC161" i="23" s="1"/>
  <c r="AC97" i="23" a="1"/>
  <c r="AC97" i="23" s="1"/>
  <c r="AC116" i="23" a="1"/>
  <c r="AC116" i="23" s="1"/>
  <c r="AC66" i="23" a="1"/>
  <c r="AC66" i="23" s="1"/>
  <c r="AC65" i="23" s="1"/>
  <c r="AC38" i="23" s="1"/>
  <c r="AC21" i="23" a="1"/>
  <c r="AC21" i="23" s="1"/>
  <c r="AC71" i="23" a="1"/>
  <c r="AC71" i="23" s="1"/>
  <c r="AD3" i="23"/>
  <c r="AC7" i="23" a="1"/>
  <c r="AC7" i="23" s="1"/>
  <c r="AC6" i="23" s="1"/>
  <c r="AC91" i="23" s="1"/>
  <c r="AC4" i="23"/>
  <c r="AC5" i="23"/>
  <c r="C56" i="3"/>
  <c r="B56" i="3"/>
  <c r="A57" i="3"/>
  <c r="U97" i="12" a="1"/>
  <c r="U97" i="12" s="1"/>
  <c r="U47" i="12" a="1"/>
  <c r="U47" i="12" s="1"/>
  <c r="U5" i="12"/>
  <c r="U4" i="12"/>
  <c r="V3" i="12"/>
  <c r="V161" i="12" s="1" a="1"/>
  <c r="V161" i="12" s="1"/>
  <c r="U7" i="12" a="1"/>
  <c r="U7" i="12" s="1"/>
  <c r="U116" i="12" a="1"/>
  <c r="U116" i="12" s="1"/>
  <c r="S139" i="12"/>
  <c r="T70" i="12"/>
  <c r="T86" i="12" s="1"/>
  <c r="U71" i="12" a="1"/>
  <c r="U71" i="12" s="1"/>
  <c r="T46" i="12"/>
  <c r="T65" i="12"/>
  <c r="T38" i="12" s="1"/>
  <c r="U66" i="12" a="1"/>
  <c r="U66" i="12" s="1"/>
  <c r="T37" i="12"/>
  <c r="X44" i="12"/>
  <c r="U21" i="12" a="1"/>
  <c r="U21" i="12" s="1"/>
  <c r="C57" i="3" a="1"/>
  <c r="B57" i="3" a="1"/>
  <c r="AB47" i="23" l="1" a="1"/>
  <c r="AB47" i="23" s="1"/>
  <c r="AB46" i="23" s="1"/>
  <c r="AA46" i="24"/>
  <c r="AB47" i="24" a="1"/>
  <c r="AB47" i="24" s="1"/>
  <c r="J36" i="24"/>
  <c r="J20" i="24" s="1"/>
  <c r="AE44" i="24"/>
  <c r="AC70" i="24"/>
  <c r="AC37" i="24"/>
  <c r="AC93" i="24" s="1"/>
  <c r="AB139" i="24"/>
  <c r="AB86" i="24"/>
  <c r="AD116" i="24" a="1"/>
  <c r="AD116" i="24" s="1"/>
  <c r="AD161" i="24" a="1"/>
  <c r="AD161" i="24" s="1"/>
  <c r="AD97" i="24" a="1"/>
  <c r="AD97" i="24" s="1"/>
  <c r="AD71" i="24" a="1"/>
  <c r="AD71" i="24" s="1"/>
  <c r="AD66" i="24" a="1"/>
  <c r="AD66" i="24" s="1"/>
  <c r="AD65" i="24" s="1"/>
  <c r="AD38" i="24" s="1"/>
  <c r="AD4" i="24"/>
  <c r="AD7" i="24" a="1"/>
  <c r="AD7" i="24" s="1"/>
  <c r="AD6" i="24" s="1"/>
  <c r="AD91" i="24" s="1"/>
  <c r="AD5" i="24"/>
  <c r="AE3" i="24"/>
  <c r="AD21" i="24" a="1"/>
  <c r="AD21" i="24" s="1"/>
  <c r="J41" i="24"/>
  <c r="J40" i="24"/>
  <c r="AF44" i="23"/>
  <c r="AB139" i="23"/>
  <c r="AB86" i="23"/>
  <c r="AD161" i="23" a="1"/>
  <c r="AD161" i="23" s="1"/>
  <c r="AD97" i="23" a="1"/>
  <c r="AD97" i="23" s="1"/>
  <c r="AD116" i="23" a="1"/>
  <c r="AD116" i="23" s="1"/>
  <c r="AD66" i="23" a="1"/>
  <c r="AD66" i="23" s="1"/>
  <c r="AD65" i="23" s="1"/>
  <c r="AD38" i="23" s="1"/>
  <c r="AD21" i="23" a="1"/>
  <c r="AD21" i="23" s="1"/>
  <c r="AD71" i="23" a="1"/>
  <c r="AD71" i="23" s="1"/>
  <c r="AD7" i="23" a="1"/>
  <c r="AD7" i="23" s="1"/>
  <c r="AD6" i="23" s="1"/>
  <c r="AD91" i="23" s="1"/>
  <c r="AE3" i="23"/>
  <c r="AD4" i="23"/>
  <c r="AD5" i="23"/>
  <c r="AC37" i="23"/>
  <c r="AC93" i="23" s="1"/>
  <c r="AC70" i="23"/>
  <c r="J83" i="23"/>
  <c r="I43" i="23"/>
  <c r="C57" i="3"/>
  <c r="B57" i="3"/>
  <c r="A58" i="3"/>
  <c r="V97" i="12" a="1"/>
  <c r="V97" i="12" s="1"/>
  <c r="V47" i="12" a="1"/>
  <c r="V47" i="12" s="1"/>
  <c r="W3" i="12"/>
  <c r="W161" i="12" s="1" a="1"/>
  <c r="W161" i="12" s="1"/>
  <c r="V5" i="12"/>
  <c r="V4" i="12"/>
  <c r="V7" i="12" a="1"/>
  <c r="V7" i="12" s="1"/>
  <c r="V116" i="12" a="1"/>
  <c r="V116" i="12" s="1"/>
  <c r="T139" i="12"/>
  <c r="U70" i="12"/>
  <c r="U86" i="12" s="1"/>
  <c r="T93" i="12"/>
  <c r="V71" i="12" a="1"/>
  <c r="V71" i="12" s="1"/>
  <c r="U37" i="12"/>
  <c r="U93" i="12" s="1"/>
  <c r="U65" i="12"/>
  <c r="U38" i="12" s="1"/>
  <c r="V66" i="12" a="1"/>
  <c r="V66" i="12" s="1"/>
  <c r="U46" i="12"/>
  <c r="Y44" i="12"/>
  <c r="V21" i="12" a="1"/>
  <c r="V21" i="12" s="1"/>
  <c r="B58" i="3" a="1"/>
  <c r="C58" i="3" a="1"/>
  <c r="AC47" i="23" l="1" a="1"/>
  <c r="AC47" i="23" s="1"/>
  <c r="AC46" i="23" s="1"/>
  <c r="J84" i="24"/>
  <c r="J85" i="24" s="1"/>
  <c r="J92" i="24" s="1"/>
  <c r="J90" i="24" s="1"/>
  <c r="AB46" i="24"/>
  <c r="AC47" i="24" a="1"/>
  <c r="AC47" i="24" s="1"/>
  <c r="AE161" i="24" a="1"/>
  <c r="AE161" i="24" s="1"/>
  <c r="AE116" i="24" a="1"/>
  <c r="AE116" i="24" s="1"/>
  <c r="AE97" i="24" a="1"/>
  <c r="AE97" i="24" s="1"/>
  <c r="AE71" i="24" a="1"/>
  <c r="AE71" i="24" s="1"/>
  <c r="AE66" i="24" a="1"/>
  <c r="AE66" i="24" s="1"/>
  <c r="AE65" i="24" s="1"/>
  <c r="AE38" i="24" s="1"/>
  <c r="AE4" i="24"/>
  <c r="AE5" i="24"/>
  <c r="AE21" i="24" a="1"/>
  <c r="AE21" i="24" s="1"/>
  <c r="AE7" i="24" a="1"/>
  <c r="AE7" i="24" s="1"/>
  <c r="AE6" i="24" s="1"/>
  <c r="AE91" i="24" s="1"/>
  <c r="AF3" i="24"/>
  <c r="AD70" i="24"/>
  <c r="AD37" i="24"/>
  <c r="AD93" i="24" s="1"/>
  <c r="AC139" i="24"/>
  <c r="AC86" i="24"/>
  <c r="AF44" i="24"/>
  <c r="AE161" i="23" a="1"/>
  <c r="AE161" i="23" s="1"/>
  <c r="AE116" i="23" a="1"/>
  <c r="AE116" i="23" s="1"/>
  <c r="AE97" i="23" a="1"/>
  <c r="AE97" i="23" s="1"/>
  <c r="AE21" i="23" a="1"/>
  <c r="AE21" i="23" s="1"/>
  <c r="AE71" i="23" a="1"/>
  <c r="AE71" i="23" s="1"/>
  <c r="AF3" i="23"/>
  <c r="AE7" i="23" a="1"/>
  <c r="AE7" i="23" s="1"/>
  <c r="AE6" i="23" s="1"/>
  <c r="AE91" i="23" s="1"/>
  <c r="AE4" i="23"/>
  <c r="AE5" i="23"/>
  <c r="AE66" i="23" a="1"/>
  <c r="AE66" i="23" s="1"/>
  <c r="AE65" i="23" s="1"/>
  <c r="AE38" i="23" s="1"/>
  <c r="I138" i="23"/>
  <c r="I137" i="23" s="1"/>
  <c r="I42" i="23"/>
  <c r="AD70" i="23"/>
  <c r="AD37" i="23"/>
  <c r="AD93" i="23" s="1"/>
  <c r="AC139" i="23"/>
  <c r="AC86" i="23"/>
  <c r="AG44" i="23"/>
  <c r="C58" i="3"/>
  <c r="B58" i="3"/>
  <c r="A59" i="3"/>
  <c r="W97" i="12" a="1"/>
  <c r="W97" i="12" s="1"/>
  <c r="W47" i="12" a="1"/>
  <c r="W47" i="12" s="1"/>
  <c r="W5" i="12"/>
  <c r="W7" i="12" a="1"/>
  <c r="W7" i="12" s="1"/>
  <c r="X3" i="12"/>
  <c r="X161" i="12" s="1" a="1"/>
  <c r="X161" i="12" s="1"/>
  <c r="W4" i="12"/>
  <c r="W116" i="12" a="1"/>
  <c r="W116" i="12" s="1"/>
  <c r="U139" i="12"/>
  <c r="K6" i="12"/>
  <c r="K91" i="12" s="1"/>
  <c r="V70" i="12"/>
  <c r="V86" i="12" s="1"/>
  <c r="V37" i="12"/>
  <c r="V93" i="12" s="1"/>
  <c r="W71" i="12" a="1"/>
  <c r="W71" i="12" s="1"/>
  <c r="V46" i="12"/>
  <c r="V65" i="12"/>
  <c r="V38" i="12" s="1"/>
  <c r="W66" i="12" a="1"/>
  <c r="W66" i="12" s="1"/>
  <c r="Z44" i="12"/>
  <c r="W21" i="12" a="1"/>
  <c r="W21" i="12" s="1"/>
  <c r="J149" i="24" a="1"/>
  <c r="I150" i="23" a="1"/>
  <c r="C59" i="3" a="1"/>
  <c r="B59" i="3" a="1"/>
  <c r="AD47" i="23" l="1" a="1"/>
  <c r="AD47" i="23" s="1"/>
  <c r="AD46" i="23" s="1"/>
  <c r="AC46" i="24"/>
  <c r="AD47" i="24" a="1"/>
  <c r="AD47" i="24" s="1"/>
  <c r="J149" i="24"/>
  <c r="AD139" i="24"/>
  <c r="AD86" i="24"/>
  <c r="AE70" i="24"/>
  <c r="AE37" i="24"/>
  <c r="AE93" i="24" s="1"/>
  <c r="AF161" i="24" a="1"/>
  <c r="AF161" i="24" s="1"/>
  <c r="AF97" i="24" a="1"/>
  <c r="AF97" i="24" s="1"/>
  <c r="AF116" i="24" a="1"/>
  <c r="AF116" i="24" s="1"/>
  <c r="AF66" i="24" a="1"/>
  <c r="AF66" i="24" s="1"/>
  <c r="AF65" i="24" s="1"/>
  <c r="AF38" i="24" s="1"/>
  <c r="AF71" i="24" a="1"/>
  <c r="AF71" i="24" s="1"/>
  <c r="AF5" i="24"/>
  <c r="AF4" i="24"/>
  <c r="AF21" i="24" a="1"/>
  <c r="AF21" i="24" s="1"/>
  <c r="AF7" i="24" a="1"/>
  <c r="AF7" i="24" s="1"/>
  <c r="AF6" i="24" s="1"/>
  <c r="AF91" i="24" s="1"/>
  <c r="AG3" i="24"/>
  <c r="AG44" i="24"/>
  <c r="J82" i="24"/>
  <c r="J45" i="24" s="1"/>
  <c r="I150" i="23"/>
  <c r="I148" i="23" s="1"/>
  <c r="AH44" i="23"/>
  <c r="AF161" i="23" a="1"/>
  <c r="AF161" i="23" s="1"/>
  <c r="AF97" i="23" a="1"/>
  <c r="AF97" i="23" s="1"/>
  <c r="AF116" i="23" a="1"/>
  <c r="AF116" i="23" s="1"/>
  <c r="AF21" i="23" a="1"/>
  <c r="AF21" i="23" s="1"/>
  <c r="AF71" i="23" a="1"/>
  <c r="AF71" i="23" s="1"/>
  <c r="AF66" i="23" a="1"/>
  <c r="AF66" i="23" s="1"/>
  <c r="AF65" i="23" s="1"/>
  <c r="AF38" i="23" s="1"/>
  <c r="AF4" i="23"/>
  <c r="AG3" i="23"/>
  <c r="AF5" i="23"/>
  <c r="AF7" i="23" a="1"/>
  <c r="AF7" i="23" s="1"/>
  <c r="AF6" i="23" s="1"/>
  <c r="AF91" i="23" s="1"/>
  <c r="AD139" i="23"/>
  <c r="AD86" i="23"/>
  <c r="AE37" i="23"/>
  <c r="AE93" i="23" s="1"/>
  <c r="AE70" i="23"/>
  <c r="C59" i="3"/>
  <c r="B59" i="3"/>
  <c r="A60" i="3"/>
  <c r="X97" i="12" a="1"/>
  <c r="X97" i="12" s="1"/>
  <c r="X47" i="12" a="1"/>
  <c r="X47" i="12" s="1"/>
  <c r="X4" i="12"/>
  <c r="X116" i="12" a="1"/>
  <c r="X116" i="12" s="1"/>
  <c r="X7" i="12" a="1"/>
  <c r="X7" i="12" s="1"/>
  <c r="X5" i="12"/>
  <c r="Y3" i="12"/>
  <c r="Y161" i="12" s="1" a="1"/>
  <c r="Y161" i="12" s="1"/>
  <c r="V139" i="12"/>
  <c r="W70" i="12"/>
  <c r="W86" i="12" s="1"/>
  <c r="X71" i="12" a="1"/>
  <c r="X71" i="12" s="1"/>
  <c r="W37" i="12"/>
  <c r="W93" i="12" s="1"/>
  <c r="W65" i="12"/>
  <c r="W38" i="12" s="1"/>
  <c r="X66" i="12" a="1"/>
  <c r="X66" i="12" s="1"/>
  <c r="W46" i="12"/>
  <c r="AA44" i="12"/>
  <c r="X21" i="12" a="1"/>
  <c r="X21" i="12" s="1"/>
  <c r="C60" i="3" a="1"/>
  <c r="B60" i="3" a="1"/>
  <c r="AE47" i="23" l="1" a="1"/>
  <c r="AE47" i="23" s="1"/>
  <c r="AE46" i="23" s="1"/>
  <c r="AD46" i="24"/>
  <c r="AE47" i="24" a="1"/>
  <c r="AE47" i="24" s="1"/>
  <c r="J36" i="23"/>
  <c r="J20" i="23" s="1"/>
  <c r="AG161" i="24" a="1"/>
  <c r="AG161" i="24" s="1"/>
  <c r="AG116" i="24" a="1"/>
  <c r="AG116" i="24" s="1"/>
  <c r="AG97" i="24" a="1"/>
  <c r="AG97" i="24" s="1"/>
  <c r="AG66" i="24" a="1"/>
  <c r="AG66" i="24" s="1"/>
  <c r="AG65" i="24" s="1"/>
  <c r="AG38" i="24" s="1"/>
  <c r="AG71" i="24" a="1"/>
  <c r="AG71" i="24" s="1"/>
  <c r="AG21" i="24" a="1"/>
  <c r="AG21" i="24" s="1"/>
  <c r="AG7" i="24" a="1"/>
  <c r="AG7" i="24" s="1"/>
  <c r="AG6" i="24" s="1"/>
  <c r="AG91" i="24" s="1"/>
  <c r="AG5" i="24"/>
  <c r="AH3" i="24"/>
  <c r="AG4" i="24"/>
  <c r="K83" i="24"/>
  <c r="J43" i="24"/>
  <c r="AE139" i="24"/>
  <c r="AE86" i="24"/>
  <c r="AF37" i="24"/>
  <c r="AF93" i="24" s="1"/>
  <c r="AF70" i="24"/>
  <c r="AH44" i="24"/>
  <c r="AF70" i="23"/>
  <c r="AF37" i="23"/>
  <c r="AF93" i="23" s="1"/>
  <c r="AG161" i="23" a="1"/>
  <c r="AG161" i="23" s="1"/>
  <c r="AG97" i="23" a="1"/>
  <c r="AG97" i="23" s="1"/>
  <c r="AG116" i="23" a="1"/>
  <c r="AG116" i="23" s="1"/>
  <c r="AG66" i="23" a="1"/>
  <c r="AG66" i="23" s="1"/>
  <c r="AG65" i="23" s="1"/>
  <c r="AG38" i="23" s="1"/>
  <c r="AG21" i="23" a="1"/>
  <c r="AG21" i="23" s="1"/>
  <c r="AG71" i="23" a="1"/>
  <c r="AG71" i="23" s="1"/>
  <c r="AG4" i="23"/>
  <c r="AG5" i="23"/>
  <c r="AG7" i="23" a="1"/>
  <c r="AG7" i="23" s="1"/>
  <c r="AG6" i="23" s="1"/>
  <c r="AG91" i="23" s="1"/>
  <c r="AH3" i="23"/>
  <c r="AE139" i="23"/>
  <c r="AE86" i="23"/>
  <c r="AI44" i="23"/>
  <c r="J41" i="23"/>
  <c r="J40" i="23"/>
  <c r="C60" i="3"/>
  <c r="B60" i="3"/>
  <c r="A61" i="3"/>
  <c r="Y97" i="12" a="1"/>
  <c r="Y97" i="12" s="1"/>
  <c r="Y47" i="12" a="1"/>
  <c r="Y47" i="12" s="1"/>
  <c r="Y4" i="12"/>
  <c r="Y5" i="12"/>
  <c r="Y7" i="12" a="1"/>
  <c r="Y7" i="12" s="1"/>
  <c r="Y116" i="12" a="1"/>
  <c r="Y116" i="12" s="1"/>
  <c r="Z3" i="12"/>
  <c r="Z161" i="12" s="1" a="1"/>
  <c r="Z161" i="12" s="1"/>
  <c r="W139" i="12"/>
  <c r="X70" i="12"/>
  <c r="X86" i="12" s="1"/>
  <c r="Y71" i="12" a="1"/>
  <c r="Y71" i="12" s="1"/>
  <c r="X37" i="12"/>
  <c r="X93" i="12" s="1"/>
  <c r="X46" i="12"/>
  <c r="X65" i="12"/>
  <c r="X38" i="12" s="1"/>
  <c r="Y66" i="12" a="1"/>
  <c r="Y66" i="12" s="1"/>
  <c r="AB44" i="12"/>
  <c r="Y21" i="12" a="1"/>
  <c r="Y21" i="12" s="1"/>
  <c r="B61" i="3" a="1"/>
  <c r="C61" i="3" a="1"/>
  <c r="AF47" i="23" l="1" a="1"/>
  <c r="AF47" i="23" s="1"/>
  <c r="AE46" i="24"/>
  <c r="AF47" i="24" a="1"/>
  <c r="AF47" i="24" s="1"/>
  <c r="J138" i="24"/>
  <c r="J137" i="24" s="1"/>
  <c r="J42" i="24"/>
  <c r="AG70" i="24"/>
  <c r="AG37" i="24"/>
  <c r="AG93" i="24" s="1"/>
  <c r="AI44" i="24"/>
  <c r="AF139" i="24"/>
  <c r="AF86" i="24"/>
  <c r="AH116" i="24" a="1"/>
  <c r="AH116" i="24" s="1"/>
  <c r="AH161" i="24" a="1"/>
  <c r="AH161" i="24" s="1"/>
  <c r="AH97" i="24" a="1"/>
  <c r="AH97" i="24" s="1"/>
  <c r="AH71" i="24" a="1"/>
  <c r="AH71" i="24" s="1"/>
  <c r="AH66" i="24" a="1"/>
  <c r="AH66" i="24" s="1"/>
  <c r="AH65" i="24" s="1"/>
  <c r="AH38" i="24" s="1"/>
  <c r="AH7" i="24" a="1"/>
  <c r="AH7" i="24" s="1"/>
  <c r="AH6" i="24" s="1"/>
  <c r="AH91" i="24" s="1"/>
  <c r="AI3" i="24"/>
  <c r="AH4" i="24"/>
  <c r="AH21" i="24" a="1"/>
  <c r="AH21" i="24" s="1"/>
  <c r="AH5" i="24"/>
  <c r="J84" i="23"/>
  <c r="J85" i="23" s="1"/>
  <c r="J92" i="23" s="1"/>
  <c r="J90" i="23" s="1"/>
  <c r="AH161" i="23" a="1"/>
  <c r="AH161" i="23" s="1"/>
  <c r="AH97" i="23" a="1"/>
  <c r="AH97" i="23" s="1"/>
  <c r="AH116" i="23" a="1"/>
  <c r="AH116" i="23" s="1"/>
  <c r="AH66" i="23" a="1"/>
  <c r="AH66" i="23" s="1"/>
  <c r="AH65" i="23" s="1"/>
  <c r="AH38" i="23" s="1"/>
  <c r="AH21" i="23" a="1"/>
  <c r="AH21" i="23" s="1"/>
  <c r="AH71" i="23" a="1"/>
  <c r="AH71" i="23" s="1"/>
  <c r="AH5" i="23"/>
  <c r="AH7" i="23" a="1"/>
  <c r="AH7" i="23" s="1"/>
  <c r="AH6" i="23" s="1"/>
  <c r="AH91" i="23" s="1"/>
  <c r="AH4" i="23"/>
  <c r="AI3" i="23"/>
  <c r="AJ44" i="23"/>
  <c r="AG37" i="23"/>
  <c r="AG93" i="23" s="1"/>
  <c r="AG70" i="23"/>
  <c r="AF139" i="23"/>
  <c r="AF86" i="23"/>
  <c r="C61" i="3"/>
  <c r="B61" i="3"/>
  <c r="A62" i="3"/>
  <c r="Z97" i="12" a="1"/>
  <c r="Z97" i="12" s="1"/>
  <c r="Z47" i="12" a="1"/>
  <c r="Z47" i="12" s="1"/>
  <c r="Z7" i="12" a="1"/>
  <c r="Z7" i="12" s="1"/>
  <c r="Z116" i="12" a="1"/>
  <c r="Z116" i="12" s="1"/>
  <c r="Z4" i="12"/>
  <c r="AA3" i="12"/>
  <c r="AA161" i="12" s="1" a="1"/>
  <c r="AA161" i="12" s="1"/>
  <c r="Z5" i="12"/>
  <c r="X139" i="12"/>
  <c r="Y70" i="12"/>
  <c r="Y86" i="12" s="1"/>
  <c r="Z71" i="12" a="1"/>
  <c r="Z71" i="12" s="1"/>
  <c r="Y37" i="12"/>
  <c r="Y93" i="12" s="1"/>
  <c r="Y65" i="12"/>
  <c r="Y38" i="12" s="1"/>
  <c r="Z66" i="12" a="1"/>
  <c r="Z66" i="12" s="1"/>
  <c r="Y46" i="12"/>
  <c r="AC44" i="12"/>
  <c r="Z21" i="12" a="1"/>
  <c r="Z21" i="12" s="1"/>
  <c r="J150" i="24" a="1"/>
  <c r="B62" i="3" a="1"/>
  <c r="J149" i="23" a="1"/>
  <c r="C62" i="3" a="1"/>
  <c r="AF46" i="23" l="1"/>
  <c r="AG47" i="23" a="1"/>
  <c r="AG47" i="23" s="1"/>
  <c r="AF46" i="24"/>
  <c r="AG47" i="24" a="1"/>
  <c r="AG47" i="24" s="1"/>
  <c r="J150" i="24"/>
  <c r="J148" i="24" s="1"/>
  <c r="AH70" i="24"/>
  <c r="AH37" i="24"/>
  <c r="AH93" i="24" s="1"/>
  <c r="AG139" i="24"/>
  <c r="AG86" i="24"/>
  <c r="AI161" i="24" a="1"/>
  <c r="AI161" i="24" s="1"/>
  <c r="AI116" i="24" a="1"/>
  <c r="AI116" i="24" s="1"/>
  <c r="AI97" i="24" a="1"/>
  <c r="AI97" i="24" s="1"/>
  <c r="AI71" i="24" a="1"/>
  <c r="AI71" i="24" s="1"/>
  <c r="AI66" i="24" a="1"/>
  <c r="AI66" i="24" s="1"/>
  <c r="AI65" i="24" s="1"/>
  <c r="AI38" i="24" s="1"/>
  <c r="AJ3" i="24"/>
  <c r="AI21" i="24" a="1"/>
  <c r="AI21" i="24" s="1"/>
  <c r="AI4" i="24"/>
  <c r="AI7" i="24" a="1"/>
  <c r="AI7" i="24" s="1"/>
  <c r="AI6" i="24" s="1"/>
  <c r="AI91" i="24" s="1"/>
  <c r="AI5" i="24"/>
  <c r="AJ44" i="24"/>
  <c r="J149" i="23"/>
  <c r="AG86" i="23"/>
  <c r="AG139" i="23"/>
  <c r="AK44" i="23"/>
  <c r="AH70" i="23"/>
  <c r="AH37" i="23"/>
  <c r="AH93" i="23" s="1"/>
  <c r="J82" i="23"/>
  <c r="J45" i="23" s="1"/>
  <c r="AI161" i="23" a="1"/>
  <c r="AI161" i="23" s="1"/>
  <c r="AI116" i="23" a="1"/>
  <c r="AI116" i="23" s="1"/>
  <c r="AI97" i="23" a="1"/>
  <c r="AI97" i="23" s="1"/>
  <c r="AI21" i="23" a="1"/>
  <c r="AI21" i="23" s="1"/>
  <c r="AI71" i="23" a="1"/>
  <c r="AI71" i="23" s="1"/>
  <c r="AI66" i="23" a="1"/>
  <c r="AI66" i="23" s="1"/>
  <c r="AI65" i="23" s="1"/>
  <c r="AI38" i="23" s="1"/>
  <c r="AJ3" i="23"/>
  <c r="AI7" i="23" a="1"/>
  <c r="AI7" i="23" s="1"/>
  <c r="AI6" i="23" s="1"/>
  <c r="AI91" i="23" s="1"/>
  <c r="AI5" i="23"/>
  <c r="AI4" i="23"/>
  <c r="C62" i="3"/>
  <c r="B62" i="3"/>
  <c r="A63" i="3"/>
  <c r="AA97" i="12" a="1"/>
  <c r="AA97" i="12" s="1"/>
  <c r="AA47" i="12" a="1"/>
  <c r="AA47" i="12" s="1"/>
  <c r="AA7" i="12" a="1"/>
  <c r="AA7" i="12" s="1"/>
  <c r="AA116" i="12" a="1"/>
  <c r="AA116" i="12" s="1"/>
  <c r="AA4" i="12"/>
  <c r="AB3" i="12"/>
  <c r="AB161" i="12" s="1" a="1"/>
  <c r="AB161" i="12" s="1"/>
  <c r="AA5" i="12"/>
  <c r="Y139" i="12"/>
  <c r="L6" i="12"/>
  <c r="L91" i="12" s="1"/>
  <c r="Z70" i="12"/>
  <c r="Z86" i="12" s="1"/>
  <c r="AA71" i="12" a="1"/>
  <c r="AA71" i="12" s="1"/>
  <c r="Z37" i="12"/>
  <c r="Z93" i="12" s="1"/>
  <c r="Z46" i="12"/>
  <c r="Z65" i="12"/>
  <c r="Z38" i="12" s="1"/>
  <c r="AA66" i="12" a="1"/>
  <c r="AA66" i="12" s="1"/>
  <c r="AD44" i="12"/>
  <c r="AA21" i="12" a="1"/>
  <c r="AA21" i="12" s="1"/>
  <c r="B63" i="3" a="1"/>
  <c r="C63" i="3" a="1"/>
  <c r="AG46" i="23" l="1"/>
  <c r="AH47" i="23" a="1"/>
  <c r="AH47" i="23" s="1"/>
  <c r="AG46" i="24"/>
  <c r="AH47" i="24" a="1"/>
  <c r="AH47" i="24" s="1"/>
  <c r="K36" i="24"/>
  <c r="K20" i="24" s="1"/>
  <c r="K40" i="24" s="1"/>
  <c r="AJ161" i="24" a="1"/>
  <c r="AJ161" i="24" s="1"/>
  <c r="AJ97" i="24" a="1"/>
  <c r="AJ97" i="24" s="1"/>
  <c r="AJ116" i="24" a="1"/>
  <c r="AJ116" i="24" s="1"/>
  <c r="AJ66" i="24" a="1"/>
  <c r="AJ66" i="24" s="1"/>
  <c r="AJ65" i="24" s="1"/>
  <c r="AJ38" i="24" s="1"/>
  <c r="AJ71" i="24" a="1"/>
  <c r="AJ71" i="24" s="1"/>
  <c r="AK3" i="24"/>
  <c r="AJ21" i="24" a="1"/>
  <c r="AJ21" i="24" s="1"/>
  <c r="AJ7" i="24" a="1"/>
  <c r="AJ7" i="24" s="1"/>
  <c r="AJ6" i="24" s="1"/>
  <c r="AJ91" i="24" s="1"/>
  <c r="AJ4" i="24"/>
  <c r="AJ5" i="24"/>
  <c r="AK44" i="24"/>
  <c r="AI70" i="24"/>
  <c r="AI37" i="24"/>
  <c r="AI93" i="24" s="1"/>
  <c r="AH139" i="24"/>
  <c r="AH86" i="24"/>
  <c r="K41" i="24"/>
  <c r="AI37" i="23"/>
  <c r="AI93" i="23" s="1"/>
  <c r="AI70" i="23"/>
  <c r="AH139" i="23"/>
  <c r="AH86" i="23"/>
  <c r="AL44" i="23"/>
  <c r="AJ161" i="23" a="1"/>
  <c r="AJ161" i="23" s="1"/>
  <c r="AJ97" i="23" a="1"/>
  <c r="AJ97" i="23" s="1"/>
  <c r="AJ116" i="23" a="1"/>
  <c r="AJ116" i="23" s="1"/>
  <c r="AJ21" i="23" a="1"/>
  <c r="AJ21" i="23" s="1"/>
  <c r="AJ71" i="23" a="1"/>
  <c r="AJ71" i="23" s="1"/>
  <c r="AJ66" i="23" a="1"/>
  <c r="AJ66" i="23" s="1"/>
  <c r="AJ65" i="23" s="1"/>
  <c r="AJ38" i="23" s="1"/>
  <c r="AK3" i="23"/>
  <c r="AJ7" i="23" a="1"/>
  <c r="AJ7" i="23" s="1"/>
  <c r="AJ6" i="23" s="1"/>
  <c r="AJ91" i="23" s="1"/>
  <c r="AJ4" i="23"/>
  <c r="AJ5" i="23"/>
  <c r="K83" i="23"/>
  <c r="J43" i="23"/>
  <c r="C63" i="3"/>
  <c r="B63" i="3"/>
  <c r="A64" i="3"/>
  <c r="AB97" i="12" a="1"/>
  <c r="AB97" i="12" s="1"/>
  <c r="AB47" i="12" a="1"/>
  <c r="AB47" i="12" s="1"/>
  <c r="AB7" i="12" a="1"/>
  <c r="AB7" i="12" s="1"/>
  <c r="AB4" i="12"/>
  <c r="AB116" i="12" a="1"/>
  <c r="AB116" i="12" s="1"/>
  <c r="AB5" i="12"/>
  <c r="AC3" i="12"/>
  <c r="AC161" i="12" s="1" a="1"/>
  <c r="AC161" i="12" s="1"/>
  <c r="Z139" i="12"/>
  <c r="AA70" i="12"/>
  <c r="AA86" i="12" s="1"/>
  <c r="AA37" i="12"/>
  <c r="AA93" i="12" s="1"/>
  <c r="AB71" i="12" a="1"/>
  <c r="AB71" i="12" s="1"/>
  <c r="AA65" i="12"/>
  <c r="AA38" i="12" s="1"/>
  <c r="AB66" i="12" a="1"/>
  <c r="AB66" i="12" s="1"/>
  <c r="AA46" i="12"/>
  <c r="AE44" i="12"/>
  <c r="AB21" i="12" a="1"/>
  <c r="AB21" i="12" s="1"/>
  <c r="C64" i="3" a="1"/>
  <c r="B64" i="3" a="1"/>
  <c r="AH46" i="23" l="1"/>
  <c r="AI47" i="23" a="1"/>
  <c r="AI47" i="23" s="1"/>
  <c r="AH46" i="24"/>
  <c r="AI47" i="24" a="1"/>
  <c r="AI47" i="24" s="1"/>
  <c r="AK161" i="24" a="1"/>
  <c r="AK161" i="24" s="1"/>
  <c r="AK97" i="24" a="1"/>
  <c r="AK97" i="24" s="1"/>
  <c r="AK116" i="24" a="1"/>
  <c r="AK116" i="24" s="1"/>
  <c r="AK66" i="24" a="1"/>
  <c r="AK66" i="24" s="1"/>
  <c r="AK65" i="24" s="1"/>
  <c r="AK38" i="24" s="1"/>
  <c r="AK71" i="24" a="1"/>
  <c r="AK71" i="24" s="1"/>
  <c r="AK21" i="24" a="1"/>
  <c r="AK21" i="24" s="1"/>
  <c r="AL3" i="24"/>
  <c r="AK7" i="24" a="1"/>
  <c r="AK7" i="24" s="1"/>
  <c r="AK6" i="24" s="1"/>
  <c r="AK91" i="24" s="1"/>
  <c r="AK4" i="24"/>
  <c r="AK5" i="24"/>
  <c r="AI139" i="24"/>
  <c r="AI86" i="24"/>
  <c r="AJ70" i="24"/>
  <c r="AJ37" i="24"/>
  <c r="AJ93" i="24" s="1"/>
  <c r="AL44" i="24"/>
  <c r="K84" i="24"/>
  <c r="AK161" i="23" a="1"/>
  <c r="AK161" i="23" s="1"/>
  <c r="AK97" i="23" a="1"/>
  <c r="AK97" i="23" s="1"/>
  <c r="AK116" i="23" a="1"/>
  <c r="AK116" i="23" s="1"/>
  <c r="AK66" i="23" a="1"/>
  <c r="AK66" i="23" s="1"/>
  <c r="AK65" i="23" s="1"/>
  <c r="AK38" i="23" s="1"/>
  <c r="AK21" i="23" a="1"/>
  <c r="AK21" i="23" s="1"/>
  <c r="AL3" i="23"/>
  <c r="AK7" i="23" a="1"/>
  <c r="AK7" i="23" s="1"/>
  <c r="AK6" i="23" s="1"/>
  <c r="AK91" i="23" s="1"/>
  <c r="AK4" i="23"/>
  <c r="AK5" i="23"/>
  <c r="AK71" i="23" a="1"/>
  <c r="AK71" i="23" s="1"/>
  <c r="AM44" i="23"/>
  <c r="J138" i="23"/>
  <c r="J137" i="23" s="1"/>
  <c r="J42" i="23"/>
  <c r="AJ70" i="23"/>
  <c r="AJ37" i="23"/>
  <c r="AJ93" i="23" s="1"/>
  <c r="AI139" i="23"/>
  <c r="AI86" i="23"/>
  <c r="C64" i="3"/>
  <c r="B64" i="3"/>
  <c r="A65" i="3"/>
  <c r="AC97" i="12" a="1"/>
  <c r="AC97" i="12" s="1"/>
  <c r="AC47" i="12" a="1"/>
  <c r="AC47" i="12" s="1"/>
  <c r="AC116" i="12" a="1"/>
  <c r="AC116" i="12" s="1"/>
  <c r="AC4" i="12"/>
  <c r="AC7" i="12" a="1"/>
  <c r="AC7" i="12" s="1"/>
  <c r="AD3" i="12"/>
  <c r="AD161" i="12" s="1" a="1"/>
  <c r="AD161" i="12" s="1"/>
  <c r="AC5" i="12"/>
  <c r="AA139" i="12"/>
  <c r="AB70" i="12"/>
  <c r="AB86" i="12" s="1"/>
  <c r="AB37" i="12"/>
  <c r="AB93" i="12" s="1"/>
  <c r="AC71" i="12" a="1"/>
  <c r="AC71" i="12" s="1"/>
  <c r="AB65" i="12"/>
  <c r="AB38" i="12" s="1"/>
  <c r="AC66" i="12" a="1"/>
  <c r="AC66" i="12" s="1"/>
  <c r="AB46" i="12"/>
  <c r="AF44" i="12"/>
  <c r="AC21" i="12" a="1"/>
  <c r="AC21" i="12" s="1"/>
  <c r="C65" i="3" a="1"/>
  <c r="B65" i="3" a="1"/>
  <c r="J150" i="23" a="1"/>
  <c r="AI46" i="23" l="1"/>
  <c r="AJ47" i="23" a="1"/>
  <c r="AJ47" i="23" s="1"/>
  <c r="AI46" i="24"/>
  <c r="AJ47" i="24" a="1"/>
  <c r="AJ47" i="24" s="1"/>
  <c r="AJ139" i="24"/>
  <c r="AJ86" i="24"/>
  <c r="AL161" i="24" a="1"/>
  <c r="AL161" i="24" s="1"/>
  <c r="AL116" i="24" a="1"/>
  <c r="AL116" i="24" s="1"/>
  <c r="AL97" i="24" a="1"/>
  <c r="AL97" i="24" s="1"/>
  <c r="AL71" i="24" a="1"/>
  <c r="AL71" i="24" s="1"/>
  <c r="AL66" i="24" a="1"/>
  <c r="AL66" i="24" s="1"/>
  <c r="AL65" i="24" s="1"/>
  <c r="AL38" i="24" s="1"/>
  <c r="AL7" i="24" a="1"/>
  <c r="AL7" i="24" s="1"/>
  <c r="AL6" i="24" s="1"/>
  <c r="AL91" i="24" s="1"/>
  <c r="AL4" i="24"/>
  <c r="AL5" i="24"/>
  <c r="AL21" i="24" a="1"/>
  <c r="AL21" i="24" s="1"/>
  <c r="AM3" i="24"/>
  <c r="AK70" i="24"/>
  <c r="AK37" i="24"/>
  <c r="AK93" i="24" s="1"/>
  <c r="K85" i="24"/>
  <c r="K92" i="24" s="1"/>
  <c r="K90" i="24" s="1"/>
  <c r="AM44" i="24"/>
  <c r="J150" i="23"/>
  <c r="J148" i="23" s="1"/>
  <c r="AK37" i="23"/>
  <c r="AK93" i="23" s="1"/>
  <c r="AK70" i="23"/>
  <c r="AJ139" i="23"/>
  <c r="AJ86" i="23"/>
  <c r="AL161" i="23" a="1"/>
  <c r="AL161" i="23" s="1"/>
  <c r="AL116" i="23" a="1"/>
  <c r="AL116" i="23" s="1"/>
  <c r="AL97" i="23" a="1"/>
  <c r="AL97" i="23" s="1"/>
  <c r="AL66" i="23" a="1"/>
  <c r="AL66" i="23" s="1"/>
  <c r="AL65" i="23" s="1"/>
  <c r="AL38" i="23" s="1"/>
  <c r="AL21" i="23" a="1"/>
  <c r="AL21" i="23" s="1"/>
  <c r="AL71" i="23" a="1"/>
  <c r="AL71" i="23" s="1"/>
  <c r="AL7" i="23" a="1"/>
  <c r="AL7" i="23" s="1"/>
  <c r="AL6" i="23" s="1"/>
  <c r="AL91" i="23" s="1"/>
  <c r="AM3" i="23"/>
  <c r="AL4" i="23"/>
  <c r="AL5" i="23"/>
  <c r="AN44" i="23"/>
  <c r="C65" i="3"/>
  <c r="B65" i="3"/>
  <c r="A66" i="3"/>
  <c r="AD97" i="12" a="1"/>
  <c r="AD97" i="12" s="1"/>
  <c r="AD47" i="12" a="1"/>
  <c r="AD47" i="12" s="1"/>
  <c r="AE3" i="12"/>
  <c r="AE161" i="12" s="1" a="1"/>
  <c r="AE161" i="12" s="1"/>
  <c r="AD116" i="12" a="1"/>
  <c r="AD116" i="12" s="1"/>
  <c r="AD4" i="12"/>
  <c r="AD7" i="12" a="1"/>
  <c r="AD7" i="12" s="1"/>
  <c r="AD5" i="12"/>
  <c r="AB139" i="12"/>
  <c r="AC70" i="12"/>
  <c r="AC86" i="12" s="1"/>
  <c r="AD71" i="12" a="1"/>
  <c r="AD71" i="12" s="1"/>
  <c r="AC37" i="12"/>
  <c r="AC93" i="12" s="1"/>
  <c r="AC46" i="12"/>
  <c r="AC65" i="12"/>
  <c r="AC38" i="12" s="1"/>
  <c r="AD66" i="12" a="1"/>
  <c r="AD66" i="12" s="1"/>
  <c r="AG44" i="12"/>
  <c r="AD21" i="12" a="1"/>
  <c r="AD21" i="12" s="1"/>
  <c r="K149" i="24" a="1"/>
  <c r="B66" i="3" a="1"/>
  <c r="C66" i="3" a="1"/>
  <c r="AJ46" i="23" l="1"/>
  <c r="AK47" i="23" a="1"/>
  <c r="AK47" i="23" s="1"/>
  <c r="AJ46" i="24"/>
  <c r="AK47" i="24" a="1"/>
  <c r="AK47" i="24" s="1"/>
  <c r="K36" i="23"/>
  <c r="K20" i="23" s="1"/>
  <c r="K149" i="24"/>
  <c r="AK139" i="24"/>
  <c r="AK86" i="24"/>
  <c r="AL70" i="24"/>
  <c r="AL37" i="24"/>
  <c r="AL93" i="24" s="1"/>
  <c r="AM161" i="24" a="1"/>
  <c r="AM161" i="24" s="1"/>
  <c r="AM116" i="24" a="1"/>
  <c r="AM116" i="24" s="1"/>
  <c r="AM97" i="24" a="1"/>
  <c r="AM97" i="24" s="1"/>
  <c r="AM71" i="24" a="1"/>
  <c r="AM71" i="24" s="1"/>
  <c r="AM66" i="24" a="1"/>
  <c r="AM66" i="24" s="1"/>
  <c r="AM65" i="24" s="1"/>
  <c r="AM38" i="24" s="1"/>
  <c r="AM4" i="24"/>
  <c r="AM5" i="24"/>
  <c r="AM21" i="24" a="1"/>
  <c r="AM21" i="24" s="1"/>
  <c r="AM7" i="24" a="1"/>
  <c r="AM7" i="24" s="1"/>
  <c r="AM6" i="24" s="1"/>
  <c r="AM91" i="24" s="1"/>
  <c r="AN3" i="24"/>
  <c r="AN44" i="24"/>
  <c r="K82" i="24"/>
  <c r="K45" i="24" s="1"/>
  <c r="AE7" i="12" a="1"/>
  <c r="AE7" i="12" s="1"/>
  <c r="AM161" i="23" a="1"/>
  <c r="AM161" i="23" s="1"/>
  <c r="AM97" i="23" a="1"/>
  <c r="AM97" i="23" s="1"/>
  <c r="AM116" i="23" a="1"/>
  <c r="AM116" i="23" s="1"/>
  <c r="AM21" i="23" a="1"/>
  <c r="AM21" i="23" s="1"/>
  <c r="AM71" i="23" a="1"/>
  <c r="AM71" i="23" s="1"/>
  <c r="AN3" i="23"/>
  <c r="AM7" i="23" a="1"/>
  <c r="AM7" i="23" s="1"/>
  <c r="AM6" i="23" s="1"/>
  <c r="AM91" i="23" s="1"/>
  <c r="AM66" i="23" a="1"/>
  <c r="AM66" i="23" s="1"/>
  <c r="AM65" i="23" s="1"/>
  <c r="AM38" i="23" s="1"/>
  <c r="AM4" i="23"/>
  <c r="AM5" i="23"/>
  <c r="AL70" i="23"/>
  <c r="AL37" i="23"/>
  <c r="AL93" i="23" s="1"/>
  <c r="AK139" i="23"/>
  <c r="AK86" i="23"/>
  <c r="AO44" i="23"/>
  <c r="K40" i="23"/>
  <c r="K41" i="23"/>
  <c r="C66" i="3"/>
  <c r="B66" i="3"/>
  <c r="A67" i="3"/>
  <c r="AE97" i="12" a="1"/>
  <c r="AE97" i="12" s="1"/>
  <c r="AE47" i="12" a="1"/>
  <c r="AE47" i="12" s="1"/>
  <c r="AE4" i="12"/>
  <c r="AF3" i="12"/>
  <c r="AF161" i="12" s="1" a="1"/>
  <c r="AF161" i="12" s="1"/>
  <c r="AE116" i="12" a="1"/>
  <c r="AE116" i="12" s="1"/>
  <c r="AE5" i="12"/>
  <c r="AC139" i="12"/>
  <c r="M6" i="12"/>
  <c r="M91" i="12" s="1"/>
  <c r="AD70" i="12"/>
  <c r="AD86" i="12" s="1"/>
  <c r="AE71" i="12" a="1"/>
  <c r="AE71" i="12" s="1"/>
  <c r="AD37" i="12"/>
  <c r="AD93" i="12" s="1"/>
  <c r="AE66" i="12" a="1"/>
  <c r="AE66" i="12" s="1"/>
  <c r="AD65" i="12"/>
  <c r="AD38" i="12" s="1"/>
  <c r="AD46" i="12"/>
  <c r="AH44" i="12"/>
  <c r="AE21" i="12" a="1"/>
  <c r="AE21" i="12" s="1"/>
  <c r="B67" i="3" a="1"/>
  <c r="C67" i="3" a="1"/>
  <c r="AK46" i="23" l="1"/>
  <c r="AL47" i="23" a="1"/>
  <c r="AL47" i="23" s="1"/>
  <c r="AK46" i="24"/>
  <c r="AL47" i="24" a="1"/>
  <c r="AL47" i="24" s="1"/>
  <c r="AN161" i="24" a="1"/>
  <c r="AN161" i="24" s="1"/>
  <c r="AN97" i="24" a="1"/>
  <c r="AN97" i="24" s="1"/>
  <c r="AN116" i="24" a="1"/>
  <c r="AN116" i="24" s="1"/>
  <c r="AN66" i="24" a="1"/>
  <c r="AN66" i="24" s="1"/>
  <c r="AN65" i="24" s="1"/>
  <c r="AN38" i="24" s="1"/>
  <c r="AN71" i="24" a="1"/>
  <c r="AN71" i="24" s="1"/>
  <c r="AN5" i="24"/>
  <c r="AN21" i="24" a="1"/>
  <c r="AN21" i="24" s="1"/>
  <c r="AN7" i="24" a="1"/>
  <c r="AN7" i="24" s="1"/>
  <c r="AN6" i="24" s="1"/>
  <c r="AN91" i="24" s="1"/>
  <c r="AO3" i="24"/>
  <c r="AN4" i="24"/>
  <c r="K84" i="23"/>
  <c r="K85" i="23" s="1"/>
  <c r="K92" i="23" s="1"/>
  <c r="K90" i="23" s="1"/>
  <c r="L83" i="24"/>
  <c r="K43" i="24"/>
  <c r="AL139" i="24"/>
  <c r="AL86" i="24"/>
  <c r="AO44" i="24"/>
  <c r="AM70" i="24"/>
  <c r="AM37" i="24"/>
  <c r="AM93" i="24" s="1"/>
  <c r="AN161" i="23" a="1"/>
  <c r="AN161" i="23" s="1"/>
  <c r="AN116" i="23" a="1"/>
  <c r="AN116" i="23" s="1"/>
  <c r="AN97" i="23" a="1"/>
  <c r="AN97" i="23" s="1"/>
  <c r="AN21" i="23" a="1"/>
  <c r="AN21" i="23" s="1"/>
  <c r="AN71" i="23" a="1"/>
  <c r="AN71" i="23" s="1"/>
  <c r="AN66" i="23" a="1"/>
  <c r="AN66" i="23" s="1"/>
  <c r="AN65" i="23" s="1"/>
  <c r="AN38" i="23" s="1"/>
  <c r="AO3" i="23"/>
  <c r="AN4" i="23"/>
  <c r="AN5" i="23"/>
  <c r="AN7" i="23" a="1"/>
  <c r="AN7" i="23" s="1"/>
  <c r="AN6" i="23" s="1"/>
  <c r="AN91" i="23" s="1"/>
  <c r="AL139" i="23"/>
  <c r="AL86" i="23"/>
  <c r="AM37" i="23"/>
  <c r="AM93" i="23" s="1"/>
  <c r="AM70" i="23"/>
  <c r="AP44" i="23"/>
  <c r="C67" i="3"/>
  <c r="B67" i="3"/>
  <c r="A68" i="3"/>
  <c r="AF97" i="12" a="1"/>
  <c r="AF97" i="12" s="1"/>
  <c r="AG3" i="12"/>
  <c r="AG161" i="12" s="1" a="1"/>
  <c r="AG161" i="12" s="1"/>
  <c r="AF47" i="12" a="1"/>
  <c r="AF47" i="12" s="1"/>
  <c r="AF116" i="12" a="1"/>
  <c r="AF116" i="12" s="1"/>
  <c r="AG116" i="12" s="1" a="1"/>
  <c r="AG116" i="12" s="1"/>
  <c r="AF7" i="12" a="1"/>
  <c r="AF7" i="12" s="1"/>
  <c r="AF5" i="12"/>
  <c r="AF4" i="12"/>
  <c r="AD139" i="12"/>
  <c r="AE70" i="12"/>
  <c r="AE86" i="12" s="1"/>
  <c r="AF71" i="12" a="1"/>
  <c r="AF71" i="12" s="1"/>
  <c r="AE37" i="12"/>
  <c r="AE93" i="12" s="1"/>
  <c r="AE46" i="12"/>
  <c r="AE65" i="12"/>
  <c r="AE38" i="12" s="1"/>
  <c r="AF66" i="12" a="1"/>
  <c r="AF66" i="12" s="1"/>
  <c r="AI44" i="12"/>
  <c r="AF21" i="12" a="1"/>
  <c r="AF21" i="12" s="1"/>
  <c r="C68" i="3" a="1"/>
  <c r="K149" i="23" a="1"/>
  <c r="B68" i="3" a="1"/>
  <c r="AL46" i="23" l="1"/>
  <c r="AM47" i="23" a="1"/>
  <c r="AM47" i="23" s="1"/>
  <c r="AL46" i="24"/>
  <c r="AM47" i="24" a="1"/>
  <c r="AM47" i="24" s="1"/>
  <c r="AG7" i="12" a="1"/>
  <c r="AG7" i="12" s="1"/>
  <c r="K138" i="24"/>
  <c r="K137" i="24" s="1"/>
  <c r="K42" i="24"/>
  <c r="AN70" i="24"/>
  <c r="AN37" i="24"/>
  <c r="AN93" i="24" s="1"/>
  <c r="AM139" i="24"/>
  <c r="AM86" i="24"/>
  <c r="AP44" i="24"/>
  <c r="AO161" i="24" a="1"/>
  <c r="AO161" i="24" s="1"/>
  <c r="AO116" i="24" a="1"/>
  <c r="AO116" i="24" s="1"/>
  <c r="AO97" i="24" a="1"/>
  <c r="AO97" i="24" s="1"/>
  <c r="AO66" i="24" a="1"/>
  <c r="AO66" i="24" s="1"/>
  <c r="AO65" i="24" s="1"/>
  <c r="AO38" i="24" s="1"/>
  <c r="AO71" i="24" a="1"/>
  <c r="AO71" i="24" s="1"/>
  <c r="AO21" i="24" a="1"/>
  <c r="AO21" i="24" s="1"/>
  <c r="AO7" i="24" a="1"/>
  <c r="AO7" i="24" s="1"/>
  <c r="AO6" i="24" s="1"/>
  <c r="AO91" i="24" s="1"/>
  <c r="AP3" i="24"/>
  <c r="AO4" i="24"/>
  <c r="AO5" i="24"/>
  <c r="K149" i="23"/>
  <c r="AQ44" i="23"/>
  <c r="AM86" i="23"/>
  <c r="AM139" i="23"/>
  <c r="AN70" i="23"/>
  <c r="AN37" i="23"/>
  <c r="AN93" i="23" s="1"/>
  <c r="K82" i="23"/>
  <c r="K45" i="23" s="1"/>
  <c r="AO161" i="23" a="1"/>
  <c r="AO161" i="23" s="1"/>
  <c r="AO97" i="23" a="1"/>
  <c r="AO97" i="23" s="1"/>
  <c r="AO116" i="23" a="1"/>
  <c r="AO116" i="23" s="1"/>
  <c r="AO66" i="23" a="1"/>
  <c r="AO66" i="23" s="1"/>
  <c r="AO65" i="23" s="1"/>
  <c r="AO38" i="23" s="1"/>
  <c r="AO21" i="23" a="1"/>
  <c r="AO21" i="23" s="1"/>
  <c r="AO4" i="23"/>
  <c r="AO5" i="23"/>
  <c r="AO7" i="23" a="1"/>
  <c r="AO7" i="23" s="1"/>
  <c r="AO6" i="23" s="1"/>
  <c r="AO91" i="23" s="1"/>
  <c r="AO71" i="23" a="1"/>
  <c r="AO71" i="23" s="1"/>
  <c r="AP3" i="23"/>
  <c r="C68" i="3"/>
  <c r="B68" i="3"/>
  <c r="A69" i="3"/>
  <c r="AG97" i="12" a="1"/>
  <c r="AG97" i="12" s="1"/>
  <c r="AG47" i="12" a="1"/>
  <c r="AG47" i="12" s="1"/>
  <c r="AH3" i="12"/>
  <c r="AH161" i="12" s="1" a="1"/>
  <c r="AH161" i="12" s="1"/>
  <c r="AG4" i="12"/>
  <c r="AG5" i="12"/>
  <c r="AE139" i="12"/>
  <c r="AF70" i="12"/>
  <c r="AF86" i="12" s="1"/>
  <c r="AG71" i="12" a="1"/>
  <c r="AG71" i="12" s="1"/>
  <c r="AF37" i="12"/>
  <c r="AF93" i="12" s="1"/>
  <c r="AF65" i="12"/>
  <c r="AF38" i="12" s="1"/>
  <c r="AG66" i="12" a="1"/>
  <c r="AG66" i="12" s="1"/>
  <c r="AF46" i="12"/>
  <c r="AJ44" i="12"/>
  <c r="AG21" i="12" a="1"/>
  <c r="AG21" i="12" s="1"/>
  <c r="B69" i="3" a="1"/>
  <c r="C69" i="3" a="1"/>
  <c r="K150" i="24" a="1"/>
  <c r="AM46" i="23" l="1"/>
  <c r="AN47" i="23" a="1"/>
  <c r="AN47" i="23" s="1"/>
  <c r="AM46" i="24"/>
  <c r="AN47" i="24" a="1"/>
  <c r="AN47" i="24" s="1"/>
  <c r="K150" i="24"/>
  <c r="K148" i="24" s="1"/>
  <c r="AN139" i="24"/>
  <c r="AN86" i="24"/>
  <c r="AP116" i="24" a="1"/>
  <c r="AP116" i="24" s="1"/>
  <c r="AP161" i="24" a="1"/>
  <c r="AP161" i="24" s="1"/>
  <c r="AP97" i="24" a="1"/>
  <c r="AP97" i="24" s="1"/>
  <c r="AP71" i="24" a="1"/>
  <c r="AP71" i="24" s="1"/>
  <c r="AP66" i="24" a="1"/>
  <c r="AP66" i="24" s="1"/>
  <c r="AP65" i="24" s="1"/>
  <c r="AP38" i="24" s="1"/>
  <c r="AP7" i="24" a="1"/>
  <c r="AP7" i="24" s="1"/>
  <c r="AP6" i="24" s="1"/>
  <c r="AP91" i="24" s="1"/>
  <c r="AQ3" i="24"/>
  <c r="AP4" i="24"/>
  <c r="AP21" i="24" a="1"/>
  <c r="AP21" i="24" s="1"/>
  <c r="AP5" i="24"/>
  <c r="AQ44" i="24"/>
  <c r="AO70" i="24"/>
  <c r="AO37" i="24"/>
  <c r="AO93" i="24" s="1"/>
  <c r="AN139" i="23"/>
  <c r="AN86" i="23"/>
  <c r="AP161" i="23" a="1"/>
  <c r="AP161" i="23" s="1"/>
  <c r="AP97" i="23" a="1"/>
  <c r="AP97" i="23" s="1"/>
  <c r="AP116" i="23" a="1"/>
  <c r="AP116" i="23" s="1"/>
  <c r="AP66" i="23" a="1"/>
  <c r="AP66" i="23" s="1"/>
  <c r="AP65" i="23" s="1"/>
  <c r="AP38" i="23" s="1"/>
  <c r="AP21" i="23" a="1"/>
  <c r="AP21" i="23" s="1"/>
  <c r="AP71" i="23" a="1"/>
  <c r="AP71" i="23" s="1"/>
  <c r="AP5" i="23"/>
  <c r="AP7" i="23" a="1"/>
  <c r="AP7" i="23" s="1"/>
  <c r="AP6" i="23" s="1"/>
  <c r="AP91" i="23" s="1"/>
  <c r="AQ3" i="23"/>
  <c r="AP4" i="23"/>
  <c r="AR44" i="23"/>
  <c r="AO37" i="23"/>
  <c r="AO93" i="23" s="1"/>
  <c r="AO70" i="23"/>
  <c r="L83" i="23"/>
  <c r="K43" i="23"/>
  <c r="C69" i="3"/>
  <c r="B69" i="3"/>
  <c r="A70" i="3"/>
  <c r="AH97" i="12" a="1"/>
  <c r="AH97" i="12" s="1"/>
  <c r="AH47" i="12" a="1"/>
  <c r="AH47" i="12" s="1"/>
  <c r="AH4" i="12"/>
  <c r="AH7" i="12" a="1"/>
  <c r="AH7" i="12" s="1"/>
  <c r="AH116" i="12" a="1"/>
  <c r="AH116" i="12" s="1"/>
  <c r="AH5" i="12"/>
  <c r="AI3" i="12"/>
  <c r="AI161" i="12" s="1" a="1"/>
  <c r="AI161" i="12" s="1"/>
  <c r="AF139" i="12"/>
  <c r="AG70" i="12"/>
  <c r="AG86" i="12" s="1"/>
  <c r="AH71" i="12" a="1"/>
  <c r="AH71" i="12" s="1"/>
  <c r="AG37" i="12"/>
  <c r="AG93" i="12" s="1"/>
  <c r="AG46" i="12"/>
  <c r="AG65" i="12"/>
  <c r="AG38" i="12" s="1"/>
  <c r="AH66" i="12" a="1"/>
  <c r="AH66" i="12" s="1"/>
  <c r="AK44" i="12"/>
  <c r="AH21" i="12" a="1"/>
  <c r="AH21" i="12" s="1"/>
  <c r="C70" i="3" a="1"/>
  <c r="B70" i="3" a="1"/>
  <c r="AN46" i="23" l="1"/>
  <c r="AO47" i="23" a="1"/>
  <c r="AO47" i="23" s="1"/>
  <c r="AN46" i="24"/>
  <c r="AO47" i="24" a="1"/>
  <c r="AO47" i="24" s="1"/>
  <c r="L36" i="24"/>
  <c r="L20" i="24" s="1"/>
  <c r="L40" i="24" s="1"/>
  <c r="AP70" i="24"/>
  <c r="AP37" i="24"/>
  <c r="AP93" i="24" s="1"/>
  <c r="AQ161" i="24" a="1"/>
  <c r="AQ161" i="24" s="1"/>
  <c r="AQ116" i="24" a="1"/>
  <c r="AQ116" i="24" s="1"/>
  <c r="AQ97" i="24" a="1"/>
  <c r="AQ97" i="24" s="1"/>
  <c r="AQ71" i="24" a="1"/>
  <c r="AQ71" i="24" s="1"/>
  <c r="AQ66" i="24" a="1"/>
  <c r="AQ66" i="24" s="1"/>
  <c r="AQ65" i="24" s="1"/>
  <c r="AQ38" i="24" s="1"/>
  <c r="AR3" i="24"/>
  <c r="AQ21" i="24" a="1"/>
  <c r="AQ21" i="24" s="1"/>
  <c r="AQ4" i="24"/>
  <c r="AQ7" i="24" a="1"/>
  <c r="AQ7" i="24" s="1"/>
  <c r="AQ6" i="24" s="1"/>
  <c r="AQ91" i="24" s="1"/>
  <c r="AQ5" i="24"/>
  <c r="AO139" i="24"/>
  <c r="AO86" i="24"/>
  <c r="AR44" i="24"/>
  <c r="K138" i="23"/>
  <c r="K137" i="23" s="1"/>
  <c r="K42" i="23"/>
  <c r="AQ161" i="23" a="1"/>
  <c r="AQ161" i="23" s="1"/>
  <c r="AQ116" i="23" a="1"/>
  <c r="AQ116" i="23" s="1"/>
  <c r="AQ97" i="23" a="1"/>
  <c r="AQ97" i="23" s="1"/>
  <c r="AQ21" i="23" a="1"/>
  <c r="AQ21" i="23" s="1"/>
  <c r="AQ71" i="23" a="1"/>
  <c r="AQ71" i="23" s="1"/>
  <c r="AQ66" i="23" a="1"/>
  <c r="AQ66" i="23" s="1"/>
  <c r="AQ65" i="23" s="1"/>
  <c r="AQ38" i="23" s="1"/>
  <c r="AQ7" i="23" a="1"/>
  <c r="AQ7" i="23" s="1"/>
  <c r="AQ6" i="23" s="1"/>
  <c r="AQ91" i="23" s="1"/>
  <c r="AQ5" i="23"/>
  <c r="AR3" i="23"/>
  <c r="AQ4" i="23"/>
  <c r="AS44" i="23"/>
  <c r="AO139" i="23"/>
  <c r="AO86" i="23"/>
  <c r="AP70" i="23"/>
  <c r="AP37" i="23"/>
  <c r="AP93" i="23" s="1"/>
  <c r="C70" i="3"/>
  <c r="B70" i="3"/>
  <c r="A71" i="3"/>
  <c r="AI97" i="12" a="1"/>
  <c r="AI97" i="12" s="1"/>
  <c r="AI47" i="12" a="1"/>
  <c r="AI47" i="12" s="1"/>
  <c r="AI5" i="12"/>
  <c r="AI7" i="12" a="1"/>
  <c r="AI7" i="12" s="1"/>
  <c r="AI116" i="12" a="1"/>
  <c r="AI116" i="12" s="1"/>
  <c r="AJ3" i="12"/>
  <c r="AJ161" i="12" s="1" a="1"/>
  <c r="AJ161" i="12" s="1"/>
  <c r="AI4" i="12"/>
  <c r="AG139" i="12"/>
  <c r="N6" i="12"/>
  <c r="N91" i="12" s="1"/>
  <c r="AH70" i="12"/>
  <c r="AH86" i="12" s="1"/>
  <c r="AH37" i="12"/>
  <c r="AH93" i="12" s="1"/>
  <c r="AI71" i="12" a="1"/>
  <c r="AI71" i="12" s="1"/>
  <c r="AH65" i="12"/>
  <c r="AH38" i="12" s="1"/>
  <c r="AI66" i="12" a="1"/>
  <c r="AI66" i="12" s="1"/>
  <c r="AH46" i="12"/>
  <c r="AL44" i="12"/>
  <c r="AM44" i="12" s="1"/>
  <c r="AI21" i="12" a="1"/>
  <c r="AI21" i="12" s="1"/>
  <c r="C71" i="3" a="1"/>
  <c r="B71" i="3" a="1"/>
  <c r="K150" i="23" a="1"/>
  <c r="AO46" i="23" l="1"/>
  <c r="AP47" i="23" a="1"/>
  <c r="AP47" i="23" s="1"/>
  <c r="AO46" i="24"/>
  <c r="AP47" i="24" a="1"/>
  <c r="AP47" i="24" s="1"/>
  <c r="L41" i="24"/>
  <c r="L84" i="24" s="1"/>
  <c r="AQ70" i="24"/>
  <c r="AQ37" i="24"/>
  <c r="AQ93" i="24" s="1"/>
  <c r="AS44" i="24"/>
  <c r="AR161" i="24" a="1"/>
  <c r="AR161" i="24" s="1"/>
  <c r="AR116" i="24" a="1"/>
  <c r="AR116" i="24" s="1"/>
  <c r="AR97" i="24" a="1"/>
  <c r="AR97" i="24" s="1"/>
  <c r="AR66" i="24" a="1"/>
  <c r="AR66" i="24" s="1"/>
  <c r="AR65" i="24" s="1"/>
  <c r="AR38" i="24" s="1"/>
  <c r="AR71" i="24" a="1"/>
  <c r="AR71" i="24" s="1"/>
  <c r="AS3" i="24"/>
  <c r="AR21" i="24" a="1"/>
  <c r="AR21" i="24" s="1"/>
  <c r="AR7" i="24" a="1"/>
  <c r="AR7" i="24" s="1"/>
  <c r="AR6" i="24" s="1"/>
  <c r="AR91" i="24" s="1"/>
  <c r="AR4" i="24"/>
  <c r="AR5" i="24"/>
  <c r="AP139" i="24"/>
  <c r="AP86" i="24"/>
  <c r="K150" i="23"/>
  <c r="K148" i="23" s="1"/>
  <c r="AP139" i="23"/>
  <c r="AP86" i="23"/>
  <c r="AR161" i="23" a="1"/>
  <c r="AR161" i="23" s="1"/>
  <c r="AR97" i="23" a="1"/>
  <c r="AR97" i="23" s="1"/>
  <c r="AR116" i="23" a="1"/>
  <c r="AR116" i="23" s="1"/>
  <c r="AR21" i="23" a="1"/>
  <c r="AR21" i="23" s="1"/>
  <c r="AR71" i="23" a="1"/>
  <c r="AR71" i="23" s="1"/>
  <c r="AR66" i="23" a="1"/>
  <c r="AR66" i="23" s="1"/>
  <c r="AR65" i="23" s="1"/>
  <c r="AR38" i="23" s="1"/>
  <c r="AS3" i="23"/>
  <c r="AR7" i="23" a="1"/>
  <c r="AR7" i="23" s="1"/>
  <c r="AR6" i="23" s="1"/>
  <c r="AR91" i="23" s="1"/>
  <c r="AR4" i="23"/>
  <c r="AR5" i="23"/>
  <c r="AT44" i="23"/>
  <c r="AQ37" i="23"/>
  <c r="AQ93" i="23" s="1"/>
  <c r="AQ70" i="23"/>
  <c r="C71" i="3"/>
  <c r="B71" i="3"/>
  <c r="A72" i="3"/>
  <c r="AJ97" i="12" a="1"/>
  <c r="AJ97" i="12" s="1"/>
  <c r="AJ47" i="12" a="1"/>
  <c r="AJ47" i="12" s="1"/>
  <c r="AK3" i="12"/>
  <c r="AK161" i="12" s="1" a="1"/>
  <c r="AK161" i="12" s="1"/>
  <c r="AJ7" i="12" a="1"/>
  <c r="AJ7" i="12" s="1"/>
  <c r="AJ116" i="12" a="1"/>
  <c r="AJ116" i="12" s="1"/>
  <c r="AJ5" i="12"/>
  <c r="AJ4" i="12"/>
  <c r="AH139" i="12"/>
  <c r="AI70" i="12"/>
  <c r="AI86" i="12" s="1"/>
  <c r="AI37" i="12"/>
  <c r="AI93" i="12" s="1"/>
  <c r="AJ71" i="12" a="1"/>
  <c r="AJ71" i="12" s="1"/>
  <c r="AI46" i="12"/>
  <c r="AI65" i="12"/>
  <c r="AI38" i="12" s="1"/>
  <c r="AJ66" i="12" a="1"/>
  <c r="AJ66" i="12" s="1"/>
  <c r="AN44" i="12"/>
  <c r="AJ21" i="12" a="1"/>
  <c r="AJ21" i="12" s="1"/>
  <c r="C72" i="3" a="1"/>
  <c r="B72" i="3" a="1"/>
  <c r="AP46" i="23" l="1"/>
  <c r="AQ47" i="23" a="1"/>
  <c r="AQ47" i="23" s="1"/>
  <c r="AP46" i="24"/>
  <c r="AQ47" i="24" a="1"/>
  <c r="AQ47" i="24" s="1"/>
  <c r="L36" i="23"/>
  <c r="L20" i="23" s="1"/>
  <c r="AT44" i="24"/>
  <c r="AS161" i="24" a="1"/>
  <c r="AS161" i="24" s="1"/>
  <c r="AS97" i="24" a="1"/>
  <c r="AS97" i="24" s="1"/>
  <c r="AS116" i="24" a="1"/>
  <c r="AS116" i="24" s="1"/>
  <c r="AS66" i="24" a="1"/>
  <c r="AS66" i="24" s="1"/>
  <c r="AS65" i="24" s="1"/>
  <c r="AS38" i="24" s="1"/>
  <c r="AS71" i="24" a="1"/>
  <c r="AS71" i="24" s="1"/>
  <c r="AS21" i="24" a="1"/>
  <c r="AS21" i="24" s="1"/>
  <c r="AT3" i="24"/>
  <c r="AS7" i="24" a="1"/>
  <c r="AS7" i="24" s="1"/>
  <c r="AS6" i="24" s="1"/>
  <c r="AS91" i="24" s="1"/>
  <c r="AS4" i="24"/>
  <c r="AS5" i="24"/>
  <c r="AR70" i="24"/>
  <c r="AR37" i="24"/>
  <c r="AR93" i="24" s="1"/>
  <c r="L85" i="24"/>
  <c r="L92" i="24" s="1"/>
  <c r="L90" i="24" s="1"/>
  <c r="AQ139" i="24"/>
  <c r="AQ86" i="24"/>
  <c r="AQ139" i="23"/>
  <c r="AQ86" i="23"/>
  <c r="AS161" i="23" a="1"/>
  <c r="AS161" i="23" s="1"/>
  <c r="AS97" i="23" a="1"/>
  <c r="AS97" i="23" s="1"/>
  <c r="AS116" i="23" a="1"/>
  <c r="AS116" i="23" s="1"/>
  <c r="AS66" i="23" a="1"/>
  <c r="AS66" i="23" s="1"/>
  <c r="AS65" i="23" s="1"/>
  <c r="AS38" i="23" s="1"/>
  <c r="AS21" i="23" a="1"/>
  <c r="AS21" i="23" s="1"/>
  <c r="AT3" i="23"/>
  <c r="AS7" i="23" a="1"/>
  <c r="AS7" i="23" s="1"/>
  <c r="AS6" i="23" s="1"/>
  <c r="AS91" i="23" s="1"/>
  <c r="AS4" i="23"/>
  <c r="AS71" i="23" a="1"/>
  <c r="AS71" i="23" s="1"/>
  <c r="AS5" i="23"/>
  <c r="AU44" i="23"/>
  <c r="AR70" i="23"/>
  <c r="AR37" i="23"/>
  <c r="AR93" i="23" s="1"/>
  <c r="L41" i="23"/>
  <c r="L40" i="23"/>
  <c r="C72" i="3"/>
  <c r="B72" i="3"/>
  <c r="A73" i="3"/>
  <c r="AK97" i="12" a="1"/>
  <c r="AK97" i="12" s="1"/>
  <c r="AK47" i="12" a="1"/>
  <c r="AK47" i="12" s="1"/>
  <c r="AK116" i="12" a="1"/>
  <c r="AK116" i="12" s="1"/>
  <c r="AK5" i="12"/>
  <c r="AK4" i="12"/>
  <c r="AK7" i="12" a="1"/>
  <c r="AK7" i="12" s="1"/>
  <c r="AL3" i="12"/>
  <c r="AL161" i="12" s="1" a="1"/>
  <c r="AL161" i="12" s="1"/>
  <c r="AI139" i="12"/>
  <c r="AJ70" i="12"/>
  <c r="AJ86" i="12" s="1"/>
  <c r="AJ37" i="12"/>
  <c r="AJ93" i="12" s="1"/>
  <c r="AK71" i="12" a="1"/>
  <c r="AK71" i="12" s="1"/>
  <c r="AJ65" i="12"/>
  <c r="AJ38" i="12" s="1"/>
  <c r="AK66" i="12" a="1"/>
  <c r="AK66" i="12" s="1"/>
  <c r="AJ46" i="12"/>
  <c r="AO44" i="12"/>
  <c r="AK21" i="12" a="1"/>
  <c r="AK21" i="12" s="1"/>
  <c r="C73" i="3" a="1"/>
  <c r="B73" i="3" a="1"/>
  <c r="L149" i="24" a="1"/>
  <c r="AQ46" i="23" l="1"/>
  <c r="AR47" i="23" a="1"/>
  <c r="AR47" i="23" s="1"/>
  <c r="AQ46" i="24"/>
  <c r="AR47" i="24" a="1"/>
  <c r="AR47" i="24" s="1"/>
  <c r="L84" i="23"/>
  <c r="L85" i="23" s="1"/>
  <c r="L92" i="23" s="1"/>
  <c r="L90" i="23" s="1"/>
  <c r="L149" i="24"/>
  <c r="AR139" i="24"/>
  <c r="AR86" i="24"/>
  <c r="AT161" i="24" a="1"/>
  <c r="AT161" i="24" s="1"/>
  <c r="AT116" i="24" a="1"/>
  <c r="AT116" i="24" s="1"/>
  <c r="AT97" i="24" a="1"/>
  <c r="AT97" i="24" s="1"/>
  <c r="AT71" i="24" a="1"/>
  <c r="AT71" i="24" s="1"/>
  <c r="AT66" i="24" a="1"/>
  <c r="AT66" i="24" s="1"/>
  <c r="AT65" i="24" s="1"/>
  <c r="AT38" i="24" s="1"/>
  <c r="AT7" i="24" a="1"/>
  <c r="AT7" i="24" s="1"/>
  <c r="AT6" i="24" s="1"/>
  <c r="AT91" i="24" s="1"/>
  <c r="AT4" i="24"/>
  <c r="AT5" i="24"/>
  <c r="AU3" i="24"/>
  <c r="AT21" i="24" a="1"/>
  <c r="AT21" i="24" s="1"/>
  <c r="AU44" i="24"/>
  <c r="L82" i="24"/>
  <c r="L45" i="24" s="1"/>
  <c r="AS70" i="24"/>
  <c r="AS37" i="24"/>
  <c r="AS93" i="24" s="1"/>
  <c r="AS37" i="23"/>
  <c r="AS93" i="23" s="1"/>
  <c r="AS70" i="23"/>
  <c r="AR139" i="23"/>
  <c r="AR86" i="23"/>
  <c r="AT161" i="23" a="1"/>
  <c r="AT161" i="23" s="1"/>
  <c r="AT97" i="23" a="1"/>
  <c r="AT97" i="23" s="1"/>
  <c r="AT116" i="23" a="1"/>
  <c r="AT116" i="23" s="1"/>
  <c r="AT66" i="23" a="1"/>
  <c r="AT66" i="23" s="1"/>
  <c r="AT65" i="23" s="1"/>
  <c r="AT38" i="23" s="1"/>
  <c r="AT21" i="23" a="1"/>
  <c r="AT21" i="23" s="1"/>
  <c r="AT71" i="23" a="1"/>
  <c r="AT71" i="23" s="1"/>
  <c r="AT7" i="23" a="1"/>
  <c r="AT7" i="23" s="1"/>
  <c r="AT6" i="23" s="1"/>
  <c r="AT91" i="23" s="1"/>
  <c r="AU3" i="23"/>
  <c r="AT4" i="23"/>
  <c r="AT5" i="23"/>
  <c r="AV44" i="23"/>
  <c r="C73" i="3"/>
  <c r="B73" i="3"/>
  <c r="A74" i="3"/>
  <c r="AL97" i="12" a="1"/>
  <c r="AL97" i="12" s="1"/>
  <c r="AL47" i="12" a="1"/>
  <c r="AL47" i="12" s="1"/>
  <c r="AL4" i="12"/>
  <c r="AM3" i="12"/>
  <c r="AM161" i="12" s="1" a="1"/>
  <c r="AM161" i="12" s="1"/>
  <c r="AL7" i="12" a="1"/>
  <c r="AL7" i="12" s="1"/>
  <c r="AL116" i="12" a="1"/>
  <c r="AL116" i="12" s="1"/>
  <c r="AL5" i="12"/>
  <c r="AJ139" i="12"/>
  <c r="AK70" i="12"/>
  <c r="AK86" i="12" s="1"/>
  <c r="AK37" i="12"/>
  <c r="AK93" i="12" s="1"/>
  <c r="AL71" i="12" a="1"/>
  <c r="AL71" i="12" s="1"/>
  <c r="AK46" i="12"/>
  <c r="AL66" i="12" a="1"/>
  <c r="AL66" i="12" s="1"/>
  <c r="AK65" i="12"/>
  <c r="AK38" i="12" s="1"/>
  <c r="AP44" i="12"/>
  <c r="AL21" i="12" a="1"/>
  <c r="AL21" i="12" s="1"/>
  <c r="C74" i="3" a="1"/>
  <c r="L149" i="23" a="1"/>
  <c r="B74" i="3" a="1"/>
  <c r="AR46" i="23" l="1"/>
  <c r="AS47" i="23" a="1"/>
  <c r="AS47" i="23" s="1"/>
  <c r="AR46" i="24"/>
  <c r="AS47" i="24" a="1"/>
  <c r="AS47" i="24" s="1"/>
  <c r="AT70" i="24"/>
  <c r="AT37" i="24"/>
  <c r="AT93" i="24" s="1"/>
  <c r="AV44" i="24"/>
  <c r="AU161" i="24" a="1"/>
  <c r="AU161" i="24" s="1"/>
  <c r="AU116" i="24" a="1"/>
  <c r="AU116" i="24" s="1"/>
  <c r="AU97" i="24" a="1"/>
  <c r="AU97" i="24" s="1"/>
  <c r="AU71" i="24" a="1"/>
  <c r="AU71" i="24" s="1"/>
  <c r="AU66" i="24" a="1"/>
  <c r="AU66" i="24" s="1"/>
  <c r="AU65" i="24" s="1"/>
  <c r="AU38" i="24" s="1"/>
  <c r="AU4" i="24"/>
  <c r="AU5" i="24"/>
  <c r="AU21" i="24" a="1"/>
  <c r="AU21" i="24" s="1"/>
  <c r="AU7" i="24" a="1"/>
  <c r="AU7" i="24" s="1"/>
  <c r="AU6" i="24" s="1"/>
  <c r="AU91" i="24" s="1"/>
  <c r="AV3" i="24"/>
  <c r="AS139" i="24"/>
  <c r="AS86" i="24"/>
  <c r="M83" i="24"/>
  <c r="L43" i="24"/>
  <c r="L82" i="23"/>
  <c r="L45" i="23" s="1"/>
  <c r="L149" i="23"/>
  <c r="AU161" i="23" a="1"/>
  <c r="AU161" i="23" s="1"/>
  <c r="AU116" i="23" a="1"/>
  <c r="AU116" i="23" s="1"/>
  <c r="AU97" i="23" a="1"/>
  <c r="AU97" i="23" s="1"/>
  <c r="AU21" i="23" a="1"/>
  <c r="AU21" i="23" s="1"/>
  <c r="AU71" i="23" a="1"/>
  <c r="AU71" i="23" s="1"/>
  <c r="AU66" i="23" a="1"/>
  <c r="AU66" i="23" s="1"/>
  <c r="AU65" i="23" s="1"/>
  <c r="AU38" i="23" s="1"/>
  <c r="AV3" i="23"/>
  <c r="AU4" i="23"/>
  <c r="AU5" i="23"/>
  <c r="AU7" i="23" a="1"/>
  <c r="AU7" i="23" s="1"/>
  <c r="AU6" i="23" s="1"/>
  <c r="AU91" i="23" s="1"/>
  <c r="AT70" i="23"/>
  <c r="AT37" i="23"/>
  <c r="AT93" i="23" s="1"/>
  <c r="M83" i="23"/>
  <c r="L43" i="23"/>
  <c r="AW44" i="23"/>
  <c r="AS139" i="23"/>
  <c r="AS86" i="23"/>
  <c r="C74" i="3"/>
  <c r="B74" i="3"/>
  <c r="A75" i="3"/>
  <c r="AM97" i="12" a="1"/>
  <c r="AM97" i="12" s="1"/>
  <c r="AM47" i="12" a="1"/>
  <c r="AM47" i="12" s="1"/>
  <c r="AM5" i="12"/>
  <c r="AM7" i="12" a="1"/>
  <c r="AM7" i="12" s="1"/>
  <c r="AM116" i="12" a="1"/>
  <c r="AM116" i="12" s="1"/>
  <c r="AN3" i="12"/>
  <c r="AN161" i="12" s="1" a="1"/>
  <c r="AN161" i="12" s="1"/>
  <c r="AM4" i="12"/>
  <c r="AK139" i="12"/>
  <c r="O6" i="12"/>
  <c r="O91" i="12" s="1"/>
  <c r="AL70" i="12"/>
  <c r="AL86" i="12" s="1"/>
  <c r="AL37" i="12"/>
  <c r="AL93" i="12" s="1"/>
  <c r="AM71" i="12" a="1"/>
  <c r="AM71" i="12" s="1"/>
  <c r="AL65" i="12"/>
  <c r="AL38" i="12" s="1"/>
  <c r="AM66" i="12" a="1"/>
  <c r="AM66" i="12" s="1"/>
  <c r="AL46" i="12"/>
  <c r="AM21" i="12" a="1"/>
  <c r="AM21" i="12" s="1"/>
  <c r="AQ44" i="12"/>
  <c r="C75" i="3" a="1"/>
  <c r="B75" i="3" a="1"/>
  <c r="AS46" i="23" l="1"/>
  <c r="AT47" i="23" a="1"/>
  <c r="AT47" i="23" s="1"/>
  <c r="AS46" i="24"/>
  <c r="AT47" i="24" a="1"/>
  <c r="AT47" i="24" s="1"/>
  <c r="AV161" i="24" a="1"/>
  <c r="AV161" i="24" s="1"/>
  <c r="AV116" i="24" a="1"/>
  <c r="AV116" i="24" s="1"/>
  <c r="AV97" i="24" a="1"/>
  <c r="AV97" i="24" s="1"/>
  <c r="AV66" i="24" a="1"/>
  <c r="AV66" i="24" s="1"/>
  <c r="AV65" i="24" s="1"/>
  <c r="AV38" i="24" s="1"/>
  <c r="AV71" i="24" a="1"/>
  <c r="AV71" i="24" s="1"/>
  <c r="AV5" i="24"/>
  <c r="AV4" i="24"/>
  <c r="AV21" i="24" a="1"/>
  <c r="AV21" i="24" s="1"/>
  <c r="AV7" i="24" a="1"/>
  <c r="AV7" i="24" s="1"/>
  <c r="AV6" i="24" s="1"/>
  <c r="AV91" i="24" s="1"/>
  <c r="AW3" i="24"/>
  <c r="L138" i="24"/>
  <c r="L137" i="24" s="1"/>
  <c r="L42" i="24"/>
  <c r="AW44" i="24"/>
  <c r="AU70" i="24"/>
  <c r="AU37" i="24"/>
  <c r="AU93" i="24" s="1"/>
  <c r="AT139" i="24"/>
  <c r="AT86" i="24"/>
  <c r="AX44" i="23"/>
  <c r="L138" i="23"/>
  <c r="L137" i="23" s="1"/>
  <c r="L42" i="23"/>
  <c r="AU37" i="23"/>
  <c r="AU93" i="23" s="1"/>
  <c r="AU70" i="23"/>
  <c r="AT139" i="23"/>
  <c r="AT86" i="23"/>
  <c r="AV161" i="23" a="1"/>
  <c r="AV161" i="23" s="1"/>
  <c r="AV116" i="23" a="1"/>
  <c r="AV116" i="23" s="1"/>
  <c r="AV97" i="23" a="1"/>
  <c r="AV97" i="23" s="1"/>
  <c r="AV21" i="23" a="1"/>
  <c r="AV21" i="23" s="1"/>
  <c r="AV71" i="23" a="1"/>
  <c r="AV71" i="23" s="1"/>
  <c r="AV66" i="23" a="1"/>
  <c r="AV66" i="23" s="1"/>
  <c r="AV65" i="23" s="1"/>
  <c r="AV38" i="23" s="1"/>
  <c r="AV4" i="23"/>
  <c r="AW3" i="23"/>
  <c r="AV5" i="23"/>
  <c r="AV7" i="23" a="1"/>
  <c r="AV7" i="23" s="1"/>
  <c r="AV6" i="23" s="1"/>
  <c r="AV91" i="23" s="1"/>
  <c r="C75" i="3"/>
  <c r="B75" i="3"/>
  <c r="A76" i="3"/>
  <c r="AN97" i="12" a="1"/>
  <c r="AN97" i="12" s="1"/>
  <c r="AN47" i="12" a="1"/>
  <c r="AN47" i="12" s="1"/>
  <c r="AO3" i="12"/>
  <c r="AO161" i="12" s="1" a="1"/>
  <c r="AO161" i="12" s="1"/>
  <c r="AN116" i="12" a="1"/>
  <c r="AN116" i="12" s="1"/>
  <c r="AN7" i="12" a="1"/>
  <c r="AN7" i="12" s="1"/>
  <c r="AN5" i="12"/>
  <c r="AN4" i="12"/>
  <c r="AL139" i="12"/>
  <c r="AM70" i="12"/>
  <c r="AM86" i="12" s="1"/>
  <c r="AN71" i="12" a="1"/>
  <c r="AN71" i="12" s="1"/>
  <c r="AM37" i="12"/>
  <c r="AM93" i="12" s="1"/>
  <c r="AM65" i="12"/>
  <c r="AM38" i="12" s="1"/>
  <c r="AN66" i="12" a="1"/>
  <c r="AN66" i="12" s="1"/>
  <c r="AM46" i="12"/>
  <c r="AN21" i="12" a="1"/>
  <c r="AN21" i="12" s="1"/>
  <c r="AR44" i="12"/>
  <c r="B76" i="3" a="1"/>
  <c r="C76" i="3" a="1"/>
  <c r="L150" i="23" a="1"/>
  <c r="L150" i="24" a="1"/>
  <c r="AT46" i="23" l="1"/>
  <c r="AU47" i="23" a="1"/>
  <c r="AU47" i="23" s="1"/>
  <c r="AT46" i="24"/>
  <c r="AU47" i="24" a="1"/>
  <c r="AU47" i="24" s="1"/>
  <c r="L150" i="24"/>
  <c r="L148" i="24" s="1"/>
  <c r="AX44" i="24"/>
  <c r="AV37" i="24"/>
  <c r="AV93" i="24" s="1"/>
  <c r="AV70" i="24"/>
  <c r="AU139" i="24"/>
  <c r="AU86" i="24"/>
  <c r="AW97" i="24" a="1"/>
  <c r="AW97" i="24" s="1"/>
  <c r="AW161" i="24" a="1"/>
  <c r="AW161" i="24" s="1"/>
  <c r="AW116" i="24" a="1"/>
  <c r="AW116" i="24" s="1"/>
  <c r="AW66" i="24" a="1"/>
  <c r="AW66" i="24" s="1"/>
  <c r="AW65" i="24" s="1"/>
  <c r="AW38" i="24" s="1"/>
  <c r="AW71" i="24" a="1"/>
  <c r="AW71" i="24" s="1"/>
  <c r="AW21" i="24" a="1"/>
  <c r="AW21" i="24" s="1"/>
  <c r="AW5" i="24"/>
  <c r="AW7" i="24" a="1"/>
  <c r="AW7" i="24" s="1"/>
  <c r="AW6" i="24" s="1"/>
  <c r="AW91" i="24" s="1"/>
  <c r="AX3" i="24"/>
  <c r="AW4" i="24"/>
  <c r="L150" i="23"/>
  <c r="L148" i="23" s="1"/>
  <c r="AU139" i="23"/>
  <c r="AU86" i="23"/>
  <c r="AW161" i="23" a="1"/>
  <c r="AW161" i="23" s="1"/>
  <c r="AW116" i="23" a="1"/>
  <c r="AW116" i="23" s="1"/>
  <c r="AW97" i="23" a="1"/>
  <c r="AW97" i="23" s="1"/>
  <c r="AW66" i="23" a="1"/>
  <c r="AW66" i="23" s="1"/>
  <c r="AW65" i="23" s="1"/>
  <c r="AW38" i="23" s="1"/>
  <c r="AW21" i="23" a="1"/>
  <c r="AW21" i="23" s="1"/>
  <c r="AW4" i="23"/>
  <c r="AW5" i="23"/>
  <c r="AW7" i="23" a="1"/>
  <c r="AW7" i="23" s="1"/>
  <c r="AW6" i="23" s="1"/>
  <c r="AW91" i="23" s="1"/>
  <c r="AW71" i="23" a="1"/>
  <c r="AW71" i="23" s="1"/>
  <c r="AX3" i="23"/>
  <c r="AV70" i="23"/>
  <c r="AV37" i="23"/>
  <c r="AV93" i="23" s="1"/>
  <c r="AY44" i="23"/>
  <c r="C76" i="3"/>
  <c r="B76" i="3"/>
  <c r="A77" i="3"/>
  <c r="AO97" i="12" a="1"/>
  <c r="AO97" i="12" s="1"/>
  <c r="AO47" i="12" a="1"/>
  <c r="AO47" i="12" s="1"/>
  <c r="AO7" i="12" a="1"/>
  <c r="AO7" i="12" s="1"/>
  <c r="AP3" i="12"/>
  <c r="AP161" i="12" s="1" a="1"/>
  <c r="AP161" i="12" s="1"/>
  <c r="AO116" i="12" a="1"/>
  <c r="AO116" i="12" s="1"/>
  <c r="AO5" i="12"/>
  <c r="AO4" i="12"/>
  <c r="AM139" i="12"/>
  <c r="AN70" i="12"/>
  <c r="AN86" i="12" s="1"/>
  <c r="AN37" i="12"/>
  <c r="AN93" i="12" s="1"/>
  <c r="AO71" i="12" a="1"/>
  <c r="AO71" i="12" s="1"/>
  <c r="AN46" i="12"/>
  <c r="AN65" i="12"/>
  <c r="AN38" i="12" s="1"/>
  <c r="AO66" i="12" a="1"/>
  <c r="AO66" i="12" s="1"/>
  <c r="AO21" i="12" a="1"/>
  <c r="AO21" i="12" s="1"/>
  <c r="AS44" i="12"/>
  <c r="C77" i="3" a="1"/>
  <c r="B77" i="3" a="1"/>
  <c r="AU46" i="23" l="1"/>
  <c r="AV47" i="23" a="1"/>
  <c r="AV47" i="23" s="1"/>
  <c r="AU46" i="24"/>
  <c r="AV47" i="24" a="1"/>
  <c r="AV47" i="24" s="1"/>
  <c r="M36" i="23"/>
  <c r="M20" i="23" s="1"/>
  <c r="M40" i="23" s="1"/>
  <c r="M36" i="24"/>
  <c r="M20" i="24" s="1"/>
  <c r="M41" i="24" s="1"/>
  <c r="AV139" i="24"/>
  <c r="AV86" i="24"/>
  <c r="AW70" i="24"/>
  <c r="AW37" i="24"/>
  <c r="AW93" i="24" s="1"/>
  <c r="AY44" i="24"/>
  <c r="AX161" i="24" a="1"/>
  <c r="AX161" i="24" s="1"/>
  <c r="AX116" i="24" a="1"/>
  <c r="AX116" i="24" s="1"/>
  <c r="AX97" i="24" a="1"/>
  <c r="AX97" i="24" s="1"/>
  <c r="AX71" i="24" a="1"/>
  <c r="AX71" i="24" s="1"/>
  <c r="AX66" i="24" a="1"/>
  <c r="AX66" i="24" s="1"/>
  <c r="AX65" i="24" s="1"/>
  <c r="AX38" i="24" s="1"/>
  <c r="AX7" i="24" a="1"/>
  <c r="AX7" i="24" s="1"/>
  <c r="AX6" i="24" s="1"/>
  <c r="AX91" i="24" s="1"/>
  <c r="AY3" i="24"/>
  <c r="AX4" i="24"/>
  <c r="AX21" i="24" a="1"/>
  <c r="AX21" i="24" s="1"/>
  <c r="AX5" i="24"/>
  <c r="M40" i="24"/>
  <c r="AX161" i="23" a="1"/>
  <c r="AX161" i="23" s="1"/>
  <c r="AX97" i="23" a="1"/>
  <c r="AX97" i="23" s="1"/>
  <c r="AX116" i="23" a="1"/>
  <c r="AX116" i="23" s="1"/>
  <c r="AX66" i="23" a="1"/>
  <c r="AX66" i="23" s="1"/>
  <c r="AX65" i="23" s="1"/>
  <c r="AX38" i="23" s="1"/>
  <c r="AX21" i="23" a="1"/>
  <c r="AX21" i="23" s="1"/>
  <c r="AX71" i="23" a="1"/>
  <c r="AX71" i="23" s="1"/>
  <c r="AX5" i="23"/>
  <c r="AX4" i="23"/>
  <c r="AX7" i="23" a="1"/>
  <c r="AX7" i="23" s="1"/>
  <c r="AX6" i="23" s="1"/>
  <c r="AX91" i="23" s="1"/>
  <c r="AY3" i="23"/>
  <c r="AW37" i="23"/>
  <c r="AW93" i="23" s="1"/>
  <c r="AW70" i="23"/>
  <c r="AZ44" i="23"/>
  <c r="AV139" i="23"/>
  <c r="AV86" i="23"/>
  <c r="M41" i="23"/>
  <c r="C77" i="3"/>
  <c r="B77" i="3"/>
  <c r="A78" i="3"/>
  <c r="AP97" i="12" a="1"/>
  <c r="AP97" i="12" s="1"/>
  <c r="AP7" i="12" a="1"/>
  <c r="AP7" i="12" s="1"/>
  <c r="AP47" i="12" a="1"/>
  <c r="AP47" i="12" s="1"/>
  <c r="AP116" i="12" a="1"/>
  <c r="AP116" i="12" s="1"/>
  <c r="AP5" i="12"/>
  <c r="AP4" i="12"/>
  <c r="AQ3" i="12"/>
  <c r="AQ161" i="12" s="1" a="1"/>
  <c r="AQ161" i="12" s="1"/>
  <c r="AN139" i="12"/>
  <c r="AO70" i="12"/>
  <c r="AO86" i="12" s="1"/>
  <c r="AP71" i="12" a="1"/>
  <c r="AP71" i="12" s="1"/>
  <c r="AO37" i="12"/>
  <c r="AO93" i="12" s="1"/>
  <c r="AP66" i="12" a="1"/>
  <c r="AP66" i="12" s="1"/>
  <c r="AO65" i="12"/>
  <c r="AO38" i="12" s="1"/>
  <c r="AO46" i="12"/>
  <c r="AP21" i="12" a="1"/>
  <c r="AP21" i="12" s="1"/>
  <c r="AT44" i="12"/>
  <c r="C78" i="3" a="1"/>
  <c r="B78" i="3" a="1"/>
  <c r="AV46" i="23" l="1"/>
  <c r="AW47" i="23" a="1"/>
  <c r="AW47" i="23" s="1"/>
  <c r="AV46" i="24"/>
  <c r="AW47" i="24" a="1"/>
  <c r="AW47" i="24" s="1"/>
  <c r="M84" i="24"/>
  <c r="AY161" i="24" a="1"/>
  <c r="AY161" i="24" s="1"/>
  <c r="AY97" i="24" a="1"/>
  <c r="AY97" i="24" s="1"/>
  <c r="AY116" i="24" a="1"/>
  <c r="AY116" i="24" s="1"/>
  <c r="AY71" i="24" a="1"/>
  <c r="AY71" i="24" s="1"/>
  <c r="AY66" i="24" a="1"/>
  <c r="AY66" i="24" s="1"/>
  <c r="AY65" i="24" s="1"/>
  <c r="AY38" i="24" s="1"/>
  <c r="AZ3" i="24"/>
  <c r="AY21" i="24" a="1"/>
  <c r="AY21" i="24" s="1"/>
  <c r="AY4" i="24"/>
  <c r="AY7" i="24" a="1"/>
  <c r="AY7" i="24" s="1"/>
  <c r="AY6" i="24" s="1"/>
  <c r="AY91" i="24" s="1"/>
  <c r="AY5" i="24"/>
  <c r="AZ44" i="24"/>
  <c r="M85" i="24"/>
  <c r="M92" i="24" s="1"/>
  <c r="M90" i="24" s="1"/>
  <c r="AW139" i="24"/>
  <c r="AW86" i="24"/>
  <c r="AX70" i="24"/>
  <c r="AX37" i="24"/>
  <c r="AX93" i="24" s="1"/>
  <c r="BA44" i="23"/>
  <c r="AX70" i="23"/>
  <c r="AX37" i="23"/>
  <c r="AX93" i="23" s="1"/>
  <c r="AW139" i="23"/>
  <c r="AW86" i="23"/>
  <c r="M84" i="23"/>
  <c r="AY161" i="23" a="1"/>
  <c r="AY161" i="23" s="1"/>
  <c r="AY97" i="23" a="1"/>
  <c r="AY97" i="23" s="1"/>
  <c r="AY116" i="23" a="1"/>
  <c r="AY116" i="23" s="1"/>
  <c r="AY21" i="23" a="1"/>
  <c r="AY21" i="23" s="1"/>
  <c r="AY71" i="23" a="1"/>
  <c r="AY71" i="23" s="1"/>
  <c r="AY7" i="23" a="1"/>
  <c r="AY7" i="23" s="1"/>
  <c r="AY6" i="23" s="1"/>
  <c r="AY91" i="23" s="1"/>
  <c r="AY5" i="23"/>
  <c r="AZ3" i="23"/>
  <c r="AY66" i="23" a="1"/>
  <c r="AY66" i="23" s="1"/>
  <c r="AY65" i="23" s="1"/>
  <c r="AY38" i="23" s="1"/>
  <c r="AY4" i="23"/>
  <c r="C78" i="3"/>
  <c r="B78" i="3"/>
  <c r="A79" i="3"/>
  <c r="AQ97" i="12" a="1"/>
  <c r="AQ97" i="12" s="1"/>
  <c r="AQ47" i="12" a="1"/>
  <c r="AQ47" i="12" s="1"/>
  <c r="AQ4" i="12"/>
  <c r="AR3" i="12"/>
  <c r="AR161" i="12" s="1" a="1"/>
  <c r="AR161" i="12" s="1"/>
  <c r="AQ5" i="12"/>
  <c r="AQ7" i="12" a="1"/>
  <c r="AQ7" i="12" s="1"/>
  <c r="AQ116" i="12" a="1"/>
  <c r="AQ116" i="12" s="1"/>
  <c r="AO139" i="12"/>
  <c r="P6" i="12"/>
  <c r="P91" i="12" s="1"/>
  <c r="AP70" i="12"/>
  <c r="AP86" i="12" s="1"/>
  <c r="AQ71" i="12" a="1"/>
  <c r="AQ71" i="12" s="1"/>
  <c r="AP37" i="12"/>
  <c r="AP93" i="12" s="1"/>
  <c r="AP46" i="12"/>
  <c r="AP65" i="12"/>
  <c r="AP38" i="12" s="1"/>
  <c r="AQ66" i="12" a="1"/>
  <c r="AQ66" i="12" s="1"/>
  <c r="AQ21" i="12" a="1"/>
  <c r="AQ21" i="12" s="1"/>
  <c r="AU44" i="12"/>
  <c r="B79" i="3" a="1"/>
  <c r="M149" i="24" a="1"/>
  <c r="C79" i="3" a="1"/>
  <c r="AW46" i="23" l="1"/>
  <c r="AX47" i="23" a="1"/>
  <c r="AX47" i="23" s="1"/>
  <c r="AW46" i="24"/>
  <c r="AX47" i="24" a="1"/>
  <c r="AX47" i="24" s="1"/>
  <c r="M82" i="24"/>
  <c r="M45" i="24" s="1"/>
  <c r="N83" i="24" s="1"/>
  <c r="M149" i="24"/>
  <c r="AZ161" i="24" a="1"/>
  <c r="AZ161" i="24" s="1"/>
  <c r="AZ116" i="24" a="1"/>
  <c r="AZ116" i="24" s="1"/>
  <c r="AZ97" i="24" a="1"/>
  <c r="AZ97" i="24" s="1"/>
  <c r="AZ66" i="24" a="1"/>
  <c r="AZ66" i="24" s="1"/>
  <c r="AZ65" i="24" s="1"/>
  <c r="AZ38" i="24" s="1"/>
  <c r="AZ71" i="24" a="1"/>
  <c r="AZ71" i="24" s="1"/>
  <c r="BA3" i="24"/>
  <c r="AZ21" i="24" a="1"/>
  <c r="AZ21" i="24" s="1"/>
  <c r="AZ7" i="24" a="1"/>
  <c r="AZ7" i="24" s="1"/>
  <c r="AZ6" i="24" s="1"/>
  <c r="AZ91" i="24" s="1"/>
  <c r="AZ4" i="24"/>
  <c r="AZ5" i="24"/>
  <c r="BA44" i="24"/>
  <c r="AY70" i="24"/>
  <c r="AY37" i="24"/>
  <c r="AY93" i="24" s="1"/>
  <c r="AX86" i="24"/>
  <c r="AX139" i="24"/>
  <c r="AZ161" i="23" a="1"/>
  <c r="AZ161" i="23" s="1"/>
  <c r="AZ97" i="23" a="1"/>
  <c r="AZ97" i="23" s="1"/>
  <c r="AZ116" i="23" a="1"/>
  <c r="AZ116" i="23" s="1"/>
  <c r="AZ21" i="23" a="1"/>
  <c r="AZ21" i="23" s="1"/>
  <c r="AZ71" i="23" a="1"/>
  <c r="AZ71" i="23" s="1"/>
  <c r="AZ66" i="23" a="1"/>
  <c r="AZ66" i="23" s="1"/>
  <c r="AZ65" i="23" s="1"/>
  <c r="AZ38" i="23" s="1"/>
  <c r="BA3" i="23"/>
  <c r="AZ7" i="23" a="1"/>
  <c r="AZ7" i="23" s="1"/>
  <c r="AZ6" i="23" s="1"/>
  <c r="AZ91" i="23" s="1"/>
  <c r="AZ4" i="23"/>
  <c r="AZ5" i="23"/>
  <c r="M85" i="23"/>
  <c r="M92" i="23" s="1"/>
  <c r="M90" i="23" s="1"/>
  <c r="AY37" i="23"/>
  <c r="AY93" i="23" s="1"/>
  <c r="AY70" i="23"/>
  <c r="AX139" i="23"/>
  <c r="AX86" i="23"/>
  <c r="C79" i="3"/>
  <c r="B79" i="3"/>
  <c r="A80" i="3"/>
  <c r="AR97" i="12" a="1"/>
  <c r="AR97" i="12" s="1"/>
  <c r="AR47" i="12" a="1"/>
  <c r="AR47" i="12" s="1"/>
  <c r="AS3" i="12"/>
  <c r="AS161" i="12" s="1" a="1"/>
  <c r="AS161" i="12" s="1"/>
  <c r="AR7" i="12" a="1"/>
  <c r="AR7" i="12" s="1"/>
  <c r="AR4" i="12"/>
  <c r="AR116" i="12" a="1"/>
  <c r="AR116" i="12" s="1"/>
  <c r="AR5" i="12"/>
  <c r="AP139" i="12"/>
  <c r="AQ70" i="12"/>
  <c r="AQ86" i="12" s="1"/>
  <c r="AR71" i="12" a="1"/>
  <c r="AR71" i="12" s="1"/>
  <c r="AQ37" i="12"/>
  <c r="AQ93" i="12" s="1"/>
  <c r="AR66" i="12" a="1"/>
  <c r="AR66" i="12" s="1"/>
  <c r="AQ65" i="12"/>
  <c r="AQ38" i="12" s="1"/>
  <c r="AQ46" i="12"/>
  <c r="AR21" i="12" a="1"/>
  <c r="AR21" i="12" s="1"/>
  <c r="AV44" i="12"/>
  <c r="M149" i="23" a="1"/>
  <c r="B80" i="3" a="1"/>
  <c r="C80" i="3" a="1"/>
  <c r="M43" i="24" l="1"/>
  <c r="AS7" i="12" a="1"/>
  <c r="AS7" i="12" s="1"/>
  <c r="AX46" i="23"/>
  <c r="AY47" i="23" a="1"/>
  <c r="AY47" i="23" s="1"/>
  <c r="AX46" i="24"/>
  <c r="AY47" i="24" a="1"/>
  <c r="AY47" i="24" s="1"/>
  <c r="AZ70" i="24"/>
  <c r="AZ37" i="24"/>
  <c r="AZ93" i="24" s="1"/>
  <c r="M138" i="24"/>
  <c r="M137" i="24" s="1"/>
  <c r="M42" i="24"/>
  <c r="AY139" i="24"/>
  <c r="AY86" i="24"/>
  <c r="BA161" i="24" a="1"/>
  <c r="BA161" i="24" s="1"/>
  <c r="BA97" i="24" a="1"/>
  <c r="BA97" i="24" s="1"/>
  <c r="BA116" i="24" a="1"/>
  <c r="BA116" i="24" s="1"/>
  <c r="BA66" i="24" a="1"/>
  <c r="BA66" i="24" s="1"/>
  <c r="BA65" i="24" s="1"/>
  <c r="BA38" i="24" s="1"/>
  <c r="BA71" i="24" a="1"/>
  <c r="BA71" i="24" s="1"/>
  <c r="BA21" i="24" a="1"/>
  <c r="BA21" i="24" s="1"/>
  <c r="BA7" i="24" a="1"/>
  <c r="BA7" i="24" s="1"/>
  <c r="BA6" i="24" s="1"/>
  <c r="BA91" i="24" s="1"/>
  <c r="BA4" i="24"/>
  <c r="BA5" i="24"/>
  <c r="M149" i="23"/>
  <c r="AY139" i="23"/>
  <c r="AY86" i="23"/>
  <c r="BA161" i="23" a="1"/>
  <c r="BA161" i="23" s="1"/>
  <c r="BA97" i="23" a="1"/>
  <c r="BA97" i="23" s="1"/>
  <c r="BA116" i="23" a="1"/>
  <c r="BA116" i="23" s="1"/>
  <c r="BA66" i="23" a="1"/>
  <c r="BA66" i="23" s="1"/>
  <c r="BA65" i="23" s="1"/>
  <c r="BA38" i="23" s="1"/>
  <c r="BA21" i="23" a="1"/>
  <c r="BA21" i="23" s="1"/>
  <c r="BA71" i="23" a="1"/>
  <c r="BA71" i="23" s="1"/>
  <c r="BA7" i="23" a="1"/>
  <c r="BA7" i="23" s="1"/>
  <c r="BA6" i="23" s="1"/>
  <c r="BA91" i="23" s="1"/>
  <c r="BA4" i="23"/>
  <c r="BA5" i="23"/>
  <c r="M82" i="23"/>
  <c r="M45" i="23" s="1"/>
  <c r="AZ70" i="23"/>
  <c r="AZ37" i="23"/>
  <c r="AZ93" i="23" s="1"/>
  <c r="C80" i="3"/>
  <c r="B80" i="3"/>
  <c r="A81" i="3"/>
  <c r="AS97" i="12" a="1"/>
  <c r="AS97" i="12" s="1"/>
  <c r="AS5" i="12"/>
  <c r="AS47" i="12" a="1"/>
  <c r="AS47" i="12" s="1"/>
  <c r="AT3" i="12"/>
  <c r="AT161" i="12" s="1" a="1"/>
  <c r="AT161" i="12" s="1"/>
  <c r="AS4" i="12"/>
  <c r="AS116" i="12" a="1"/>
  <c r="AS116" i="12" s="1"/>
  <c r="AQ139" i="12"/>
  <c r="AR70" i="12"/>
  <c r="AR86" i="12" s="1"/>
  <c r="AR37" i="12"/>
  <c r="AR93" i="12" s="1"/>
  <c r="AS71" i="12" a="1"/>
  <c r="AS71" i="12" s="1"/>
  <c r="AR46" i="12"/>
  <c r="AR65" i="12"/>
  <c r="AR38" i="12" s="1"/>
  <c r="AS66" i="12" a="1"/>
  <c r="AS66" i="12" s="1"/>
  <c r="AS21" i="12" a="1"/>
  <c r="AS21" i="12" s="1"/>
  <c r="AW44" i="12"/>
  <c r="M150" i="24" a="1"/>
  <c r="B81" i="3" a="1"/>
  <c r="C81" i="3" a="1"/>
  <c r="AY46" i="23" l="1"/>
  <c r="AZ47" i="23" a="1"/>
  <c r="AZ47" i="23" s="1"/>
  <c r="AZ46" i="23" s="1"/>
  <c r="AY46" i="24"/>
  <c r="AZ47" i="24" a="1"/>
  <c r="AZ47" i="24" s="1"/>
  <c r="AZ46" i="24" s="1"/>
  <c r="M150" i="24"/>
  <c r="M148" i="24" s="1"/>
  <c r="BA70" i="24"/>
  <c r="BA37" i="24"/>
  <c r="BA93" i="24" s="1"/>
  <c r="AZ86" i="24"/>
  <c r="AZ139" i="24"/>
  <c r="N83" i="23"/>
  <c r="M43" i="23"/>
  <c r="AZ139" i="23"/>
  <c r="AZ86" i="23"/>
  <c r="BA37" i="23"/>
  <c r="BA93" i="23" s="1"/>
  <c r="BA70" i="23"/>
  <c r="C81" i="3"/>
  <c r="B81" i="3"/>
  <c r="A82" i="3"/>
  <c r="AT97" i="12" a="1"/>
  <c r="AT97" i="12" s="1"/>
  <c r="AT5" i="12"/>
  <c r="AT47" i="12" a="1"/>
  <c r="AT47" i="12" s="1"/>
  <c r="AT4" i="12"/>
  <c r="AU3" i="12"/>
  <c r="AU161" i="12" s="1" a="1"/>
  <c r="AU161" i="12" s="1"/>
  <c r="AT116" i="12" a="1"/>
  <c r="AT116" i="12" s="1"/>
  <c r="AT7" i="12" a="1"/>
  <c r="AT7" i="12" s="1"/>
  <c r="AR139" i="12"/>
  <c r="AS70" i="12"/>
  <c r="AS86" i="12" s="1"/>
  <c r="AT71" i="12" a="1"/>
  <c r="AT71" i="12" s="1"/>
  <c r="AS37" i="12"/>
  <c r="AS93" i="12" s="1"/>
  <c r="AS65" i="12"/>
  <c r="AS38" i="12" s="1"/>
  <c r="AT66" i="12" a="1"/>
  <c r="AT66" i="12" s="1"/>
  <c r="AS46" i="12"/>
  <c r="AT21" i="12" a="1"/>
  <c r="AT21" i="12" s="1"/>
  <c r="AX44" i="12"/>
  <c r="C82" i="3" a="1"/>
  <c r="B82" i="3" a="1"/>
  <c r="N36" i="24" l="1"/>
  <c r="N20" i="24" s="1"/>
  <c r="N40" i="24" s="1"/>
  <c r="BA139" i="24"/>
  <c r="BA86" i="24"/>
  <c r="BA139" i="23"/>
  <c r="BA86" i="23"/>
  <c r="M138" i="23"/>
  <c r="M137" i="23" s="1"/>
  <c r="M42" i="23"/>
  <c r="C82" i="3"/>
  <c r="B82" i="3"/>
  <c r="A83" i="3"/>
  <c r="AU97" i="12" a="1"/>
  <c r="AU97" i="12" s="1"/>
  <c r="AU47" i="12" a="1"/>
  <c r="AU47" i="12" s="1"/>
  <c r="AU5" i="12"/>
  <c r="AU4" i="12"/>
  <c r="AV3" i="12"/>
  <c r="AV161" i="12" s="1" a="1"/>
  <c r="AV161" i="12" s="1"/>
  <c r="AU116" i="12" a="1"/>
  <c r="AU116" i="12" s="1"/>
  <c r="AU7" i="12" a="1"/>
  <c r="AU7" i="12" s="1"/>
  <c r="AS139" i="12"/>
  <c r="Q6" i="12"/>
  <c r="Q91" i="12" s="1"/>
  <c r="AT70" i="12"/>
  <c r="AT86" i="12" s="1"/>
  <c r="AU71" i="12" a="1"/>
  <c r="AU71" i="12" s="1"/>
  <c r="AT37" i="12"/>
  <c r="AT93" i="12" s="1"/>
  <c r="AT46" i="12"/>
  <c r="AT65" i="12"/>
  <c r="AT38" i="12" s="1"/>
  <c r="AU66" i="12" a="1"/>
  <c r="AU66" i="12" s="1"/>
  <c r="AU21" i="12" a="1"/>
  <c r="AU21" i="12" s="1"/>
  <c r="AY44" i="12"/>
  <c r="B83" i="3" a="1"/>
  <c r="C83" i="3" a="1"/>
  <c r="M150" i="23" a="1"/>
  <c r="N41" i="24" l="1"/>
  <c r="N84" i="24" s="1"/>
  <c r="M150" i="23"/>
  <c r="M148" i="23" s="1"/>
  <c r="C83" i="3"/>
  <c r="B83" i="3"/>
  <c r="A84" i="3"/>
  <c r="AV97" i="12" a="1"/>
  <c r="AV97" i="12" s="1"/>
  <c r="AV47" i="12" a="1"/>
  <c r="AV47" i="12" s="1"/>
  <c r="AV4" i="12"/>
  <c r="AV116" i="12" a="1"/>
  <c r="AV116" i="12" s="1"/>
  <c r="AW3" i="12"/>
  <c r="AW161" i="12" s="1" a="1"/>
  <c r="AW161" i="12" s="1"/>
  <c r="AV5" i="12"/>
  <c r="AV7" i="12" a="1"/>
  <c r="AV7" i="12" s="1"/>
  <c r="AT139" i="12"/>
  <c r="AU70" i="12"/>
  <c r="AU86" i="12" s="1"/>
  <c r="AU37" i="12"/>
  <c r="AU93" i="12" s="1"/>
  <c r="AV71" i="12" a="1"/>
  <c r="AV71" i="12" s="1"/>
  <c r="AU65" i="12"/>
  <c r="AU38" i="12" s="1"/>
  <c r="AV66" i="12" a="1"/>
  <c r="AV66" i="12" s="1"/>
  <c r="AU46" i="12"/>
  <c r="AV21" i="12" a="1"/>
  <c r="AV21" i="12" s="1"/>
  <c r="AZ44" i="12"/>
  <c r="B84" i="3" a="1"/>
  <c r="C84" i="3" a="1"/>
  <c r="N36" i="23" l="1"/>
  <c r="N20" i="23" s="1"/>
  <c r="N41" i="23" s="1"/>
  <c r="N85" i="24"/>
  <c r="N92" i="24" s="1"/>
  <c r="N90" i="24" s="1"/>
  <c r="C84" i="3"/>
  <c r="B84" i="3"/>
  <c r="A85" i="3"/>
  <c r="AW97" i="12" a="1"/>
  <c r="AW97" i="12" s="1"/>
  <c r="AW47" i="12" a="1"/>
  <c r="AW47" i="12" s="1"/>
  <c r="AX3" i="12"/>
  <c r="AX161" i="12" s="1" a="1"/>
  <c r="AX161" i="12" s="1"/>
  <c r="AW4" i="12"/>
  <c r="AW5" i="12"/>
  <c r="AW116" i="12" a="1"/>
  <c r="AW116" i="12" s="1"/>
  <c r="AW7" i="12" a="1"/>
  <c r="AW7" i="12" s="1"/>
  <c r="AU139" i="12"/>
  <c r="AV70" i="12"/>
  <c r="AV86" i="12" s="1"/>
  <c r="AV37" i="12"/>
  <c r="AV93" i="12" s="1"/>
  <c r="AW71" i="12" a="1"/>
  <c r="AW71" i="12" s="1"/>
  <c r="AV46" i="12"/>
  <c r="AV65" i="12"/>
  <c r="AV38" i="12" s="1"/>
  <c r="AW66" i="12" a="1"/>
  <c r="AW66" i="12" s="1"/>
  <c r="AW21" i="12" a="1"/>
  <c r="AW21" i="12" s="1"/>
  <c r="BA44" i="12"/>
  <c r="B85" i="3" a="1"/>
  <c r="N149" i="24" a="1"/>
  <c r="C85" i="3" a="1"/>
  <c r="N40" i="23" l="1"/>
  <c r="N84" i="23" s="1"/>
  <c r="N85" i="23" s="1"/>
  <c r="N92" i="23" s="1"/>
  <c r="N90" i="23" s="1"/>
  <c r="N149" i="24"/>
  <c r="N82" i="24"/>
  <c r="N45" i="24" s="1"/>
  <c r="C85" i="3"/>
  <c r="B85" i="3"/>
  <c r="A86" i="3"/>
  <c r="AX97" i="12" a="1"/>
  <c r="AX97" i="12" s="1"/>
  <c r="AX47" i="12" a="1"/>
  <c r="AX47" i="12" s="1"/>
  <c r="AX4" i="12"/>
  <c r="AX7" i="12" a="1"/>
  <c r="AX7" i="12" s="1"/>
  <c r="AX5" i="12"/>
  <c r="AY3" i="12"/>
  <c r="AY161" i="12" s="1" a="1"/>
  <c r="AY161" i="12" s="1"/>
  <c r="AX116" i="12" a="1"/>
  <c r="AX116" i="12" s="1"/>
  <c r="AV139" i="12"/>
  <c r="AW70" i="12"/>
  <c r="AW86" i="12" s="1"/>
  <c r="AX71" i="12" a="1"/>
  <c r="AX71" i="12" s="1"/>
  <c r="AW37" i="12"/>
  <c r="AW93" i="12" s="1"/>
  <c r="AW65" i="12"/>
  <c r="AW38" i="12" s="1"/>
  <c r="AX66" i="12" a="1"/>
  <c r="AX66" i="12" s="1"/>
  <c r="AW46" i="12"/>
  <c r="AX21" i="12" a="1"/>
  <c r="AX21" i="12" s="1"/>
  <c r="C86" i="3" a="1"/>
  <c r="B86" i="3" a="1"/>
  <c r="N149" i="23" a="1"/>
  <c r="O83" i="24" l="1"/>
  <c r="N43" i="24"/>
  <c r="N149" i="23"/>
  <c r="N82" i="23"/>
  <c r="N45" i="23" s="1"/>
  <c r="C86" i="3"/>
  <c r="B86" i="3"/>
  <c r="A87" i="3"/>
  <c r="AY97" i="12" a="1"/>
  <c r="AY97" i="12" s="1"/>
  <c r="AY47" i="12" a="1"/>
  <c r="AY47" i="12" s="1"/>
  <c r="AZ3" i="12"/>
  <c r="AZ161" i="12" s="1" a="1"/>
  <c r="AZ161" i="12" s="1"/>
  <c r="AY4" i="12"/>
  <c r="AY5" i="12"/>
  <c r="AY116" i="12" a="1"/>
  <c r="AY116" i="12" s="1"/>
  <c r="AY7" i="12" a="1"/>
  <c r="AY7" i="12" s="1"/>
  <c r="AW139" i="12"/>
  <c r="R6" i="12"/>
  <c r="R91" i="12" s="1"/>
  <c r="AX70" i="12"/>
  <c r="AX86" i="12" s="1"/>
  <c r="AY71" i="12" a="1"/>
  <c r="AY71" i="12" s="1"/>
  <c r="AX37" i="12"/>
  <c r="AX93" i="12" s="1"/>
  <c r="AX46" i="12"/>
  <c r="AX65" i="12"/>
  <c r="AX38" i="12" s="1"/>
  <c r="AY66" i="12" a="1"/>
  <c r="AY66" i="12" s="1"/>
  <c r="AY21" i="12" a="1"/>
  <c r="AY21" i="12" s="1"/>
  <c r="B87" i="3" a="1"/>
  <c r="C87" i="3" a="1"/>
  <c r="N138" i="24" l="1"/>
  <c r="N137" i="24" s="1"/>
  <c r="N42" i="24"/>
  <c r="O83" i="23"/>
  <c r="N43" i="23"/>
  <c r="C87" i="3"/>
  <c r="B87" i="3"/>
  <c r="A88" i="3"/>
  <c r="AZ97" i="12" a="1"/>
  <c r="AZ97" i="12" s="1"/>
  <c r="AZ47" i="12" a="1"/>
  <c r="AZ47" i="12" s="1"/>
  <c r="AZ5" i="12"/>
  <c r="AZ4" i="12"/>
  <c r="AZ7" i="12" a="1"/>
  <c r="AZ7" i="12" s="1"/>
  <c r="AZ116" i="12" a="1"/>
  <c r="AZ116" i="12" s="1"/>
  <c r="BA3" i="12"/>
  <c r="BA161" i="12" s="1" a="1"/>
  <c r="BA161" i="12" s="1"/>
  <c r="AX139" i="12"/>
  <c r="AY70" i="12"/>
  <c r="AY86" i="12" s="1"/>
  <c r="AZ71" i="12" a="1"/>
  <c r="AZ71" i="12" s="1"/>
  <c r="AY37" i="12"/>
  <c r="AY93" i="12" s="1"/>
  <c r="AY65" i="12"/>
  <c r="AY38" i="12" s="1"/>
  <c r="AZ66" i="12" a="1"/>
  <c r="AZ66" i="12" s="1"/>
  <c r="AY46" i="12"/>
  <c r="AZ21" i="12" a="1"/>
  <c r="AZ21" i="12" s="1"/>
  <c r="B88" i="3" a="1"/>
  <c r="C88" i="3" a="1"/>
  <c r="N150" i="24" a="1"/>
  <c r="N150" i="24" l="1"/>
  <c r="N148" i="24" s="1"/>
  <c r="N138" i="23"/>
  <c r="N137" i="23" s="1"/>
  <c r="N42" i="23"/>
  <c r="C88" i="3"/>
  <c r="B88" i="3"/>
  <c r="A89" i="3"/>
  <c r="BA97" i="12" a="1"/>
  <c r="BA97" i="12" s="1"/>
  <c r="BA5" i="12"/>
  <c r="BA116" i="12" a="1"/>
  <c r="BA116" i="12" s="1"/>
  <c r="BA7" i="12" a="1"/>
  <c r="BA7" i="12" s="1"/>
  <c r="BA4" i="12"/>
  <c r="AY139" i="12"/>
  <c r="AZ70" i="12"/>
  <c r="AZ86" i="12" s="1"/>
  <c r="BA71" i="12" a="1"/>
  <c r="BA71" i="12" s="1"/>
  <c r="AZ37" i="12"/>
  <c r="AZ93" i="12" s="1"/>
  <c r="BA46" i="12"/>
  <c r="AZ65" i="12"/>
  <c r="AZ38" i="12" s="1"/>
  <c r="BA66" i="12" a="1"/>
  <c r="BA66" i="12" s="1"/>
  <c r="BA65" i="12" s="1"/>
  <c r="BA38" i="12" s="1"/>
  <c r="BA21" i="12" a="1"/>
  <c r="BA21" i="12" s="1"/>
  <c r="N150" i="23" a="1"/>
  <c r="C89" i="3" a="1"/>
  <c r="B89" i="3" a="1"/>
  <c r="O36" i="24" l="1"/>
  <c r="O20" i="24" s="1"/>
  <c r="O41" i="24" s="1"/>
  <c r="N150" i="23"/>
  <c r="N148" i="23" s="1"/>
  <c r="C89" i="3"/>
  <c r="B89" i="3"/>
  <c r="A90" i="3"/>
  <c r="AZ139" i="12"/>
  <c r="AZ46" i="12"/>
  <c r="BA70" i="12"/>
  <c r="BA86" i="12" s="1"/>
  <c r="BA37" i="12"/>
  <c r="BA93" i="12" s="1"/>
  <c r="C90" i="3" a="1"/>
  <c r="B90" i="3" a="1"/>
  <c r="O40" i="24" l="1"/>
  <c r="O84" i="24" s="1"/>
  <c r="O85" i="24" s="1"/>
  <c r="O92" i="24" s="1"/>
  <c r="O90" i="24" s="1"/>
  <c r="O36" i="23"/>
  <c r="O20" i="23" s="1"/>
  <c r="O40" i="23" s="1"/>
  <c r="C90" i="3"/>
  <c r="B90" i="3"/>
  <c r="A91" i="3"/>
  <c r="BA139" i="12"/>
  <c r="S6" i="12"/>
  <c r="S91" i="12" s="1"/>
  <c r="O149" i="24" a="1"/>
  <c r="C91" i="3" a="1"/>
  <c r="B91" i="3" a="1"/>
  <c r="O41" i="23" l="1"/>
  <c r="O84" i="23" s="1"/>
  <c r="O85" i="23" s="1"/>
  <c r="O92" i="23" s="1"/>
  <c r="O90" i="23" s="1"/>
  <c r="O82" i="24"/>
  <c r="O45" i="24" s="1"/>
  <c r="P83" i="24" s="1"/>
  <c r="O149" i="24"/>
  <c r="C91" i="3"/>
  <c r="B91" i="3"/>
  <c r="A92" i="3"/>
  <c r="T6" i="12"/>
  <c r="T91" i="12" s="1"/>
  <c r="O149" i="23" a="1"/>
  <c r="C92" i="3" a="1"/>
  <c r="B92" i="3" a="1"/>
  <c r="O43" i="24" l="1"/>
  <c r="O149" i="23"/>
  <c r="O82" i="23"/>
  <c r="O45" i="23" s="1"/>
  <c r="C92" i="3"/>
  <c r="B92" i="3"/>
  <c r="A93" i="3"/>
  <c r="U6" i="12"/>
  <c r="U91" i="12" s="1"/>
  <c r="C93" i="3" a="1"/>
  <c r="B93" i="3" a="1"/>
  <c r="O42" i="24" l="1"/>
  <c r="O138" i="24"/>
  <c r="O137" i="24" s="1"/>
  <c r="P83" i="23"/>
  <c r="O43" i="23"/>
  <c r="C93" i="3"/>
  <c r="B93" i="3"/>
  <c r="A94" i="3"/>
  <c r="V6" i="12"/>
  <c r="V91" i="12" s="1"/>
  <c r="O150" i="24" a="1"/>
  <c r="B94" i="3" a="1"/>
  <c r="C94" i="3" a="1"/>
  <c r="O150" i="24" l="1"/>
  <c r="O148" i="24" s="1"/>
  <c r="O138" i="23"/>
  <c r="O137" i="23" s="1"/>
  <c r="O42" i="23"/>
  <c r="C94" i="3"/>
  <c r="B94" i="3"/>
  <c r="A95" i="3"/>
  <c r="W6" i="12"/>
  <c r="W91" i="12" s="1"/>
  <c r="B95" i="3" a="1"/>
  <c r="O150" i="23" a="1"/>
  <c r="C95" i="3" a="1"/>
  <c r="P36" i="24" l="1"/>
  <c r="P20" i="24" s="1"/>
  <c r="O150" i="23"/>
  <c r="O148" i="23" s="1"/>
  <c r="C95" i="3"/>
  <c r="B95" i="3"/>
  <c r="A96" i="3"/>
  <c r="X6" i="12"/>
  <c r="X91" i="12" s="1"/>
  <c r="B96" i="3" a="1"/>
  <c r="C96" i="3" a="1"/>
  <c r="P40" i="24" l="1"/>
  <c r="P41" i="24"/>
  <c r="P36" i="23"/>
  <c r="P20" i="23" s="1"/>
  <c r="P41" i="23" s="1"/>
  <c r="C96" i="3"/>
  <c r="B96" i="3"/>
  <c r="A97" i="3"/>
  <c r="Y6" i="12"/>
  <c r="Y91" i="12" s="1"/>
  <c r="B97" i="3" a="1"/>
  <c r="C97" i="3" a="1"/>
  <c r="P40" i="23" l="1"/>
  <c r="P84" i="23" s="1"/>
  <c r="P84" i="24"/>
  <c r="C97" i="3"/>
  <c r="B97" i="3"/>
  <c r="A98" i="3"/>
  <c r="Z6" i="12"/>
  <c r="Z91" i="12" s="1"/>
  <c r="C98" i="3" a="1"/>
  <c r="B98" i="3" a="1"/>
  <c r="P85" i="24" l="1"/>
  <c r="P92" i="24" s="1"/>
  <c r="P90" i="24" s="1"/>
  <c r="P85" i="23"/>
  <c r="P92" i="23" s="1"/>
  <c r="P90" i="23" s="1"/>
  <c r="C98" i="3"/>
  <c r="B98" i="3"/>
  <c r="A99" i="3"/>
  <c r="AA6" i="12"/>
  <c r="AA91" i="12" s="1"/>
  <c r="P149" i="23" a="1"/>
  <c r="B99" i="3" a="1"/>
  <c r="P149" i="24" a="1"/>
  <c r="C99" i="3" a="1"/>
  <c r="P149" i="24" l="1"/>
  <c r="P82" i="24"/>
  <c r="P45" i="24" s="1"/>
  <c r="P149" i="23"/>
  <c r="P82" i="23"/>
  <c r="P45" i="23" s="1"/>
  <c r="C99" i="3"/>
  <c r="B99" i="3"/>
  <c r="A100" i="3"/>
  <c r="AC6" i="12"/>
  <c r="AC91" i="12" s="1"/>
  <c r="B100" i="3" a="1"/>
  <c r="C100" i="3" a="1"/>
  <c r="Q83" i="24" l="1"/>
  <c r="P43" i="24"/>
  <c r="Q83" i="23"/>
  <c r="P43" i="23"/>
  <c r="C100" i="3"/>
  <c r="B100" i="3"/>
  <c r="A101" i="3"/>
  <c r="AD6" i="12"/>
  <c r="AD91" i="12" s="1"/>
  <c r="B101" i="3" a="1"/>
  <c r="C101" i="3" a="1"/>
  <c r="P138" i="24" l="1"/>
  <c r="P137" i="24" s="1"/>
  <c r="P42" i="24"/>
  <c r="P138" i="23"/>
  <c r="P137" i="23" s="1"/>
  <c r="P42" i="23"/>
  <c r="C101" i="3"/>
  <c r="B101" i="3"/>
  <c r="A102" i="3"/>
  <c r="AE6" i="12"/>
  <c r="AE91" i="12" s="1"/>
  <c r="B102" i="3" a="1"/>
  <c r="P150" i="24" a="1"/>
  <c r="P150" i="23" a="1"/>
  <c r="C102" i="3" a="1"/>
  <c r="P150" i="24" l="1"/>
  <c r="P148" i="24" s="1"/>
  <c r="P150" i="23"/>
  <c r="P148" i="23" s="1"/>
  <c r="C102" i="3"/>
  <c r="B102" i="3"/>
  <c r="A103" i="3"/>
  <c r="AF6" i="12"/>
  <c r="AF91" i="12" s="1"/>
  <c r="B103" i="3" a="1"/>
  <c r="C103" i="3" a="1"/>
  <c r="Q36" i="24" l="1"/>
  <c r="Q20" i="24" s="1"/>
  <c r="Q36" i="23"/>
  <c r="Q20" i="23" s="1"/>
  <c r="Q40" i="23" s="1"/>
  <c r="C103" i="3"/>
  <c r="B103" i="3"/>
  <c r="A104" i="3"/>
  <c r="AG6" i="12"/>
  <c r="AG91" i="12" s="1"/>
  <c r="C104" i="3" a="1"/>
  <c r="B104" i="3" a="1"/>
  <c r="Q41" i="23" l="1"/>
  <c r="Q84" i="23" s="1"/>
  <c r="Q85" i="23" s="1"/>
  <c r="Q92" i="23" s="1"/>
  <c r="Q90" i="23" s="1"/>
  <c r="Q40" i="24"/>
  <c r="Q41" i="24"/>
  <c r="C104" i="3"/>
  <c r="B104" i="3"/>
  <c r="A105" i="3"/>
  <c r="AH6" i="12"/>
  <c r="AH91" i="12" s="1"/>
  <c r="B105" i="3" a="1"/>
  <c r="C105" i="3" a="1"/>
  <c r="Q149" i="23" a="1"/>
  <c r="Q84" i="24" l="1"/>
  <c r="Q149" i="23"/>
  <c r="Q82" i="23"/>
  <c r="Q45" i="23" s="1"/>
  <c r="C105" i="3"/>
  <c r="B105" i="3"/>
  <c r="A106" i="3"/>
  <c r="AI6" i="12"/>
  <c r="AI91" i="12" s="1"/>
  <c r="C106" i="3" a="1"/>
  <c r="B106" i="3" a="1"/>
  <c r="Q85" i="24" l="1"/>
  <c r="Q92" i="24" s="1"/>
  <c r="Q90" i="24" s="1"/>
  <c r="R83" i="23"/>
  <c r="Q43" i="23"/>
  <c r="C106" i="3"/>
  <c r="B106" i="3"/>
  <c r="A107" i="3"/>
  <c r="AJ6" i="12"/>
  <c r="AJ91" i="12" s="1"/>
  <c r="B107" i="3" a="1"/>
  <c r="C107" i="3" a="1"/>
  <c r="Q149" i="24" a="1"/>
  <c r="Q82" i="24" l="1"/>
  <c r="Q45" i="24" s="1"/>
  <c r="R83" i="24" s="1"/>
  <c r="Q149" i="24"/>
  <c r="Q138" i="23"/>
  <c r="Q137" i="23" s="1"/>
  <c r="Q42" i="23"/>
  <c r="C107" i="3"/>
  <c r="B107" i="3"/>
  <c r="A108" i="3"/>
  <c r="AK6" i="12"/>
  <c r="AK91" i="12" s="1"/>
  <c r="C108" i="3" a="1"/>
  <c r="B108" i="3" a="1"/>
  <c r="Q150" i="23" a="1"/>
  <c r="Q43" i="24" l="1"/>
  <c r="Q42" i="24" s="1"/>
  <c r="Q150" i="23"/>
  <c r="Q148" i="23" s="1"/>
  <c r="C108" i="3"/>
  <c r="B108" i="3"/>
  <c r="A109" i="3"/>
  <c r="AL6" i="12"/>
  <c r="AL91" i="12" s="1"/>
  <c r="B109" i="3" a="1"/>
  <c r="C109" i="3" a="1"/>
  <c r="Q138" i="24" l="1"/>
  <c r="Q137" i="24" s="1"/>
  <c r="R36" i="23"/>
  <c r="R20" i="23" s="1"/>
  <c r="R41" i="23" s="1"/>
  <c r="C109" i="3"/>
  <c r="B109" i="3"/>
  <c r="A110" i="3"/>
  <c r="AM6" i="12"/>
  <c r="AM91" i="12" s="1"/>
  <c r="C110" i="3" a="1"/>
  <c r="Q150" i="24" a="1"/>
  <c r="B110" i="3" a="1"/>
  <c r="Q150" i="24" l="1"/>
  <c r="Q148" i="24" s="1"/>
  <c r="R36" i="24" s="1"/>
  <c r="R20" i="24" s="1"/>
  <c r="R40" i="23"/>
  <c r="R84" i="23" s="1"/>
  <c r="C110" i="3"/>
  <c r="B110" i="3"/>
  <c r="A111" i="3"/>
  <c r="AN6" i="12"/>
  <c r="AN91" i="12" s="1"/>
  <c r="C111" i="3" a="1"/>
  <c r="B111" i="3" a="1"/>
  <c r="R41" i="24" l="1"/>
  <c r="R40" i="24"/>
  <c r="R85" i="23"/>
  <c r="R92" i="23" s="1"/>
  <c r="R90" i="23" s="1"/>
  <c r="C111" i="3"/>
  <c r="B111" i="3"/>
  <c r="A112" i="3"/>
  <c r="AO6" i="12"/>
  <c r="AO91" i="12" s="1"/>
  <c r="C112" i="3" a="1"/>
  <c r="B112" i="3" a="1"/>
  <c r="R149" i="23" a="1"/>
  <c r="R84" i="24" l="1"/>
  <c r="R149" i="23"/>
  <c r="R82" i="23"/>
  <c r="R45" i="23" s="1"/>
  <c r="C112" i="3"/>
  <c r="B112" i="3"/>
  <c r="A113" i="3"/>
  <c r="AP6" i="12"/>
  <c r="AP91" i="12" s="1"/>
  <c r="C113" i="3" a="1"/>
  <c r="B113" i="3" a="1"/>
  <c r="R85" i="24" l="1"/>
  <c r="R92" i="24" s="1"/>
  <c r="R90" i="24" s="1"/>
  <c r="S83" i="23"/>
  <c r="R43" i="23"/>
  <c r="C113" i="3"/>
  <c r="B113" i="3"/>
  <c r="A114" i="3"/>
  <c r="AQ6" i="12"/>
  <c r="AQ91" i="12" s="1"/>
  <c r="B114" i="3" a="1"/>
  <c r="C114" i="3" a="1"/>
  <c r="R149" i="24" a="1"/>
  <c r="R149" i="24" l="1"/>
  <c r="R82" i="24"/>
  <c r="R45" i="24" s="1"/>
  <c r="R138" i="23"/>
  <c r="R137" i="23" s="1"/>
  <c r="R42" i="23"/>
  <c r="C114" i="3"/>
  <c r="B114" i="3"/>
  <c r="A115" i="3"/>
  <c r="AR6" i="12"/>
  <c r="AR91" i="12" s="1"/>
  <c r="C115" i="3" a="1"/>
  <c r="B115" i="3" a="1"/>
  <c r="R150" i="23" a="1"/>
  <c r="S83" i="24" l="1"/>
  <c r="R43" i="24"/>
  <c r="R150" i="23"/>
  <c r="R148" i="23" s="1"/>
  <c r="C115" i="3"/>
  <c r="B115" i="3"/>
  <c r="A116" i="3"/>
  <c r="AS6" i="12"/>
  <c r="AS91" i="12" s="1"/>
  <c r="B116" i="3" a="1"/>
  <c r="C116" i="3" a="1"/>
  <c r="S36" i="23" l="1"/>
  <c r="S20" i="23" s="1"/>
  <c r="S41" i="23" s="1"/>
  <c r="R42" i="24"/>
  <c r="R138" i="24"/>
  <c r="R137" i="24" s="1"/>
  <c r="C116" i="3"/>
  <c r="B116" i="3"/>
  <c r="A117" i="3"/>
  <c r="AT6" i="12"/>
  <c r="AT91" i="12" s="1"/>
  <c r="C117" i="3" a="1"/>
  <c r="B117" i="3" a="1"/>
  <c r="R150" i="24" a="1"/>
  <c r="R150" i="24" l="1"/>
  <c r="R148" i="24" s="1"/>
  <c r="S40" i="23"/>
  <c r="S84" i="23" s="1"/>
  <c r="S85" i="23" s="1"/>
  <c r="S92" i="23" s="1"/>
  <c r="S90" i="23" s="1"/>
  <c r="C117" i="3"/>
  <c r="B117" i="3"/>
  <c r="A118" i="3"/>
  <c r="AU6" i="12"/>
  <c r="AU91" i="12" s="1"/>
  <c r="C118" i="3" a="1"/>
  <c r="B118" i="3" a="1"/>
  <c r="S149" i="23" a="1"/>
  <c r="S36" i="24" l="1"/>
  <c r="S20" i="24" s="1"/>
  <c r="S82" i="23"/>
  <c r="S45" i="23" s="1"/>
  <c r="T83" i="23" s="1"/>
  <c r="S149" i="23"/>
  <c r="C118" i="3"/>
  <c r="B118" i="3"/>
  <c r="A119" i="3"/>
  <c r="AV6" i="12"/>
  <c r="AV91" i="12" s="1"/>
  <c r="B119" i="3" a="1"/>
  <c r="C119" i="3" a="1"/>
  <c r="S40" i="24" l="1"/>
  <c r="S41" i="24"/>
  <c r="S43" i="23"/>
  <c r="C119" i="3"/>
  <c r="B119" i="3"/>
  <c r="A120" i="3"/>
  <c r="AW6" i="12"/>
  <c r="AW91" i="12" s="1"/>
  <c r="B120" i="3" a="1"/>
  <c r="C120" i="3" a="1"/>
  <c r="S84" i="24" l="1"/>
  <c r="S85" i="24" s="1"/>
  <c r="S92" i="24" s="1"/>
  <c r="S90" i="24" s="1"/>
  <c r="S138" i="23"/>
  <c r="S137" i="23" s="1"/>
  <c r="S42" i="23"/>
  <c r="C120" i="3"/>
  <c r="B120" i="3"/>
  <c r="A121" i="3"/>
  <c r="AX6" i="12"/>
  <c r="AX91" i="12" s="1"/>
  <c r="S150" i="23" a="1"/>
  <c r="B121" i="3" a="1"/>
  <c r="C121" i="3" a="1"/>
  <c r="S149" i="24" a="1"/>
  <c r="S149" i="24" l="1"/>
  <c r="S150" i="23"/>
  <c r="S148" i="23" s="1"/>
  <c r="S82" i="24"/>
  <c r="S45" i="24" s="1"/>
  <c r="C121" i="3"/>
  <c r="B121" i="3"/>
  <c r="A122" i="3"/>
  <c r="AY6" i="12"/>
  <c r="AY91" i="12" s="1"/>
  <c r="C122" i="3" a="1"/>
  <c r="B122" i="3" a="1"/>
  <c r="S43" i="24" l="1"/>
  <c r="T83" i="24"/>
  <c r="T36" i="23"/>
  <c r="T20" i="23" s="1"/>
  <c r="C122" i="3"/>
  <c r="B122" i="3"/>
  <c r="A123" i="3"/>
  <c r="AZ6" i="12"/>
  <c r="AZ91" i="12" s="1"/>
  <c r="C123" i="3" a="1"/>
  <c r="B123" i="3" a="1"/>
  <c r="T41" i="23" l="1"/>
  <c r="T40" i="23"/>
  <c r="S42" i="24"/>
  <c r="S138" i="24"/>
  <c r="S137" i="24" s="1"/>
  <c r="C123" i="3"/>
  <c r="B123" i="3"/>
  <c r="A124" i="3"/>
  <c r="BA6" i="12"/>
  <c r="BA91" i="12" s="1"/>
  <c r="S150" i="24" a="1"/>
  <c r="C124" i="3" a="1"/>
  <c r="B124" i="3" a="1"/>
  <c r="T84" i="23" l="1"/>
  <c r="T85" i="23" s="1"/>
  <c r="T92" i="23" s="1"/>
  <c r="T90" i="23" s="1"/>
  <c r="S150" i="24"/>
  <c r="S148" i="24" s="1"/>
  <c r="C124" i="3"/>
  <c r="B124" i="3"/>
  <c r="A125" i="3"/>
  <c r="AB6" i="12"/>
  <c r="AB91" i="12" s="1"/>
  <c r="C125" i="3" a="1"/>
  <c r="B125" i="3" a="1"/>
  <c r="T149" i="23" a="1"/>
  <c r="T149" i="23" l="1"/>
  <c r="T82" i="23"/>
  <c r="T45" i="23" s="1"/>
  <c r="T43" i="23" s="1"/>
  <c r="T36" i="24"/>
  <c r="T20" i="24" s="1"/>
  <c r="C125" i="3"/>
  <c r="B125" i="3"/>
  <c r="A126" i="3"/>
  <c r="H6" i="12"/>
  <c r="H91" i="12" s="1"/>
  <c r="B126" i="3" a="1"/>
  <c r="C126" i="3" a="1"/>
  <c r="U83" i="23" l="1"/>
  <c r="T40" i="24"/>
  <c r="T41" i="24"/>
  <c r="T138" i="23"/>
  <c r="T137" i="23" s="1"/>
  <c r="T42" i="23"/>
  <c r="C126" i="3"/>
  <c r="B126" i="3"/>
  <c r="A127" i="3"/>
  <c r="F138" i="12"/>
  <c r="F137" i="12" s="1"/>
  <c r="T150" i="23" a="1"/>
  <c r="C127" i="3" a="1"/>
  <c r="B127" i="3" a="1"/>
  <c r="F150" i="12" a="1"/>
  <c r="T84" i="24" l="1"/>
  <c r="T85" i="24" s="1"/>
  <c r="T92" i="24" s="1"/>
  <c r="T90" i="24" s="1"/>
  <c r="T150" i="23"/>
  <c r="T148" i="23" s="1"/>
  <c r="C127" i="3"/>
  <c r="B127" i="3"/>
  <c r="F150" i="12"/>
  <c r="F148" i="12" s="1"/>
  <c r="G36" i="12" s="1"/>
  <c r="T149" i="24" a="1"/>
  <c r="T149" i="24" l="1"/>
  <c r="U36" i="23"/>
  <c r="U20" i="23" s="1"/>
  <c r="U40" i="23" s="1"/>
  <c r="T82" i="24"/>
  <c r="T45" i="24" s="1"/>
  <c r="G20" i="12"/>
  <c r="U41" i="23" l="1"/>
  <c r="U84" i="23" s="1"/>
  <c r="U85" i="23" s="1"/>
  <c r="U92" i="23" s="1"/>
  <c r="U90" i="23" s="1"/>
  <c r="U83" i="24"/>
  <c r="T43" i="24"/>
  <c r="G41" i="12"/>
  <c r="G40" i="12"/>
  <c r="U149" i="23" a="1"/>
  <c r="T138" i="24" l="1"/>
  <c r="T137" i="24" s="1"/>
  <c r="T42" i="24"/>
  <c r="U149" i="23"/>
  <c r="U82" i="23"/>
  <c r="U45" i="23" s="1"/>
  <c r="G84" i="12"/>
  <c r="T150" i="24" a="1"/>
  <c r="T150" i="24" l="1"/>
  <c r="T148" i="24" s="1"/>
  <c r="V83" i="23"/>
  <c r="U43" i="23"/>
  <c r="G85" i="12"/>
  <c r="G92" i="12" s="1"/>
  <c r="G90" i="12" s="1"/>
  <c r="G149" i="12" a="1"/>
  <c r="U36" i="24" l="1"/>
  <c r="U20" i="24" s="1"/>
  <c r="U138" i="23"/>
  <c r="U137" i="23" s="1"/>
  <c r="U42" i="23"/>
  <c r="G149" i="12"/>
  <c r="G82" i="12"/>
  <c r="G45" i="12" s="1"/>
  <c r="U150" i="23" a="1"/>
  <c r="U40" i="24" l="1"/>
  <c r="U41" i="24"/>
  <c r="U150" i="23"/>
  <c r="U148" i="23" s="1"/>
  <c r="H83" i="12"/>
  <c r="G43" i="12"/>
  <c r="U84" i="24" l="1"/>
  <c r="U85" i="24" s="1"/>
  <c r="U92" i="24" s="1"/>
  <c r="U90" i="24" s="1"/>
  <c r="V36" i="23"/>
  <c r="V20" i="23" s="1"/>
  <c r="V41" i="23" s="1"/>
  <c r="G138" i="12"/>
  <c r="G137" i="12" s="1"/>
  <c r="G42" i="12"/>
  <c r="G150" i="12" a="1"/>
  <c r="U149" i="24" a="1"/>
  <c r="U149" i="24" l="1"/>
  <c r="V40" i="23"/>
  <c r="V84" i="23" s="1"/>
  <c r="V85" i="23" s="1"/>
  <c r="V92" i="23" s="1"/>
  <c r="V90" i="23" s="1"/>
  <c r="U82" i="24"/>
  <c r="U45" i="24" s="1"/>
  <c r="G150" i="12"/>
  <c r="V149" i="23" a="1"/>
  <c r="V83" i="24" l="1"/>
  <c r="U43" i="24"/>
  <c r="V82" i="23"/>
  <c r="V45" i="23" s="1"/>
  <c r="W83" i="23" s="1"/>
  <c r="V149" i="23"/>
  <c r="G148" i="12"/>
  <c r="U138" i="24" l="1"/>
  <c r="U137" i="24" s="1"/>
  <c r="U42" i="24"/>
  <c r="V43" i="23"/>
  <c r="H36" i="12"/>
  <c r="H20" i="12" s="1"/>
  <c r="H40" i="12" s="1"/>
  <c r="U150" i="24" a="1"/>
  <c r="U150" i="24" l="1"/>
  <c r="U148" i="24" s="1"/>
  <c r="V138" i="23"/>
  <c r="V137" i="23" s="1"/>
  <c r="V42" i="23"/>
  <c r="H41" i="12"/>
  <c r="H84" i="12" s="1"/>
  <c r="H85" i="12" s="1"/>
  <c r="H92" i="12" s="1"/>
  <c r="H90" i="12" s="1"/>
  <c r="H149" i="12" a="1"/>
  <c r="V150" i="23" a="1"/>
  <c r="V150" i="23" l="1"/>
  <c r="V148" i="23" s="1"/>
  <c r="V36" i="24"/>
  <c r="V20" i="24" s="1"/>
  <c r="H149" i="12"/>
  <c r="H82" i="12"/>
  <c r="H45" i="12" s="1"/>
  <c r="I83" i="12" s="1"/>
  <c r="V40" i="24" l="1"/>
  <c r="V41" i="24"/>
  <c r="W36" i="23"/>
  <c r="W20" i="23" s="1"/>
  <c r="H43" i="12"/>
  <c r="H138" i="12" s="1"/>
  <c r="H137" i="12" s="1"/>
  <c r="H150" i="12" a="1"/>
  <c r="V84" i="24" l="1"/>
  <c r="V85" i="24" s="1"/>
  <c r="V92" i="24" s="1"/>
  <c r="V90" i="24" s="1"/>
  <c r="W41" i="23"/>
  <c r="W40" i="23"/>
  <c r="H42" i="12"/>
  <c r="H150" i="12"/>
  <c r="H148" i="12" s="1"/>
  <c r="V149" i="24" a="1"/>
  <c r="V82" i="24" l="1"/>
  <c r="V45" i="24" s="1"/>
  <c r="W83" i="24" s="1"/>
  <c r="V149" i="24"/>
  <c r="W84" i="23"/>
  <c r="I36" i="12"/>
  <c r="I20" i="12" s="1"/>
  <c r="I41" i="12" s="1"/>
  <c r="V43" i="24" l="1"/>
  <c r="V138" i="24" s="1"/>
  <c r="V137" i="24" s="1"/>
  <c r="W85" i="23"/>
  <c r="W92" i="23" s="1"/>
  <c r="W90" i="23" s="1"/>
  <c r="I40" i="12"/>
  <c r="I84" i="12" s="1"/>
  <c r="I85" i="12" s="1"/>
  <c r="I92" i="12" s="1"/>
  <c r="I90" i="12" s="1"/>
  <c r="W149" i="23" a="1"/>
  <c r="I149" i="12" a="1"/>
  <c r="V150" i="24" a="1"/>
  <c r="V42" i="24" l="1"/>
  <c r="V150" i="24"/>
  <c r="V148" i="24" s="1"/>
  <c r="W149" i="23"/>
  <c r="W82" i="23"/>
  <c r="W45" i="23" s="1"/>
  <c r="I149" i="12"/>
  <c r="I82" i="12"/>
  <c r="I45" i="12" s="1"/>
  <c r="J83" i="12" s="1"/>
  <c r="X83" i="23" l="1"/>
  <c r="W43" i="23"/>
  <c r="W36" i="24"/>
  <c r="W20" i="24" s="1"/>
  <c r="I43" i="12"/>
  <c r="W40" i="24" l="1"/>
  <c r="W41" i="24"/>
  <c r="W138" i="23"/>
  <c r="W137" i="23" s="1"/>
  <c r="W42" i="23"/>
  <c r="I42" i="12"/>
  <c r="I138" i="12"/>
  <c r="I137" i="12" s="1"/>
  <c r="W150" i="23" a="1"/>
  <c r="I150" i="12" a="1"/>
  <c r="W150" i="23" l="1"/>
  <c r="W148" i="23" s="1"/>
  <c r="W84" i="24"/>
  <c r="I150" i="12"/>
  <c r="I148" i="12" s="1"/>
  <c r="W85" i="24" l="1"/>
  <c r="W92" i="24" s="1"/>
  <c r="W90" i="24" s="1"/>
  <c r="X36" i="23"/>
  <c r="X20" i="23" s="1"/>
  <c r="J36" i="12"/>
  <c r="J20" i="12" s="1"/>
  <c r="J41" i="12" s="1"/>
  <c r="W149" i="24" a="1"/>
  <c r="W82" i="24" l="1"/>
  <c r="W45" i="24" s="1"/>
  <c r="W43" i="24" s="1"/>
  <c r="W149" i="24"/>
  <c r="X41" i="23"/>
  <c r="X40" i="23"/>
  <c r="J40" i="12"/>
  <c r="J84" i="12" s="1"/>
  <c r="J85" i="12" s="1"/>
  <c r="J92" i="12" s="1"/>
  <c r="J90" i="12" s="1"/>
  <c r="J149" i="12" a="1"/>
  <c r="X83" i="24" l="1"/>
  <c r="X84" i="23"/>
  <c r="W42" i="24"/>
  <c r="W138" i="24"/>
  <c r="W137" i="24" s="1"/>
  <c r="J149" i="12"/>
  <c r="J82" i="12"/>
  <c r="J45" i="12" s="1"/>
  <c r="J43" i="12" s="1"/>
  <c r="W150" i="24" a="1"/>
  <c r="W150" i="24" l="1"/>
  <c r="W148" i="24" s="1"/>
  <c r="X85" i="23"/>
  <c r="X92" i="23" s="1"/>
  <c r="X90" i="23" s="1"/>
  <c r="K83" i="12"/>
  <c r="J138" i="12"/>
  <c r="J137" i="12" s="1"/>
  <c r="J42" i="12"/>
  <c r="J150" i="12" a="1"/>
  <c r="X149" i="23" a="1"/>
  <c r="X149" i="23" l="1"/>
  <c r="X36" i="24"/>
  <c r="X20" i="24" s="1"/>
  <c r="X82" i="23"/>
  <c r="X45" i="23" s="1"/>
  <c r="J150" i="12"/>
  <c r="Y83" i="23" l="1"/>
  <c r="X43" i="23"/>
  <c r="X40" i="24"/>
  <c r="X41" i="24"/>
  <c r="J148" i="12"/>
  <c r="X84" i="24" l="1"/>
  <c r="X85" i="24" s="1"/>
  <c r="X92" i="24" s="1"/>
  <c r="X90" i="24" s="1"/>
  <c r="X138" i="23"/>
  <c r="X137" i="23" s="1"/>
  <c r="X42" i="23"/>
  <c r="K36" i="12"/>
  <c r="K20" i="12" s="1"/>
  <c r="K41" i="12" s="1"/>
  <c r="X149" i="24" a="1"/>
  <c r="X150" i="23" a="1"/>
  <c r="X150" i="23" l="1"/>
  <c r="X148" i="23" s="1"/>
  <c r="X149" i="24"/>
  <c r="X82" i="24"/>
  <c r="X45" i="24" s="1"/>
  <c r="K40" i="12"/>
  <c r="K84" i="12" s="1"/>
  <c r="K85" i="12" s="1"/>
  <c r="K92" i="12" s="1"/>
  <c r="K90" i="12" s="1"/>
  <c r="K149" i="12" a="1"/>
  <c r="X43" i="24" l="1"/>
  <c r="Y83" i="24"/>
  <c r="Y36" i="23"/>
  <c r="Y20" i="23" s="1"/>
  <c r="K149" i="12"/>
  <c r="K82" i="12"/>
  <c r="K45" i="12" s="1"/>
  <c r="Y41" i="23" l="1"/>
  <c r="Y40" i="23"/>
  <c r="X138" i="24"/>
  <c r="X137" i="24" s="1"/>
  <c r="X42" i="24"/>
  <c r="K43" i="12"/>
  <c r="L83" i="12"/>
  <c r="X150" i="24" a="1"/>
  <c r="Y84" i="23" l="1"/>
  <c r="Y85" i="23" s="1"/>
  <c r="Y92" i="23" s="1"/>
  <c r="Y90" i="23" s="1"/>
  <c r="X150" i="24"/>
  <c r="X148" i="24" s="1"/>
  <c r="K138" i="12"/>
  <c r="K137" i="12" s="1"/>
  <c r="K42" i="12"/>
  <c r="K150" i="12" a="1"/>
  <c r="Y149" i="23" a="1"/>
  <c r="Y82" i="23" l="1"/>
  <c r="Y45" i="23" s="1"/>
  <c r="Z83" i="23" s="1"/>
  <c r="Y149" i="23"/>
  <c r="Y36" i="24"/>
  <c r="Y20" i="24" s="1"/>
  <c r="K150" i="12"/>
  <c r="Y43" i="23" l="1"/>
  <c r="Y138" i="23" s="1"/>
  <c r="Y137" i="23" s="1"/>
  <c r="Y41" i="24"/>
  <c r="Y40" i="24"/>
  <c r="K148" i="12"/>
  <c r="Y150" i="23" a="1"/>
  <c r="Y84" i="24" l="1"/>
  <c r="Y85" i="24" s="1"/>
  <c r="Y92" i="24" s="1"/>
  <c r="Y90" i="24" s="1"/>
  <c r="Y42" i="23"/>
  <c r="Y150" i="23"/>
  <c r="Y148" i="23" s="1"/>
  <c r="L36" i="12"/>
  <c r="L20" i="12" s="1"/>
  <c r="L40" i="12" s="1"/>
  <c r="Y149" i="24" a="1"/>
  <c r="Y82" i="24" l="1"/>
  <c r="Y45" i="24" s="1"/>
  <c r="Z83" i="24" s="1"/>
  <c r="Y149" i="24"/>
  <c r="Z36" i="23"/>
  <c r="Z20" i="23" s="1"/>
  <c r="L41" i="12"/>
  <c r="L84" i="12" s="1"/>
  <c r="L85" i="12" s="1"/>
  <c r="L92" i="12" s="1"/>
  <c r="L90" i="12" s="1"/>
  <c r="L149" i="12" a="1"/>
  <c r="Y43" i="24" l="1"/>
  <c r="Y138" i="24" s="1"/>
  <c r="Y137" i="24" s="1"/>
  <c r="Z40" i="23"/>
  <c r="Z41" i="23"/>
  <c r="L82" i="12"/>
  <c r="L45" i="12" s="1"/>
  <c r="M83" i="12" s="1"/>
  <c r="L149" i="12"/>
  <c r="Y150" i="24" a="1"/>
  <c r="Z84" i="23" l="1"/>
  <c r="Z85" i="23" s="1"/>
  <c r="Z92" i="23" s="1"/>
  <c r="Z90" i="23" s="1"/>
  <c r="Y42" i="24"/>
  <c r="Y150" i="24"/>
  <c r="Y148" i="24" s="1"/>
  <c r="L43" i="12"/>
  <c r="Z149" i="23" a="1"/>
  <c r="Z82" i="23" l="1"/>
  <c r="Z45" i="23" s="1"/>
  <c r="Z43" i="23" s="1"/>
  <c r="Z149" i="23"/>
  <c r="Z36" i="24"/>
  <c r="Z20" i="24" s="1"/>
  <c r="L138" i="12"/>
  <c r="L137" i="12" s="1"/>
  <c r="L42" i="12"/>
  <c r="L150" i="12" a="1"/>
  <c r="AA83" i="23" l="1"/>
  <c r="Z40" i="24"/>
  <c r="Z41" i="24"/>
  <c r="Z138" i="23"/>
  <c r="Z137" i="23" s="1"/>
  <c r="Z42" i="23"/>
  <c r="L150" i="12"/>
  <c r="L148" i="12" s="1"/>
  <c r="Z150" i="23" a="1"/>
  <c r="Z84" i="24" l="1"/>
  <c r="Z85" i="24" s="1"/>
  <c r="Z92" i="24" s="1"/>
  <c r="Z90" i="24" s="1"/>
  <c r="Z150" i="23"/>
  <c r="Z148" i="23" s="1"/>
  <c r="M36" i="12"/>
  <c r="M20" i="12" s="1"/>
  <c r="M41" i="12" s="1"/>
  <c r="Z149" i="24" a="1"/>
  <c r="Z149" i="24" l="1"/>
  <c r="Z82" i="24"/>
  <c r="Z45" i="24" s="1"/>
  <c r="AA36" i="23"/>
  <c r="AA20" i="23" s="1"/>
  <c r="M40" i="12"/>
  <c r="M84" i="12" s="1"/>
  <c r="M85" i="12" s="1"/>
  <c r="M92" i="12" s="1"/>
  <c r="M90" i="12" s="1"/>
  <c r="M149" i="12" a="1"/>
  <c r="AA41" i="23" l="1"/>
  <c r="AA40" i="23"/>
  <c r="AA83" i="24"/>
  <c r="Z43" i="24"/>
  <c r="M149" i="12"/>
  <c r="M82" i="12"/>
  <c r="M45" i="12" s="1"/>
  <c r="M43" i="12" s="1"/>
  <c r="Z138" i="24" l="1"/>
  <c r="Z137" i="24" s="1"/>
  <c r="Z42" i="24"/>
  <c r="AA84" i="23"/>
  <c r="N83" i="12"/>
  <c r="M138" i="12"/>
  <c r="M137" i="12" s="1"/>
  <c r="M42" i="12"/>
  <c r="Z150" i="24" a="1"/>
  <c r="M150" i="12" a="1"/>
  <c r="Z150" i="24" l="1"/>
  <c r="Z148" i="24" s="1"/>
  <c r="AA85" i="23"/>
  <c r="AA92" i="23" s="1"/>
  <c r="AA90" i="23" s="1"/>
  <c r="M150" i="12"/>
  <c r="M148" i="12" s="1"/>
  <c r="AA149" i="23" a="1"/>
  <c r="AA149" i="23" l="1"/>
  <c r="AA82" i="23"/>
  <c r="AA45" i="23" s="1"/>
  <c r="AA36" i="24"/>
  <c r="AA20" i="24" s="1"/>
  <c r="N36" i="12"/>
  <c r="N20" i="12" s="1"/>
  <c r="N41" i="12" s="1"/>
  <c r="AA40" i="24" l="1"/>
  <c r="AA41" i="24"/>
  <c r="AA43" i="23"/>
  <c r="AB83" i="23"/>
  <c r="N40" i="12"/>
  <c r="N84" i="12" s="1"/>
  <c r="N85" i="12" s="1"/>
  <c r="N92" i="12" s="1"/>
  <c r="N90" i="12" s="1"/>
  <c r="N149" i="12" a="1"/>
  <c r="AA84" i="24" l="1"/>
  <c r="AA85" i="24" s="1"/>
  <c r="AA138" i="23"/>
  <c r="AA137" i="23" s="1"/>
  <c r="AA42" i="23"/>
  <c r="N82" i="12"/>
  <c r="N45" i="12" s="1"/>
  <c r="N43" i="12" s="1"/>
  <c r="N149" i="12"/>
  <c r="AA150" i="23" a="1"/>
  <c r="AA92" i="24" l="1"/>
  <c r="AA90" i="24" s="1"/>
  <c r="AA82" i="24"/>
  <c r="AA45" i="24" s="1"/>
  <c r="AA43" i="24" s="1"/>
  <c r="AA150" i="23"/>
  <c r="AA148" i="23" s="1"/>
  <c r="O83" i="12"/>
  <c r="N42" i="12"/>
  <c r="N138" i="12"/>
  <c r="N137" i="12" s="1"/>
  <c r="AA149" i="24" a="1"/>
  <c r="N150" i="12" a="1"/>
  <c r="AA149" i="24" l="1"/>
  <c r="AB83" i="24"/>
  <c r="AA138" i="24"/>
  <c r="AA137" i="24" s="1"/>
  <c r="AA42" i="24"/>
  <c r="AB36" i="23"/>
  <c r="AB20" i="23" s="1"/>
  <c r="N150" i="12"/>
  <c r="AA150" i="24" a="1"/>
  <c r="AA150" i="24" l="1"/>
  <c r="AA148" i="24" s="1"/>
  <c r="AB41" i="23"/>
  <c r="AB40" i="23"/>
  <c r="N148" i="12"/>
  <c r="AB84" i="23" l="1"/>
  <c r="AB85" i="23" s="1"/>
  <c r="AB92" i="23" s="1"/>
  <c r="AB90" i="23" s="1"/>
  <c r="AB36" i="24"/>
  <c r="AB20" i="24" s="1"/>
  <c r="O36" i="12"/>
  <c r="O20" i="12" s="1"/>
  <c r="O40" i="12" s="1"/>
  <c r="B8" i="18" a="1"/>
  <c r="AB149" i="23" a="1"/>
  <c r="AB149" i="23" l="1"/>
  <c r="AB40" i="24"/>
  <c r="AB41" i="24"/>
  <c r="AB82" i="23"/>
  <c r="AB45" i="23" s="1"/>
  <c r="O41" i="12"/>
  <c r="O84" i="12" s="1"/>
  <c r="O85" i="12" s="1"/>
  <c r="O92" i="12" s="1"/>
  <c r="O90" i="12" s="1"/>
  <c r="C20" i="18"/>
  <c r="D20" i="18"/>
  <c r="E20" i="18"/>
  <c r="F20" i="18"/>
  <c r="I20" i="18"/>
  <c r="G20" i="18"/>
  <c r="H20" i="18"/>
  <c r="J20" i="18"/>
  <c r="B8" i="18"/>
  <c r="H21" i="18" a="1"/>
  <c r="J21" i="18" a="1"/>
  <c r="G21" i="18" a="1"/>
  <c r="I21" i="18" a="1"/>
  <c r="E21" i="18" a="1"/>
  <c r="C21" i="18" a="1"/>
  <c r="D21" i="18" a="1"/>
  <c r="O149" i="12" a="1"/>
  <c r="F21" i="18" a="1"/>
  <c r="AB84" i="24" l="1"/>
  <c r="AB85" i="24" s="1"/>
  <c r="AB92" i="24" s="1"/>
  <c r="AB90" i="24" s="1"/>
  <c r="AB43" i="23"/>
  <c r="AC83" i="23"/>
  <c r="O82" i="12"/>
  <c r="O45" i="12" s="1"/>
  <c r="P83" i="12" s="1"/>
  <c r="O149" i="12"/>
  <c r="G21" i="18"/>
  <c r="F21" i="18"/>
  <c r="E21" i="18"/>
  <c r="D21" i="18"/>
  <c r="I21" i="18"/>
  <c r="H21" i="18"/>
  <c r="J21" i="18"/>
  <c r="C21" i="18"/>
  <c r="B20" i="18"/>
  <c r="B21" i="18" a="1"/>
  <c r="AB149" i="24" a="1"/>
  <c r="AB82" i="24" l="1"/>
  <c r="AB45" i="24" s="1"/>
  <c r="AC83" i="24" s="1"/>
  <c r="AB149" i="24"/>
  <c r="AB138" i="23"/>
  <c r="AB137" i="23" s="1"/>
  <c r="AB42" i="23"/>
  <c r="O43" i="12"/>
  <c r="B21" i="18"/>
  <c r="B9" i="18" a="1"/>
  <c r="AB150" i="23" a="1"/>
  <c r="AB43" i="24" l="1"/>
  <c r="AB138" i="24" s="1"/>
  <c r="AB137" i="24" s="1"/>
  <c r="AB150" i="23"/>
  <c r="AB148" i="23" s="1"/>
  <c r="O42" i="12"/>
  <c r="O138" i="12"/>
  <c r="O137" i="12" s="1"/>
  <c r="C23" i="18"/>
  <c r="F23" i="18"/>
  <c r="G23" i="18"/>
  <c r="I23" i="18"/>
  <c r="D23" i="18"/>
  <c r="H23" i="18"/>
  <c r="J23" i="18"/>
  <c r="E23" i="18"/>
  <c r="B9" i="18"/>
  <c r="B23" i="18" s="1"/>
  <c r="AB150" i="24" a="1"/>
  <c r="O150" i="12" a="1"/>
  <c r="AB42" i="24" l="1"/>
  <c r="AB150" i="24"/>
  <c r="AB148" i="24" s="1"/>
  <c r="AC36" i="23"/>
  <c r="AC20" i="23" s="1"/>
  <c r="O150" i="12"/>
  <c r="O148" i="12" s="1"/>
  <c r="G24" i="18" a="1"/>
  <c r="C24" i="18" a="1"/>
  <c r="F24" i="18" a="1"/>
  <c r="H24" i="18" a="1"/>
  <c r="I24" i="18" a="1"/>
  <c r="J24" i="18" a="1"/>
  <c r="E24" i="18" a="1"/>
  <c r="D24" i="18" a="1"/>
  <c r="AC41" i="23" l="1"/>
  <c r="AC40" i="23"/>
  <c r="AC36" i="24"/>
  <c r="AC20" i="24" s="1"/>
  <c r="P36" i="12"/>
  <c r="P20" i="12" s="1"/>
  <c r="P41" i="12" s="1"/>
  <c r="J24" i="18"/>
  <c r="J19" i="18" s="1"/>
  <c r="J28" i="18" s="1"/>
  <c r="F24" i="18"/>
  <c r="F19" i="18" s="1"/>
  <c r="F28" i="18" s="1"/>
  <c r="I24" i="18"/>
  <c r="I19" i="18" s="1"/>
  <c r="I28" i="18" s="1"/>
  <c r="E24" i="18"/>
  <c r="E19" i="18" s="1"/>
  <c r="E28" i="18" s="1"/>
  <c r="H24" i="18"/>
  <c r="H19" i="18" s="1"/>
  <c r="H28" i="18" s="1"/>
  <c r="D24" i="18"/>
  <c r="D19" i="18" s="1"/>
  <c r="D28" i="18" s="1"/>
  <c r="G24" i="18"/>
  <c r="G19" i="18" s="1"/>
  <c r="G28" i="18" s="1"/>
  <c r="C24" i="18"/>
  <c r="C19" i="18" s="1"/>
  <c r="C28" i="18" s="1"/>
  <c r="B24" i="18" a="1"/>
  <c r="AC84" i="23" l="1"/>
  <c r="AC85" i="23" s="1"/>
  <c r="AC92" i="23" s="1"/>
  <c r="AC90" i="23" s="1"/>
  <c r="AC40" i="24"/>
  <c r="AC41" i="24"/>
  <c r="P40" i="12"/>
  <c r="P84" i="12" s="1"/>
  <c r="P85" i="12" s="1"/>
  <c r="P92" i="12" s="1"/>
  <c r="P90" i="12" s="1"/>
  <c r="B24" i="18"/>
  <c r="B19" i="18" s="1"/>
  <c r="B28" i="18" s="1"/>
  <c r="B30" i="18" s="1"/>
  <c r="P149" i="12" a="1"/>
  <c r="AC149" i="23" a="1"/>
  <c r="AC149" i="23" l="1"/>
  <c r="AC82" i="23"/>
  <c r="AC45" i="23" s="1"/>
  <c r="AC84" i="24"/>
  <c r="P149" i="12"/>
  <c r="P82" i="12"/>
  <c r="P45" i="12" s="1"/>
  <c r="Q83" i="12" s="1"/>
  <c r="B29" i="18"/>
  <c r="AC85" i="24" l="1"/>
  <c r="AC92" i="24" s="1"/>
  <c r="AC90" i="24" s="1"/>
  <c r="AD83" i="23"/>
  <c r="AC43" i="23"/>
  <c r="P43" i="12"/>
  <c r="AC149" i="24" a="1"/>
  <c r="AC149" i="24" l="1"/>
  <c r="AC138" i="23"/>
  <c r="AC137" i="23" s="1"/>
  <c r="AC42" i="23"/>
  <c r="AC82" i="24"/>
  <c r="AC45" i="24" s="1"/>
  <c r="P138" i="12"/>
  <c r="P137" i="12" s="1"/>
  <c r="P42" i="12"/>
  <c r="P150" i="12" a="1"/>
  <c r="AC150" i="23" a="1"/>
  <c r="AC150" i="23" l="1"/>
  <c r="AC148" i="23" s="1"/>
  <c r="AC43" i="24"/>
  <c r="AD83" i="24"/>
  <c r="P150" i="12"/>
  <c r="P148" i="12" s="1"/>
  <c r="AC138" i="24" l="1"/>
  <c r="AC137" i="24" s="1"/>
  <c r="AC42" i="24"/>
  <c r="AD36" i="23"/>
  <c r="AD20" i="23" s="1"/>
  <c r="Q36" i="12"/>
  <c r="Q20" i="12" s="1"/>
  <c r="AC150" i="24" a="1"/>
  <c r="AC150" i="24" l="1"/>
  <c r="AC148" i="24" s="1"/>
  <c r="AD41" i="23"/>
  <c r="AD40" i="23"/>
  <c r="Q41" i="12"/>
  <c r="Q40" i="12"/>
  <c r="AD84" i="23" l="1"/>
  <c r="AD85" i="23" s="1"/>
  <c r="AD36" i="24"/>
  <c r="AD20" i="24" s="1"/>
  <c r="Q84" i="12"/>
  <c r="Q85" i="12" s="1"/>
  <c r="Q92" i="12" s="1"/>
  <c r="Q90" i="12" s="1"/>
  <c r="Q149" i="12" a="1"/>
  <c r="AD92" i="23" l="1"/>
  <c r="AD90" i="23" s="1"/>
  <c r="AD82" i="23"/>
  <c r="AD45" i="23" s="1"/>
  <c r="AE83" i="23" s="1"/>
  <c r="AD40" i="24"/>
  <c r="AD41" i="24"/>
  <c r="Q82" i="12"/>
  <c r="Q45" i="12" s="1"/>
  <c r="R83" i="12" s="1"/>
  <c r="Q149" i="12"/>
  <c r="AD149" i="23" a="1"/>
  <c r="AD43" i="23" l="1"/>
  <c r="AD138" i="23" s="1"/>
  <c r="AD137" i="23" s="1"/>
  <c r="AD149" i="23"/>
  <c r="AD84" i="24"/>
  <c r="Q43" i="12"/>
  <c r="Q42" i="12" s="1"/>
  <c r="AD150" i="23" a="1"/>
  <c r="AD42" i="23" l="1"/>
  <c r="AD150" i="23"/>
  <c r="AD148" i="23" s="1"/>
  <c r="AD85" i="24"/>
  <c r="AD92" i="24" s="1"/>
  <c r="AD90" i="24" s="1"/>
  <c r="Q138" i="12"/>
  <c r="Q137" i="12" s="1"/>
  <c r="Q150" i="12" a="1"/>
  <c r="AD149" i="24" a="1"/>
  <c r="AD82" i="24" l="1"/>
  <c r="AD45" i="24" s="1"/>
  <c r="AD43" i="24" s="1"/>
  <c r="AD149" i="24"/>
  <c r="AE36" i="23"/>
  <c r="AE20" i="23" s="1"/>
  <c r="Q150" i="12"/>
  <c r="Q148" i="12" s="1"/>
  <c r="R36" i="12" s="1"/>
  <c r="R20" i="12" s="1"/>
  <c r="R40" i="12" s="1"/>
  <c r="AE83" i="24" l="1"/>
  <c r="AE40" i="23"/>
  <c r="AE41" i="23"/>
  <c r="AD42" i="24"/>
  <c r="AD138" i="24"/>
  <c r="AD137" i="24" s="1"/>
  <c r="R41" i="12"/>
  <c r="R84" i="12" s="1"/>
  <c r="AD150" i="24" a="1"/>
  <c r="AE84" i="23" l="1"/>
  <c r="AE85" i="23" s="1"/>
  <c r="AE92" i="23" s="1"/>
  <c r="AE90" i="23" s="1"/>
  <c r="AD150" i="24"/>
  <c r="AD148" i="24" s="1"/>
  <c r="R85" i="12"/>
  <c r="R92" i="12" s="1"/>
  <c r="R90" i="12" s="1"/>
  <c r="AE149" i="23" a="1"/>
  <c r="R149" i="12" a="1"/>
  <c r="AE82" i="23" l="1"/>
  <c r="AE45" i="23" s="1"/>
  <c r="AF83" i="23" s="1"/>
  <c r="AE149" i="23"/>
  <c r="AE36" i="24"/>
  <c r="AE20" i="24" s="1"/>
  <c r="R82" i="12"/>
  <c r="R45" i="12" s="1"/>
  <c r="S83" i="12" s="1"/>
  <c r="R149" i="12"/>
  <c r="AE43" i="23" l="1"/>
  <c r="AE42" i="23" s="1"/>
  <c r="AE40" i="24"/>
  <c r="AE41" i="24"/>
  <c r="R43" i="12"/>
  <c r="AE138" i="23" l="1"/>
  <c r="AE137" i="23" s="1"/>
  <c r="AE84" i="24"/>
  <c r="AE85" i="24" s="1"/>
  <c r="AE92" i="24" s="1"/>
  <c r="AE90" i="24" s="1"/>
  <c r="R42" i="12"/>
  <c r="R138" i="12"/>
  <c r="R137" i="12" s="1"/>
  <c r="R150" i="12" a="1"/>
  <c r="AE150" i="23" a="1"/>
  <c r="AE149" i="24" a="1"/>
  <c r="AE150" i="23" l="1"/>
  <c r="AE148" i="23" s="1"/>
  <c r="AF36" i="23" s="1"/>
  <c r="AF20" i="23" s="1"/>
  <c r="AE82" i="24"/>
  <c r="AE45" i="24" s="1"/>
  <c r="AE43" i="24" s="1"/>
  <c r="AE149" i="24"/>
  <c r="R150" i="12"/>
  <c r="R148" i="12" s="1"/>
  <c r="AF83" i="24" l="1"/>
  <c r="AF41" i="23"/>
  <c r="AF40" i="23"/>
  <c r="AE42" i="24"/>
  <c r="AE138" i="24"/>
  <c r="AE137" i="24" s="1"/>
  <c r="S36" i="12"/>
  <c r="S20" i="12" s="1"/>
  <c r="S40" i="12" s="1"/>
  <c r="AE150" i="24" a="1"/>
  <c r="AF84" i="23" l="1"/>
  <c r="AF85" i="23" s="1"/>
  <c r="AF92" i="23" s="1"/>
  <c r="AF90" i="23" s="1"/>
  <c r="AE150" i="24"/>
  <c r="AE148" i="24" s="1"/>
  <c r="S41" i="12"/>
  <c r="S84" i="12" s="1"/>
  <c r="AF149" i="23" a="1"/>
  <c r="AF82" i="23" l="1"/>
  <c r="AF45" i="23" s="1"/>
  <c r="AG83" i="23" s="1"/>
  <c r="AF149" i="23"/>
  <c r="AF36" i="24"/>
  <c r="AF20" i="24" s="1"/>
  <c r="S85" i="12"/>
  <c r="S92" i="12" s="1"/>
  <c r="S90" i="12" s="1"/>
  <c r="S149" i="12" a="1"/>
  <c r="AF43" i="23" l="1"/>
  <c r="AF138" i="23" s="1"/>
  <c r="AF137" i="23" s="1"/>
  <c r="AF40" i="24"/>
  <c r="AF41" i="24"/>
  <c r="S82" i="12"/>
  <c r="S45" i="12" s="1"/>
  <c r="S43" i="12" s="1"/>
  <c r="S149" i="12"/>
  <c r="AF150" i="23" a="1"/>
  <c r="AF42" i="23" l="1"/>
  <c r="AF84" i="24"/>
  <c r="AF85" i="24" s="1"/>
  <c r="AF92" i="24" s="1"/>
  <c r="AF90" i="24" s="1"/>
  <c r="AF150" i="23"/>
  <c r="AF148" i="23" s="1"/>
  <c r="T83" i="12"/>
  <c r="S42" i="12"/>
  <c r="S138" i="12"/>
  <c r="S137" i="12" s="1"/>
  <c r="AF149" i="24" a="1"/>
  <c r="S150" i="12" a="1"/>
  <c r="AF82" i="24" l="1"/>
  <c r="AF45" i="24" s="1"/>
  <c r="AF43" i="24" s="1"/>
  <c r="AF149" i="24"/>
  <c r="AG36" i="23"/>
  <c r="AG20" i="23" s="1"/>
  <c r="S150" i="12"/>
  <c r="AG83" i="24" l="1"/>
  <c r="AG40" i="23"/>
  <c r="AG41" i="23"/>
  <c r="AF138" i="24"/>
  <c r="AF137" i="24" s="1"/>
  <c r="AF42" i="24"/>
  <c r="S148" i="12"/>
  <c r="AF150" i="24" a="1"/>
  <c r="AF150" i="24" l="1"/>
  <c r="AF148" i="24" s="1"/>
  <c r="AG84" i="23"/>
  <c r="T36" i="12"/>
  <c r="T20" i="12" s="1"/>
  <c r="T40" i="12" s="1"/>
  <c r="AG85" i="23" l="1"/>
  <c r="AG92" i="23" s="1"/>
  <c r="AG90" i="23" s="1"/>
  <c r="AG36" i="24"/>
  <c r="AG20" i="24" s="1"/>
  <c r="T41" i="12"/>
  <c r="T84" i="12" s="1"/>
  <c r="T85" i="12" s="1"/>
  <c r="T92" i="12" s="1"/>
  <c r="T90" i="12" s="1"/>
  <c r="AG149" i="23" a="1"/>
  <c r="T149" i="12" a="1"/>
  <c r="AG149" i="23" l="1"/>
  <c r="AG41" i="24"/>
  <c r="AG40" i="24"/>
  <c r="AG82" i="23"/>
  <c r="AG45" i="23" s="1"/>
  <c r="T149" i="12"/>
  <c r="T82" i="12"/>
  <c r="T45" i="12" s="1"/>
  <c r="AG84" i="24" l="1"/>
  <c r="AG85" i="24" s="1"/>
  <c r="AG92" i="24" s="1"/>
  <c r="AG90" i="24" s="1"/>
  <c r="AG43" i="23"/>
  <c r="AH83" i="23"/>
  <c r="U83" i="12"/>
  <c r="T43" i="12"/>
  <c r="AG149" i="24" a="1"/>
  <c r="AG82" i="24" l="1"/>
  <c r="AG45" i="24" s="1"/>
  <c r="AH83" i="24" s="1"/>
  <c r="AG149" i="24"/>
  <c r="AG138" i="23"/>
  <c r="AG137" i="23" s="1"/>
  <c r="AG42" i="23"/>
  <c r="T138" i="12"/>
  <c r="T137" i="12" s="1"/>
  <c r="T42" i="12"/>
  <c r="AG150" i="23" a="1"/>
  <c r="T150" i="12" a="1"/>
  <c r="AG43" i="24" l="1"/>
  <c r="AG138" i="24" s="1"/>
  <c r="AG137" i="24" s="1"/>
  <c r="AG150" i="23"/>
  <c r="AG148" i="23" s="1"/>
  <c r="T150" i="12"/>
  <c r="AG150" i="24" a="1"/>
  <c r="AG42" i="24" l="1"/>
  <c r="AG150" i="24"/>
  <c r="AG148" i="24" s="1"/>
  <c r="AH36" i="23"/>
  <c r="AH20" i="23" s="1"/>
  <c r="T148" i="12"/>
  <c r="AH40" i="23" l="1"/>
  <c r="AH41" i="23"/>
  <c r="AH36" i="24"/>
  <c r="AH20" i="24" s="1"/>
  <c r="U36" i="12"/>
  <c r="U20" i="12" s="1"/>
  <c r="U41" i="12" s="1"/>
  <c r="AH84" i="23" l="1"/>
  <c r="AH85" i="23" s="1"/>
  <c r="AH92" i="23" s="1"/>
  <c r="AH90" i="23" s="1"/>
  <c r="AH41" i="24"/>
  <c r="AH40" i="24"/>
  <c r="U40" i="12"/>
  <c r="U84" i="12" s="1"/>
  <c r="U85" i="12" s="1"/>
  <c r="U92" i="12" s="1"/>
  <c r="U90" i="12" s="1"/>
  <c r="AH149" i="23" a="1"/>
  <c r="U149" i="12" a="1"/>
  <c r="AH84" i="24" l="1"/>
  <c r="AH149" i="23"/>
  <c r="AH82" i="23"/>
  <c r="AH45" i="23" s="1"/>
  <c r="U82" i="12"/>
  <c r="U45" i="12" s="1"/>
  <c r="V83" i="12" s="1"/>
  <c r="U149" i="12"/>
  <c r="AH85" i="24" l="1"/>
  <c r="AH92" i="24" s="1"/>
  <c r="AH90" i="24" s="1"/>
  <c r="AI83" i="23"/>
  <c r="AH43" i="23"/>
  <c r="U43" i="12"/>
  <c r="AH149" i="24" a="1"/>
  <c r="AH149" i="24" l="1"/>
  <c r="AH82" i="24"/>
  <c r="AH45" i="24" s="1"/>
  <c r="AH138" i="23"/>
  <c r="AH137" i="23" s="1"/>
  <c r="AH42" i="23"/>
  <c r="U138" i="12"/>
  <c r="U137" i="12" s="1"/>
  <c r="U42" i="12"/>
  <c r="U150" i="12" a="1"/>
  <c r="AH150" i="23" a="1"/>
  <c r="AI83" i="24" l="1"/>
  <c r="AH43" i="24"/>
  <c r="AH150" i="23"/>
  <c r="AH148" i="23" s="1"/>
  <c r="U150" i="12"/>
  <c r="U148" i="12" s="1"/>
  <c r="AH138" i="24" l="1"/>
  <c r="AH137" i="24" s="1"/>
  <c r="AH42" i="24"/>
  <c r="AI36" i="23"/>
  <c r="AI20" i="23" s="1"/>
  <c r="V36" i="12"/>
  <c r="V20" i="12" s="1"/>
  <c r="V41" i="12" s="1"/>
  <c r="AH150" i="24" a="1"/>
  <c r="AH150" i="24" l="1"/>
  <c r="AH148" i="24" s="1"/>
  <c r="AI36" i="24" s="1"/>
  <c r="AI20" i="24" s="1"/>
  <c r="AI41" i="24" s="1"/>
  <c r="AI40" i="23"/>
  <c r="AI41" i="23"/>
  <c r="V40" i="12"/>
  <c r="V84" i="12" s="1"/>
  <c r="V85" i="12" s="1"/>
  <c r="V92" i="12" s="1"/>
  <c r="V90" i="12" s="1"/>
  <c r="V149" i="12" a="1"/>
  <c r="AI40" i="24" l="1"/>
  <c r="AI84" i="24" s="1"/>
  <c r="AI84" i="23"/>
  <c r="AI85" i="23" s="1"/>
  <c r="AI92" i="23" s="1"/>
  <c r="AI90" i="23" s="1"/>
  <c r="V82" i="12"/>
  <c r="V45" i="12" s="1"/>
  <c r="W83" i="12" s="1"/>
  <c r="V149" i="12"/>
  <c r="AI149" i="23" a="1"/>
  <c r="AI149" i="23" l="1"/>
  <c r="AI85" i="24"/>
  <c r="AI92" i="24" s="1"/>
  <c r="AI90" i="24" s="1"/>
  <c r="AI82" i="23"/>
  <c r="AI45" i="23" s="1"/>
  <c r="V43" i="12"/>
  <c r="AI149" i="24" a="1"/>
  <c r="AI82" i="24" l="1"/>
  <c r="AI45" i="24" s="1"/>
  <c r="AJ83" i="24" s="1"/>
  <c r="AI149" i="24"/>
  <c r="AJ83" i="23"/>
  <c r="AI43" i="23"/>
  <c r="V42" i="12"/>
  <c r="V138" i="12"/>
  <c r="V137" i="12" s="1"/>
  <c r="V150" i="12" a="1"/>
  <c r="AI43" i="24" l="1"/>
  <c r="AI138" i="24" s="1"/>
  <c r="AI137" i="24" s="1"/>
  <c r="AI42" i="23"/>
  <c r="AI138" i="23"/>
  <c r="AI137" i="23" s="1"/>
  <c r="V150" i="12"/>
  <c r="V148" i="12" s="1"/>
  <c r="AI150" i="23" a="1"/>
  <c r="AI150" i="24" a="1"/>
  <c r="AI42" i="24" l="1"/>
  <c r="AI150" i="24"/>
  <c r="AI148" i="24" s="1"/>
  <c r="AI150" i="23"/>
  <c r="AI148" i="23" s="1"/>
  <c r="W36" i="12"/>
  <c r="W20" i="12" s="1"/>
  <c r="W40" i="12" s="1"/>
  <c r="AJ36" i="23" l="1"/>
  <c r="AJ20" i="23" s="1"/>
  <c r="AJ36" i="24"/>
  <c r="AJ20" i="24" s="1"/>
  <c r="W41" i="12"/>
  <c r="W84" i="12" s="1"/>
  <c r="AJ40" i="24" l="1"/>
  <c r="AJ41" i="24"/>
  <c r="AJ41" i="23"/>
  <c r="AJ40" i="23"/>
  <c r="W85" i="12"/>
  <c r="W92" i="12" s="1"/>
  <c r="W90" i="12" s="1"/>
  <c r="W149" i="12" a="1"/>
  <c r="AJ84" i="23" l="1"/>
  <c r="AJ85" i="23" s="1"/>
  <c r="AJ92" i="23" s="1"/>
  <c r="AJ90" i="23" s="1"/>
  <c r="AJ84" i="24"/>
  <c r="W82" i="12"/>
  <c r="W45" i="12" s="1"/>
  <c r="W43" i="12" s="1"/>
  <c r="W149" i="12"/>
  <c r="AJ149" i="23" a="1"/>
  <c r="AJ149" i="23" l="1"/>
  <c r="AJ85" i="24"/>
  <c r="AJ92" i="24" s="1"/>
  <c r="AJ90" i="24" s="1"/>
  <c r="AJ82" i="23"/>
  <c r="AJ45" i="23" s="1"/>
  <c r="X83" i="12"/>
  <c r="W42" i="12"/>
  <c r="W138" i="12"/>
  <c r="W137" i="12" s="1"/>
  <c r="W150" i="12" a="1"/>
  <c r="AJ149" i="24" a="1"/>
  <c r="AJ82" i="24" l="1"/>
  <c r="AJ45" i="24" s="1"/>
  <c r="AK83" i="24" s="1"/>
  <c r="AJ149" i="24"/>
  <c r="AK83" i="23"/>
  <c r="AJ43" i="23"/>
  <c r="W150" i="12"/>
  <c r="AJ43" i="24" l="1"/>
  <c r="AJ138" i="24" s="1"/>
  <c r="AJ137" i="24" s="1"/>
  <c r="AJ42" i="23"/>
  <c r="AJ138" i="23"/>
  <c r="AJ137" i="23" s="1"/>
  <c r="W148" i="12"/>
  <c r="AJ150" i="23" a="1"/>
  <c r="AJ150" i="24" a="1"/>
  <c r="AJ42" i="24" l="1"/>
  <c r="AJ150" i="24"/>
  <c r="AJ148" i="24" s="1"/>
  <c r="AJ150" i="23"/>
  <c r="AJ148" i="23" s="1"/>
  <c r="X36" i="12"/>
  <c r="X20" i="12" s="1"/>
  <c r="X41" i="12" s="1"/>
  <c r="AK36" i="23" l="1"/>
  <c r="AK20" i="23" s="1"/>
  <c r="AK36" i="24"/>
  <c r="AK20" i="24" s="1"/>
  <c r="X40" i="12"/>
  <c r="X84" i="12" s="1"/>
  <c r="X85" i="12" s="1"/>
  <c r="X92" i="12" s="1"/>
  <c r="X90" i="12" s="1"/>
  <c r="X149" i="12" a="1"/>
  <c r="AK40" i="24" l="1"/>
  <c r="AK41" i="24"/>
  <c r="AK40" i="23"/>
  <c r="AK41" i="23"/>
  <c r="X82" i="12"/>
  <c r="X45" i="12" s="1"/>
  <c r="Y83" i="12" s="1"/>
  <c r="X149" i="12"/>
  <c r="AK84" i="24" l="1"/>
  <c r="AK85" i="24" s="1"/>
  <c r="AK92" i="24" s="1"/>
  <c r="AK90" i="24" s="1"/>
  <c r="AK84" i="23"/>
  <c r="X43" i="12"/>
  <c r="AK149" i="24" a="1"/>
  <c r="AK82" i="24" l="1"/>
  <c r="AK45" i="24" s="1"/>
  <c r="AK43" i="24" s="1"/>
  <c r="AK149" i="24"/>
  <c r="AK85" i="23"/>
  <c r="AK92" i="23" s="1"/>
  <c r="AK90" i="23" s="1"/>
  <c r="X42" i="12"/>
  <c r="X138" i="12"/>
  <c r="X137" i="12" s="1"/>
  <c r="AK149" i="23" a="1"/>
  <c r="X150" i="12" a="1"/>
  <c r="AL83" i="24" l="1"/>
  <c r="AK82" i="23"/>
  <c r="AK45" i="23" s="1"/>
  <c r="AL83" i="23" s="1"/>
  <c r="AK149" i="23"/>
  <c r="AK42" i="24"/>
  <c r="AK138" i="24"/>
  <c r="AK137" i="24" s="1"/>
  <c r="X150" i="12"/>
  <c r="X148" i="12" s="1"/>
  <c r="AK150" i="24" a="1"/>
  <c r="AK43" i="23" l="1"/>
  <c r="AK42" i="23" s="1"/>
  <c r="AK150" i="24"/>
  <c r="AK148" i="24" s="1"/>
  <c r="Y36" i="12"/>
  <c r="Y20" i="12" s="1"/>
  <c r="Y41" i="12" s="1"/>
  <c r="AK138" i="23" l="1"/>
  <c r="AK137" i="23" s="1"/>
  <c r="AL36" i="24"/>
  <c r="AL20" i="24" s="1"/>
  <c r="Y40" i="12"/>
  <c r="Y84" i="12" s="1"/>
  <c r="Y85" i="12" s="1"/>
  <c r="Y92" i="12" s="1"/>
  <c r="Y90" i="12" s="1"/>
  <c r="Y149" i="12" a="1"/>
  <c r="AK150" i="23" a="1"/>
  <c r="AK150" i="23" l="1"/>
  <c r="AK148" i="23" s="1"/>
  <c r="AL36" i="23" s="1"/>
  <c r="AL20" i="23" s="1"/>
  <c r="AL40" i="24"/>
  <c r="AL41" i="24"/>
  <c r="Y82" i="12"/>
  <c r="Y45" i="12" s="1"/>
  <c r="Y43" i="12" s="1"/>
  <c r="Y149" i="12"/>
  <c r="AL84" i="24" l="1"/>
  <c r="AL85" i="24" s="1"/>
  <c r="AL92" i="24" s="1"/>
  <c r="AL90" i="24" s="1"/>
  <c r="AL40" i="23"/>
  <c r="AL41" i="23"/>
  <c r="Z83" i="12"/>
  <c r="Y42" i="12"/>
  <c r="Y138" i="12"/>
  <c r="Y137" i="12" s="1"/>
  <c r="AL149" i="24" a="1"/>
  <c r="Y150" i="12" a="1"/>
  <c r="AL84" i="23" l="1"/>
  <c r="AL85" i="23" s="1"/>
  <c r="AL92" i="23" s="1"/>
  <c r="AL90" i="23" s="1"/>
  <c r="AL82" i="24"/>
  <c r="AL45" i="24" s="1"/>
  <c r="AM83" i="24" s="1"/>
  <c r="AL149" i="24"/>
  <c r="Y150" i="12"/>
  <c r="AL149" i="23" a="1"/>
  <c r="AL43" i="24" l="1"/>
  <c r="AL42" i="24" s="1"/>
  <c r="AL82" i="23"/>
  <c r="AL45" i="23" s="1"/>
  <c r="AL43" i="23" s="1"/>
  <c r="AL149" i="23"/>
  <c r="Y148" i="12"/>
  <c r="AL138" i="24" l="1"/>
  <c r="AL137" i="24" s="1"/>
  <c r="AM83" i="23"/>
  <c r="AL138" i="23"/>
  <c r="AL137" i="23" s="1"/>
  <c r="AL42" i="23"/>
  <c r="Z36" i="12"/>
  <c r="Z20" i="12" s="1"/>
  <c r="Z41" i="12" s="1"/>
  <c r="AL150" i="23" a="1"/>
  <c r="AL150" i="24" a="1"/>
  <c r="AL150" i="24" l="1"/>
  <c r="AL148" i="24" s="1"/>
  <c r="AM36" i="24" s="1"/>
  <c r="AM20" i="24" s="1"/>
  <c r="AL150" i="23"/>
  <c r="AL148" i="23" s="1"/>
  <c r="Z40" i="12"/>
  <c r="Z84" i="12" s="1"/>
  <c r="Z85" i="12" s="1"/>
  <c r="Z92" i="12" s="1"/>
  <c r="Z90" i="12" s="1"/>
  <c r="Z149" i="12" a="1"/>
  <c r="AM41" i="24" l="1"/>
  <c r="AM40" i="24"/>
  <c r="AM36" i="23"/>
  <c r="AM20" i="23" s="1"/>
  <c r="Z82" i="12"/>
  <c r="Z45" i="12" s="1"/>
  <c r="Z43" i="12" s="1"/>
  <c r="Z149" i="12"/>
  <c r="AM41" i="23" l="1"/>
  <c r="AM40" i="23"/>
  <c r="AM84" i="24"/>
  <c r="AA83" i="12"/>
  <c r="Z138" i="12"/>
  <c r="Z137" i="12" s="1"/>
  <c r="Z42" i="12"/>
  <c r="Z150" i="12" a="1"/>
  <c r="AM84" i="23" l="1"/>
  <c r="AM85" i="23" s="1"/>
  <c r="AM92" i="23" s="1"/>
  <c r="AM90" i="23" s="1"/>
  <c r="AM85" i="24"/>
  <c r="AM92" i="24" s="1"/>
  <c r="AM90" i="24" s="1"/>
  <c r="Z150" i="12"/>
  <c r="AM149" i="23" a="1"/>
  <c r="AM149" i="24" a="1"/>
  <c r="AM149" i="23" l="1"/>
  <c r="AM149" i="24"/>
  <c r="AM82" i="23"/>
  <c r="AM45" i="23" s="1"/>
  <c r="AM82" i="24"/>
  <c r="AM45" i="24" s="1"/>
  <c r="Z148" i="12"/>
  <c r="AN83" i="24" l="1"/>
  <c r="AM43" i="24"/>
  <c r="AM43" i="23"/>
  <c r="AN83" i="23"/>
  <c r="AA36" i="12"/>
  <c r="AA20" i="12" s="1"/>
  <c r="AA40" i="12" s="1"/>
  <c r="Z11" i="22" a="1"/>
  <c r="Z12" i="22" a="1"/>
  <c r="Z11" i="22" l="1"/>
  <c r="Z12" i="22"/>
  <c r="AM138" i="23"/>
  <c r="AM137" i="23" s="1"/>
  <c r="AM42" i="23"/>
  <c r="AM138" i="24"/>
  <c r="AM137" i="24" s="1"/>
  <c r="AM42" i="24"/>
  <c r="AA41" i="12"/>
  <c r="AA84" i="12" s="1"/>
  <c r="AA85" i="12" s="1"/>
  <c r="AA92" i="12" s="1"/>
  <c r="AA90" i="12" s="1"/>
  <c r="AM150" i="24" a="1"/>
  <c r="AA149" i="12" a="1"/>
  <c r="AM150" i="23" a="1"/>
  <c r="AM150" i="24" l="1"/>
  <c r="AM148" i="24" s="1"/>
  <c r="AM150" i="23"/>
  <c r="AM148" i="23" s="1"/>
  <c r="AA149" i="12"/>
  <c r="AA82" i="12"/>
  <c r="AA45" i="12" s="1"/>
  <c r="Z21" i="22" a="1"/>
  <c r="Z20" i="22" a="1"/>
  <c r="Z20" i="22" l="1"/>
  <c r="Z21" i="22"/>
  <c r="AN36" i="23"/>
  <c r="AN20" i="23" s="1"/>
  <c r="AN36" i="24"/>
  <c r="AN20" i="24" s="1"/>
  <c r="AB83" i="12"/>
  <c r="AA43" i="12"/>
  <c r="AN40" i="24" l="1"/>
  <c r="AN41" i="24"/>
  <c r="AN40" i="23"/>
  <c r="AN41" i="23"/>
  <c r="AA138" i="12"/>
  <c r="AA137" i="12" s="1"/>
  <c r="AA42" i="12"/>
  <c r="AA150" i="12" a="1"/>
  <c r="AN84" i="24" l="1"/>
  <c r="AN85" i="24" s="1"/>
  <c r="AN92" i="24" s="1"/>
  <c r="AN90" i="24" s="1"/>
  <c r="AN84" i="23"/>
  <c r="AA150" i="12"/>
  <c r="AA148" i="12" s="1"/>
  <c r="AN149" i="24" a="1"/>
  <c r="AN149" i="24" l="1"/>
  <c r="AN82" i="24"/>
  <c r="AN45" i="24" s="1"/>
  <c r="AN85" i="23"/>
  <c r="AN92" i="23" s="1"/>
  <c r="AN90" i="23" s="1"/>
  <c r="AB36" i="12"/>
  <c r="AB20" i="12" s="1"/>
  <c r="AB40" i="12" s="1"/>
  <c r="AN149" i="23" a="1"/>
  <c r="AN149" i="23" l="1"/>
  <c r="AN82" i="23"/>
  <c r="AN45" i="23" s="1"/>
  <c r="AN43" i="24"/>
  <c r="AO83" i="24"/>
  <c r="AB41" i="12"/>
  <c r="AB84" i="12" s="1"/>
  <c r="AN138" i="24" l="1"/>
  <c r="AN137" i="24" s="1"/>
  <c r="AN42" i="24"/>
  <c r="AN43" i="23"/>
  <c r="AO83" i="23"/>
  <c r="AB85" i="12"/>
  <c r="AB92" i="12" s="1"/>
  <c r="AB90" i="12" s="1"/>
  <c r="AN150" i="24" a="1"/>
  <c r="AB149" i="12" a="1"/>
  <c r="AN150" i="24" l="1"/>
  <c r="AN148" i="24" s="1"/>
  <c r="AO36" i="24" s="1"/>
  <c r="AO20" i="24" s="1"/>
  <c r="AN138" i="23"/>
  <c r="AN137" i="23" s="1"/>
  <c r="AN42" i="23"/>
  <c r="AB82" i="12"/>
  <c r="AB45" i="12" s="1"/>
  <c r="AB43" i="12" s="1"/>
  <c r="AB149" i="12"/>
  <c r="AN150" i="23" a="1"/>
  <c r="AN150" i="23" l="1"/>
  <c r="AN148" i="23" s="1"/>
  <c r="AO36" i="23" s="1"/>
  <c r="AO20" i="23" s="1"/>
  <c r="AO41" i="24"/>
  <c r="AO40" i="24"/>
  <c r="AC83" i="12"/>
  <c r="AB42" i="12"/>
  <c r="AB138" i="12"/>
  <c r="AB137" i="12" s="1"/>
  <c r="AB150" i="12" a="1"/>
  <c r="AO84" i="24" l="1"/>
  <c r="AO85" i="24" s="1"/>
  <c r="AO92" i="24" s="1"/>
  <c r="AO90" i="24" s="1"/>
  <c r="AO40" i="23"/>
  <c r="AO41" i="23"/>
  <c r="AB150" i="12"/>
  <c r="AB148" i="12" s="1"/>
  <c r="AO149" i="24" a="1"/>
  <c r="AO149" i="24" l="1"/>
  <c r="AO84" i="23"/>
  <c r="AO82" i="24"/>
  <c r="AO45" i="24" s="1"/>
  <c r="AC36" i="12"/>
  <c r="AC20" i="12" s="1"/>
  <c r="AC41" i="12" s="1"/>
  <c r="AP83" i="24" l="1"/>
  <c r="AO43" i="24"/>
  <c r="AO85" i="23"/>
  <c r="AO92" i="23" s="1"/>
  <c r="AO90" i="23" s="1"/>
  <c r="AC40" i="12"/>
  <c r="AC84" i="12" s="1"/>
  <c r="AC85" i="12" s="1"/>
  <c r="AC92" i="12" s="1"/>
  <c r="AC90" i="12" s="1"/>
  <c r="AO149" i="23" a="1"/>
  <c r="AC149" i="12" a="1"/>
  <c r="AO82" i="23" l="1"/>
  <c r="AO45" i="23" s="1"/>
  <c r="AP83" i="23" s="1"/>
  <c r="AO149" i="23"/>
  <c r="AO138" i="24"/>
  <c r="AO137" i="24" s="1"/>
  <c r="AO42" i="24"/>
  <c r="AC82" i="12"/>
  <c r="AC45" i="12" s="1"/>
  <c r="AC43" i="12" s="1"/>
  <c r="AC149" i="12"/>
  <c r="AO150" i="24" a="1"/>
  <c r="AO43" i="23" l="1"/>
  <c r="AO42" i="23" s="1"/>
  <c r="AO150" i="24"/>
  <c r="AO148" i="24" s="1"/>
  <c r="AP36" i="24" s="1"/>
  <c r="AP20" i="24" s="1"/>
  <c r="AD83" i="12"/>
  <c r="AC138" i="12"/>
  <c r="AC137" i="12" s="1"/>
  <c r="AC42" i="12"/>
  <c r="AC150" i="12" a="1"/>
  <c r="AO138" i="23" l="1"/>
  <c r="AO137" i="23" s="1"/>
  <c r="AP40" i="24"/>
  <c r="AP41" i="24"/>
  <c r="AC150" i="12"/>
  <c r="AC148" i="12" s="1"/>
  <c r="AO150" i="23" a="1"/>
  <c r="AO150" i="23" l="1"/>
  <c r="AO148" i="23" s="1"/>
  <c r="AP36" i="23" s="1"/>
  <c r="AP20" i="23" s="1"/>
  <c r="AP40" i="23" s="1"/>
  <c r="AP84" i="24"/>
  <c r="AD36" i="12"/>
  <c r="AD20" i="12" s="1"/>
  <c r="AD40" i="12" s="1"/>
  <c r="AP41" i="23" l="1"/>
  <c r="AP84" i="23" s="1"/>
  <c r="AP85" i="24"/>
  <c r="AP92" i="24" s="1"/>
  <c r="AP90" i="24" s="1"/>
  <c r="AD41" i="12"/>
  <c r="AD84" i="12" s="1"/>
  <c r="AD85" i="12" s="1"/>
  <c r="AD92" i="12" s="1"/>
  <c r="AD90" i="12" s="1"/>
  <c r="AD149" i="12" a="1"/>
  <c r="AP149" i="24" a="1"/>
  <c r="AP149" i="24" l="1"/>
  <c r="AP82" i="24"/>
  <c r="AP45" i="24" s="1"/>
  <c r="AP85" i="23"/>
  <c r="AP92" i="23" s="1"/>
  <c r="AP90" i="23" s="1"/>
  <c r="AD149" i="12"/>
  <c r="AD82" i="12"/>
  <c r="AD45" i="12" s="1"/>
  <c r="AP149" i="23" a="1"/>
  <c r="AP82" i="23" l="1"/>
  <c r="AP45" i="23" s="1"/>
  <c r="AQ83" i="23" s="1"/>
  <c r="AP149" i="23"/>
  <c r="AQ83" i="24"/>
  <c r="AP43" i="24"/>
  <c r="AE83" i="12"/>
  <c r="AD43" i="12"/>
  <c r="AP43" i="23" l="1"/>
  <c r="AP138" i="23" s="1"/>
  <c r="AP137" i="23" s="1"/>
  <c r="AP138" i="24"/>
  <c r="AP137" i="24" s="1"/>
  <c r="AP42" i="24"/>
  <c r="AD42" i="12"/>
  <c r="AD138" i="12"/>
  <c r="AD137" i="12" s="1"/>
  <c r="AP150" i="24" a="1"/>
  <c r="AD150" i="12" a="1"/>
  <c r="AP150" i="23" a="1"/>
  <c r="AP42" i="23" l="1"/>
  <c r="AP150" i="23"/>
  <c r="AP148" i="23" s="1"/>
  <c r="AQ36" i="23" s="1"/>
  <c r="AQ20" i="23" s="1"/>
  <c r="AP150" i="24"/>
  <c r="AP148" i="24" s="1"/>
  <c r="AQ36" i="24" s="1"/>
  <c r="AQ20" i="24" s="1"/>
  <c r="AD150" i="12"/>
  <c r="AQ41" i="24" l="1"/>
  <c r="AQ40" i="24"/>
  <c r="AQ41" i="23"/>
  <c r="AQ40" i="23"/>
  <c r="AD148" i="12"/>
  <c r="AQ84" i="23" l="1"/>
  <c r="AQ85" i="23" s="1"/>
  <c r="AQ92" i="23" s="1"/>
  <c r="AQ90" i="23" s="1"/>
  <c r="AQ84" i="24"/>
  <c r="AE36" i="12"/>
  <c r="AE20" i="12" s="1"/>
  <c r="AE40" i="12" s="1"/>
  <c r="AQ149" i="23" a="1"/>
  <c r="AQ82" i="23" l="1"/>
  <c r="AQ45" i="23" s="1"/>
  <c r="AR83" i="23" s="1"/>
  <c r="AQ149" i="23"/>
  <c r="AQ85" i="24"/>
  <c r="AQ92" i="24" s="1"/>
  <c r="AQ90" i="24" s="1"/>
  <c r="AE41" i="12"/>
  <c r="AE84" i="12" s="1"/>
  <c r="AQ149" i="24" a="1"/>
  <c r="AQ43" i="23" l="1"/>
  <c r="AQ138" i="23" s="1"/>
  <c r="AQ137" i="23" s="1"/>
  <c r="AQ82" i="24"/>
  <c r="AQ45" i="24" s="1"/>
  <c r="AR83" i="24" s="1"/>
  <c r="AQ149" i="24"/>
  <c r="AE85" i="12"/>
  <c r="AE92" i="12" s="1"/>
  <c r="AE90" i="12" s="1"/>
  <c r="AE149" i="12" a="1"/>
  <c r="AQ150" i="23" a="1"/>
  <c r="AQ42" i="23" l="1"/>
  <c r="AQ43" i="24"/>
  <c r="AQ42" i="24" s="1"/>
  <c r="AQ150" i="23"/>
  <c r="AQ148" i="23" s="1"/>
  <c r="AR36" i="23" s="1"/>
  <c r="AR20" i="23" s="1"/>
  <c r="AE82" i="12"/>
  <c r="AE45" i="12" s="1"/>
  <c r="AE43" i="12" s="1"/>
  <c r="AE149" i="12"/>
  <c r="AQ138" i="24" l="1"/>
  <c r="AQ137" i="24" s="1"/>
  <c r="AR41" i="23"/>
  <c r="AR40" i="23"/>
  <c r="AF83" i="12"/>
  <c r="AE42" i="12"/>
  <c r="AE138" i="12"/>
  <c r="AE137" i="12" s="1"/>
  <c r="AQ150" i="24" a="1"/>
  <c r="AE150" i="12" a="1"/>
  <c r="AR84" i="23" l="1"/>
  <c r="AR85" i="23" s="1"/>
  <c r="AR92" i="23" s="1"/>
  <c r="AR90" i="23" s="1"/>
  <c r="AQ150" i="24"/>
  <c r="AQ148" i="24" s="1"/>
  <c r="AR36" i="24" s="1"/>
  <c r="AR20" i="24" s="1"/>
  <c r="AR40" i="24" s="1"/>
  <c r="AE150" i="12"/>
  <c r="AE148" i="12" s="1"/>
  <c r="AR149" i="23" a="1"/>
  <c r="AR41" i="24" l="1"/>
  <c r="AR84" i="24" s="1"/>
  <c r="AR82" i="23"/>
  <c r="AR45" i="23" s="1"/>
  <c r="AS83" i="23" s="1"/>
  <c r="AR149" i="23"/>
  <c r="AF36" i="12"/>
  <c r="AF20" i="12" s="1"/>
  <c r="AF40" i="12" s="1"/>
  <c r="AR43" i="23" l="1"/>
  <c r="AR138" i="23" s="1"/>
  <c r="AR137" i="23" s="1"/>
  <c r="AR85" i="24"/>
  <c r="AR92" i="24" s="1"/>
  <c r="AR90" i="24" s="1"/>
  <c r="AF41" i="12"/>
  <c r="AF84" i="12" s="1"/>
  <c r="AR150" i="23" a="1"/>
  <c r="AR149" i="24" a="1"/>
  <c r="AR42" i="23" l="1"/>
  <c r="AR82" i="24"/>
  <c r="AR45" i="24" s="1"/>
  <c r="AR43" i="24" s="1"/>
  <c r="AR149" i="24"/>
  <c r="AR150" i="23"/>
  <c r="AR148" i="23" s="1"/>
  <c r="AS36" i="23" s="1"/>
  <c r="AS20" i="23" s="1"/>
  <c r="AF85" i="12"/>
  <c r="AF92" i="12" s="1"/>
  <c r="AF90" i="12" s="1"/>
  <c r="AF149" i="12" a="1"/>
  <c r="AS83" i="24" l="1"/>
  <c r="AR138" i="24"/>
  <c r="AR137" i="24" s="1"/>
  <c r="AR42" i="24"/>
  <c r="AS40" i="23"/>
  <c r="AS41" i="23"/>
  <c r="AF82" i="12"/>
  <c r="AF45" i="12" s="1"/>
  <c r="AF43" i="12" s="1"/>
  <c r="AF149" i="12"/>
  <c r="AR150" i="24" a="1"/>
  <c r="AR150" i="24" l="1"/>
  <c r="AR148" i="24" s="1"/>
  <c r="AS36" i="24" s="1"/>
  <c r="AS20" i="24" s="1"/>
  <c r="AS84" i="23"/>
  <c r="AG83" i="12"/>
  <c r="AF42" i="12"/>
  <c r="AF138" i="12"/>
  <c r="AF137" i="12" s="1"/>
  <c r="AF150" i="12" a="1"/>
  <c r="AS85" i="23" l="1"/>
  <c r="AS92" i="23" s="1"/>
  <c r="AS90" i="23" s="1"/>
  <c r="AS41" i="24"/>
  <c r="AS40" i="24"/>
  <c r="AF150" i="12"/>
  <c r="AF148" i="12" s="1"/>
  <c r="AS149" i="23" a="1"/>
  <c r="AS149" i="23" l="1"/>
  <c r="AS84" i="24"/>
  <c r="AS82" i="23"/>
  <c r="AS45" i="23" s="1"/>
  <c r="AG36" i="12"/>
  <c r="AG20" i="12" s="1"/>
  <c r="AG41" i="12" s="1"/>
  <c r="AT83" i="23" l="1"/>
  <c r="AS43" i="23"/>
  <c r="AS85" i="24"/>
  <c r="AS92" i="24" s="1"/>
  <c r="AS90" i="24" s="1"/>
  <c r="AG40" i="12"/>
  <c r="AG84" i="12" s="1"/>
  <c r="AG85" i="12" s="1"/>
  <c r="AG92" i="12" s="1"/>
  <c r="AG90" i="12" s="1"/>
  <c r="AG149" i="12" a="1"/>
  <c r="AS149" i="24" a="1"/>
  <c r="AS149" i="24" l="1"/>
  <c r="AS82" i="24"/>
  <c r="AS45" i="24" s="1"/>
  <c r="AS42" i="23"/>
  <c r="AS138" i="23"/>
  <c r="AS137" i="23" s="1"/>
  <c r="AG82" i="12"/>
  <c r="AG45" i="12" s="1"/>
  <c r="AG43" i="12" s="1"/>
  <c r="AG149" i="12"/>
  <c r="AS150" i="23" a="1"/>
  <c r="AS150" i="23" l="1"/>
  <c r="AS148" i="23" s="1"/>
  <c r="AT36" i="23" s="1"/>
  <c r="AT20" i="23" s="1"/>
  <c r="AT83" i="24"/>
  <c r="AS43" i="24"/>
  <c r="AH83" i="12"/>
  <c r="AG42" i="12"/>
  <c r="AG138" i="12"/>
  <c r="AG137" i="12" s="1"/>
  <c r="AG150" i="12" a="1"/>
  <c r="AS42" i="24" l="1"/>
  <c r="AS138" i="24"/>
  <c r="AS137" i="24" s="1"/>
  <c r="AT41" i="23"/>
  <c r="AT40" i="23"/>
  <c r="AG150" i="12"/>
  <c r="AG148" i="12" s="1"/>
  <c r="AS150" i="24" a="1"/>
  <c r="AS150" i="24" l="1"/>
  <c r="AS148" i="24" s="1"/>
  <c r="AT36" i="24" s="1"/>
  <c r="AT20" i="24" s="1"/>
  <c r="AT84" i="23"/>
  <c r="AH36" i="12"/>
  <c r="AH20" i="12" s="1"/>
  <c r="AH41" i="12" s="1"/>
  <c r="AT41" i="24" l="1"/>
  <c r="AT40" i="24"/>
  <c r="AT85" i="23"/>
  <c r="AT92" i="23" s="1"/>
  <c r="AT90" i="23" s="1"/>
  <c r="AH40" i="12"/>
  <c r="AH84" i="12" s="1"/>
  <c r="AH85" i="12" s="1"/>
  <c r="AH92" i="12" s="1"/>
  <c r="AH90" i="12" s="1"/>
  <c r="AH149" i="12" a="1"/>
  <c r="AT149" i="23" a="1"/>
  <c r="AT84" i="24" l="1"/>
  <c r="AT85" i="24" s="1"/>
  <c r="AT92" i="24" s="1"/>
  <c r="AT90" i="24" s="1"/>
  <c r="AT149" i="23"/>
  <c r="AT82" i="23"/>
  <c r="AT45" i="23" s="1"/>
  <c r="AH149" i="12"/>
  <c r="AH82" i="12"/>
  <c r="AH45" i="12" s="1"/>
  <c r="AI83" i="12" s="1"/>
  <c r="AT149" i="24" a="1"/>
  <c r="AT149" i="24" l="1"/>
  <c r="AT82" i="24"/>
  <c r="AT45" i="24" s="1"/>
  <c r="AT43" i="23"/>
  <c r="AU83" i="23"/>
  <c r="AH43" i="12"/>
  <c r="AH42" i="12" s="1"/>
  <c r="AT42" i="23" l="1"/>
  <c r="AT138" i="23"/>
  <c r="AT137" i="23" s="1"/>
  <c r="AT43" i="24"/>
  <c r="AU83" i="24"/>
  <c r="AH138" i="12"/>
  <c r="AH137" i="12" s="1"/>
  <c r="AH150" i="12" a="1"/>
  <c r="AT150" i="23" a="1"/>
  <c r="AT150" i="23" l="1"/>
  <c r="AT148" i="23" s="1"/>
  <c r="AU36" i="23" s="1"/>
  <c r="AU20" i="23" s="1"/>
  <c r="AT138" i="24"/>
  <c r="AT137" i="24" s="1"/>
  <c r="AT42" i="24"/>
  <c r="AH150" i="12"/>
  <c r="AH148" i="12" s="1"/>
  <c r="AT150" i="24" a="1"/>
  <c r="AT150" i="24" l="1"/>
  <c r="AT148" i="24" s="1"/>
  <c r="AU36" i="24" s="1"/>
  <c r="AU20" i="24" s="1"/>
  <c r="AU40" i="23"/>
  <c r="AU41" i="23"/>
  <c r="AI36" i="12"/>
  <c r="AI20" i="12" s="1"/>
  <c r="AI41" i="12" s="1"/>
  <c r="AU84" i="23" l="1"/>
  <c r="AU40" i="24"/>
  <c r="AU41" i="24"/>
  <c r="AI40" i="12"/>
  <c r="AI84" i="12" s="1"/>
  <c r="AI85" i="12" s="1"/>
  <c r="AI92" i="12" s="1"/>
  <c r="AI90" i="12" s="1"/>
  <c r="AI149" i="12" a="1"/>
  <c r="AU84" i="24" l="1"/>
  <c r="AU85" i="24" s="1"/>
  <c r="AU92" i="24" s="1"/>
  <c r="AU90" i="24" s="1"/>
  <c r="AU85" i="23"/>
  <c r="AU92" i="23" s="1"/>
  <c r="AU90" i="23" s="1"/>
  <c r="AI149" i="12"/>
  <c r="AI82" i="12"/>
  <c r="AI45" i="12" s="1"/>
  <c r="AJ83" i="12" s="1"/>
  <c r="AU149" i="23" a="1"/>
  <c r="AU149" i="24" a="1"/>
  <c r="AU149" i="23" l="1"/>
  <c r="AU149" i="24"/>
  <c r="AU82" i="23"/>
  <c r="AU45" i="23" s="1"/>
  <c r="AU82" i="24"/>
  <c r="AU45" i="24" s="1"/>
  <c r="AI43" i="12"/>
  <c r="AI138" i="12" s="1"/>
  <c r="AI137" i="12" s="1"/>
  <c r="AI150" i="12" a="1"/>
  <c r="AV83" i="24" l="1"/>
  <c r="AU43" i="24"/>
  <c r="AV83" i="23"/>
  <c r="AU43" i="23"/>
  <c r="AI42" i="12"/>
  <c r="AI150" i="12"/>
  <c r="AI148" i="12" s="1"/>
  <c r="AJ36" i="12" s="1"/>
  <c r="AJ20" i="12" s="1"/>
  <c r="AU138" i="23" l="1"/>
  <c r="AU137" i="23" s="1"/>
  <c r="AU42" i="23"/>
  <c r="AU42" i="24"/>
  <c r="AU138" i="24"/>
  <c r="AU137" i="24" s="1"/>
  <c r="AJ40" i="12"/>
  <c r="AJ41" i="12"/>
  <c r="AU150" i="23" a="1"/>
  <c r="AU150" i="24" a="1"/>
  <c r="AU150" i="24" l="1"/>
  <c r="AU148" i="24" s="1"/>
  <c r="AV36" i="24" s="1"/>
  <c r="AV20" i="24" s="1"/>
  <c r="AU150" i="23"/>
  <c r="AU148" i="23" s="1"/>
  <c r="AV36" i="23" s="1"/>
  <c r="AV20" i="23" s="1"/>
  <c r="AJ84" i="12"/>
  <c r="AJ85" i="12" s="1"/>
  <c r="AJ92" i="12" s="1"/>
  <c r="AJ90" i="12" s="1"/>
  <c r="AJ149" i="12" a="1"/>
  <c r="AV41" i="23" l="1"/>
  <c r="AV40" i="23"/>
  <c r="AV41" i="24"/>
  <c r="AV40" i="24"/>
  <c r="AJ149" i="12"/>
  <c r="AJ82" i="12"/>
  <c r="AJ45" i="12" s="1"/>
  <c r="AV84" i="24" l="1"/>
  <c r="AV85" i="24" s="1"/>
  <c r="AV92" i="24" s="1"/>
  <c r="AV90" i="24" s="1"/>
  <c r="AV84" i="23"/>
  <c r="AJ43" i="12"/>
  <c r="AK83" i="12"/>
  <c r="AV149" i="24" a="1"/>
  <c r="AV149" i="24" l="1"/>
  <c r="AV85" i="23"/>
  <c r="AV92" i="23" s="1"/>
  <c r="AV90" i="23" s="1"/>
  <c r="AV82" i="24"/>
  <c r="AV45" i="24" s="1"/>
  <c r="AJ138" i="12"/>
  <c r="AJ137" i="12" s="1"/>
  <c r="AJ42" i="12"/>
  <c r="AV149" i="23" a="1"/>
  <c r="AJ150" i="12" a="1"/>
  <c r="AV82" i="23" l="1"/>
  <c r="AV45" i="23" s="1"/>
  <c r="AV43" i="23" s="1"/>
  <c r="AV149" i="23"/>
  <c r="AW83" i="24"/>
  <c r="AV43" i="24"/>
  <c r="AJ150" i="12"/>
  <c r="AJ148" i="12" s="1"/>
  <c r="AW83" i="23" l="1"/>
  <c r="AV138" i="23"/>
  <c r="AV137" i="23" s="1"/>
  <c r="AV42" i="23"/>
  <c r="AV42" i="24"/>
  <c r="AV138" i="24"/>
  <c r="AV137" i="24" s="1"/>
  <c r="AK36" i="12"/>
  <c r="AK20" i="12" s="1"/>
  <c r="AV150" i="23" a="1"/>
  <c r="AV150" i="24" a="1"/>
  <c r="AV150" i="24" l="1"/>
  <c r="AV148" i="24" s="1"/>
  <c r="AW36" i="24" s="1"/>
  <c r="AW20" i="24" s="1"/>
  <c r="AV150" i="23"/>
  <c r="AV148" i="23" s="1"/>
  <c r="AW36" i="23" s="1"/>
  <c r="AW20" i="23" s="1"/>
  <c r="AK41" i="12"/>
  <c r="AK40" i="12"/>
  <c r="AW40" i="23" l="1"/>
  <c r="AW41" i="23"/>
  <c r="AW41" i="24"/>
  <c r="AW40" i="24"/>
  <c r="AK84" i="12"/>
  <c r="AK85" i="12" s="1"/>
  <c r="AK92" i="12" s="1"/>
  <c r="AK90" i="12" s="1"/>
  <c r="AK149" i="12" a="1"/>
  <c r="AW84" i="24" l="1"/>
  <c r="AW84" i="23"/>
  <c r="AK82" i="12"/>
  <c r="AK45" i="12" s="1"/>
  <c r="AL83" i="12" s="1"/>
  <c r="AK149" i="12"/>
  <c r="AW85" i="23" l="1"/>
  <c r="AW92" i="23" s="1"/>
  <c r="AW90" i="23" s="1"/>
  <c r="AW85" i="24"/>
  <c r="AW92" i="24" s="1"/>
  <c r="AW90" i="24" s="1"/>
  <c r="AK43" i="12"/>
  <c r="AW149" i="24" a="1"/>
  <c r="AW149" i="23" a="1"/>
  <c r="AW82" i="24" l="1"/>
  <c r="AW45" i="24" s="1"/>
  <c r="AX83" i="24" s="1"/>
  <c r="AW149" i="24"/>
  <c r="AW149" i="23"/>
  <c r="AW82" i="23"/>
  <c r="AW45" i="23" s="1"/>
  <c r="AK42" i="12"/>
  <c r="AK138" i="12"/>
  <c r="AK137" i="12" s="1"/>
  <c r="AK150" i="12" a="1"/>
  <c r="AW43" i="24" l="1"/>
  <c r="AW42" i="24" s="1"/>
  <c r="AW43" i="23"/>
  <c r="AX83" i="23"/>
  <c r="AK150" i="12"/>
  <c r="AW138" i="24" l="1"/>
  <c r="AW137" i="24" s="1"/>
  <c r="AW138" i="23"/>
  <c r="AW137" i="23" s="1"/>
  <c r="AW42" i="23"/>
  <c r="AK148" i="12"/>
  <c r="AW150" i="23" a="1"/>
  <c r="AW150" i="24" a="1"/>
  <c r="AW150" i="24" l="1"/>
  <c r="AW148" i="24" s="1"/>
  <c r="AX36" i="24" s="1"/>
  <c r="AX20" i="24" s="1"/>
  <c r="AX40" i="24" s="1"/>
  <c r="AW150" i="23"/>
  <c r="AW148" i="23" s="1"/>
  <c r="AX36" i="23" s="1"/>
  <c r="AX20" i="23" s="1"/>
  <c r="AL36" i="12"/>
  <c r="AL20" i="12" s="1"/>
  <c r="AL41" i="12" s="1"/>
  <c r="AX41" i="24" l="1"/>
  <c r="AX84" i="24" s="1"/>
  <c r="AX40" i="23"/>
  <c r="AX41" i="23"/>
  <c r="AL40" i="12"/>
  <c r="AL84" i="12" s="1"/>
  <c r="AL85" i="12" s="1"/>
  <c r="AL92" i="12" s="1"/>
  <c r="AL90" i="12" s="1"/>
  <c r="AL149" i="12" a="1"/>
  <c r="AX85" i="24" l="1"/>
  <c r="AX92" i="24" s="1"/>
  <c r="AX90" i="24" s="1"/>
  <c r="AX84" i="23"/>
  <c r="AX85" i="23" s="1"/>
  <c r="AX92" i="23" s="1"/>
  <c r="AX90" i="23" s="1"/>
  <c r="AL82" i="12"/>
  <c r="AL45" i="12" s="1"/>
  <c r="AM83" i="12" s="1"/>
  <c r="AL149" i="12"/>
  <c r="AX149" i="23" a="1"/>
  <c r="AX149" i="24" a="1"/>
  <c r="AX149" i="24" l="1"/>
  <c r="AX82" i="23"/>
  <c r="AX45" i="23" s="1"/>
  <c r="AY83" i="23" s="1"/>
  <c r="AX82" i="24"/>
  <c r="AX45" i="24" s="1"/>
  <c r="AX149" i="23"/>
  <c r="AL43" i="12"/>
  <c r="AX43" i="23" l="1"/>
  <c r="AX138" i="23" s="1"/>
  <c r="AX137" i="23" s="1"/>
  <c r="AY83" i="24"/>
  <c r="AX43" i="24"/>
  <c r="AL138" i="12"/>
  <c r="AL137" i="12" s="1"/>
  <c r="AL42" i="12"/>
  <c r="AL150" i="12" a="1"/>
  <c r="AX150" i="23" a="1"/>
  <c r="AX42" i="23" l="1"/>
  <c r="AX42" i="24"/>
  <c r="AX138" i="24"/>
  <c r="AX137" i="24" s="1"/>
  <c r="AX150" i="23"/>
  <c r="AX148" i="23" s="1"/>
  <c r="AY36" i="23" s="1"/>
  <c r="AY20" i="23" s="1"/>
  <c r="AL150" i="12"/>
  <c r="AL148" i="12" s="1"/>
  <c r="AM36" i="12" s="1"/>
  <c r="AM20" i="12" s="1"/>
  <c r="AX150" i="24" a="1"/>
  <c r="AX150" i="24" l="1"/>
  <c r="AX148" i="24" s="1"/>
  <c r="AY36" i="24" s="1"/>
  <c r="AY20" i="24" s="1"/>
  <c r="AY41" i="23"/>
  <c r="AY40" i="23"/>
  <c r="AM40" i="12"/>
  <c r="AM41" i="12"/>
  <c r="AY84" i="23" l="1"/>
  <c r="AY85" i="23" s="1"/>
  <c r="AY92" i="23" s="1"/>
  <c r="AY90" i="23" s="1"/>
  <c r="AY41" i="24"/>
  <c r="AY40" i="24"/>
  <c r="AM84" i="12"/>
  <c r="AY149" i="23" a="1"/>
  <c r="AY84" i="24" l="1"/>
  <c r="AY85" i="24" s="1"/>
  <c r="AY92" i="24" s="1"/>
  <c r="AY90" i="24" s="1"/>
  <c r="AY149" i="23"/>
  <c r="AY82" i="23"/>
  <c r="AY45" i="23" s="1"/>
  <c r="AM85" i="12"/>
  <c r="AM92" i="12" s="1"/>
  <c r="AM90" i="12" s="1"/>
  <c r="AM149" i="12" a="1"/>
  <c r="AY149" i="24" a="1"/>
  <c r="AY82" i="24" l="1"/>
  <c r="AY45" i="24" s="1"/>
  <c r="AY43" i="24" s="1"/>
  <c r="AY149" i="24"/>
  <c r="AY43" i="23"/>
  <c r="AZ83" i="23"/>
  <c r="AM82" i="12"/>
  <c r="AM45" i="12" s="1"/>
  <c r="AM43" i="12" s="1"/>
  <c r="AM149" i="12"/>
  <c r="AZ83" i="24" l="1"/>
  <c r="AY42" i="24"/>
  <c r="AY138" i="24"/>
  <c r="AY137" i="24" s="1"/>
  <c r="AY42" i="23"/>
  <c r="AY138" i="23"/>
  <c r="AY137" i="23" s="1"/>
  <c r="AN83" i="12"/>
  <c r="AM138" i="12"/>
  <c r="AM137" i="12" s="1"/>
  <c r="AM42" i="12"/>
  <c r="AY150" i="23" a="1"/>
  <c r="AM150" i="12" a="1"/>
  <c r="AY150" i="24" a="1"/>
  <c r="AY150" i="23" l="1"/>
  <c r="AY148" i="23" s="1"/>
  <c r="AZ36" i="23" s="1"/>
  <c r="AZ20" i="23" s="1"/>
  <c r="AY150" i="24"/>
  <c r="AY148" i="24" s="1"/>
  <c r="AZ36" i="24" s="1"/>
  <c r="AZ20" i="24" s="1"/>
  <c r="AM150" i="12"/>
  <c r="AM148" i="12" s="1"/>
  <c r="AZ41" i="24" l="1"/>
  <c r="AZ40" i="24"/>
  <c r="AZ40" i="23"/>
  <c r="AZ41" i="23"/>
  <c r="AN36" i="12"/>
  <c r="AN20" i="12" s="1"/>
  <c r="AZ84" i="23" l="1"/>
  <c r="AZ85" i="23" s="1"/>
  <c r="AZ92" i="23" s="1"/>
  <c r="AZ90" i="23" s="1"/>
  <c r="AZ84" i="24"/>
  <c r="AN40" i="12"/>
  <c r="AN41" i="12"/>
  <c r="AZ149" i="23" a="1"/>
  <c r="AZ82" i="23" l="1"/>
  <c r="AZ45" i="23" s="1"/>
  <c r="AZ43" i="23" s="1"/>
  <c r="AZ149" i="23"/>
  <c r="AZ85" i="24"/>
  <c r="AZ92" i="24" s="1"/>
  <c r="AZ90" i="24" s="1"/>
  <c r="AN84" i="12"/>
  <c r="AZ149" i="24" a="1"/>
  <c r="BA83" i="23" l="1"/>
  <c r="AZ82" i="24"/>
  <c r="AZ45" i="24" s="1"/>
  <c r="BA83" i="24" s="1"/>
  <c r="AZ149" i="24"/>
  <c r="AZ138" i="23"/>
  <c r="AZ137" i="23" s="1"/>
  <c r="AZ42" i="23"/>
  <c r="AN85" i="12"/>
  <c r="AN92" i="12" s="1"/>
  <c r="AN90" i="12" s="1"/>
  <c r="AN149" i="12" a="1"/>
  <c r="AZ150" i="23" a="1"/>
  <c r="AZ43" i="24" l="1"/>
  <c r="AZ42" i="24" s="1"/>
  <c r="AZ150" i="23"/>
  <c r="AZ148" i="23" s="1"/>
  <c r="BA36" i="23" s="1"/>
  <c r="BA20" i="23" s="1"/>
  <c r="AN149" i="12"/>
  <c r="AN82" i="12"/>
  <c r="AN45" i="12" s="1"/>
  <c r="AZ138" i="24" l="1"/>
  <c r="AZ137" i="24" s="1"/>
  <c r="BA40" i="23"/>
  <c r="BA41" i="23"/>
  <c r="AO83" i="12"/>
  <c r="AN43" i="12"/>
  <c r="AZ150" i="24" a="1"/>
  <c r="Z10" i="22" a="1"/>
  <c r="AZ150" i="24" l="1"/>
  <c r="AZ148" i="24" s="1"/>
  <c r="BA36" i="24" s="1"/>
  <c r="BA20" i="24" s="1"/>
  <c r="BA41" i="24" s="1"/>
  <c r="BA84" i="23"/>
  <c r="Z10" i="22"/>
  <c r="AN42" i="12"/>
  <c r="AN138" i="12"/>
  <c r="AN137" i="12" s="1"/>
  <c r="AN150" i="12" a="1"/>
  <c r="BA40" i="24" l="1"/>
  <c r="BA84" i="24" s="1"/>
  <c r="BA85" i="23"/>
  <c r="BA92" i="23" s="1"/>
  <c r="BA90" i="23" s="1"/>
  <c r="AN150" i="12"/>
  <c r="AN148" i="12" s="1"/>
  <c r="BA149" i="23" a="1"/>
  <c r="Z19" i="22" a="1"/>
  <c r="BA149" i="23" l="1"/>
  <c r="BA82" i="23"/>
  <c r="BA45" i="23" s="1"/>
  <c r="BA43" i="23" s="1"/>
  <c r="BA85" i="24"/>
  <c r="BA92" i="24" s="1"/>
  <c r="BA90" i="24" s="1"/>
  <c r="Z19" i="22"/>
  <c r="AO36" i="12"/>
  <c r="AO20" i="12" s="1"/>
  <c r="BA149" i="24" a="1"/>
  <c r="BA82" i="24" l="1"/>
  <c r="BA45" i="24" s="1"/>
  <c r="BA43" i="24" s="1"/>
  <c r="BA42" i="24" s="1"/>
  <c r="BA149" i="24"/>
  <c r="BA42" i="23"/>
  <c r="BA138" i="23"/>
  <c r="BA137" i="23" s="1"/>
  <c r="AO41" i="12"/>
  <c r="AO40" i="12"/>
  <c r="BA150" i="23" a="1"/>
  <c r="BA138" i="24" l="1"/>
  <c r="BA137" i="24" s="1"/>
  <c r="BA150" i="23"/>
  <c r="BA148" i="23" s="1"/>
  <c r="AO84" i="12"/>
  <c r="AO85" i="12" s="1"/>
  <c r="AO92" i="12" s="1"/>
  <c r="AO90" i="12" s="1"/>
  <c r="BA150" i="24" a="1"/>
  <c r="AO149" i="12" a="1"/>
  <c r="BA150" i="24" l="1"/>
  <c r="BA148" i="24" s="1"/>
  <c r="AO82" i="12"/>
  <c r="AO45" i="12" s="1"/>
  <c r="AO43" i="12" s="1"/>
  <c r="AO149" i="12"/>
  <c r="AP83" i="12" l="1"/>
  <c r="AO138" i="12"/>
  <c r="AO137" i="12" s="1"/>
  <c r="AO42" i="12"/>
  <c r="AO150" i="12" a="1"/>
  <c r="AO150" i="12" l="1"/>
  <c r="AO148" i="12" s="1"/>
  <c r="AP36" i="12" l="1"/>
  <c r="AP20" i="12" s="1"/>
  <c r="AP41" i="12" l="1"/>
  <c r="AP40" i="12"/>
  <c r="AP84" i="12" l="1"/>
  <c r="AP85" i="12" s="1"/>
  <c r="AP92" i="12" s="1"/>
  <c r="AP90" i="12" s="1"/>
  <c r="AP149" i="12" a="1"/>
  <c r="AP82" i="12" l="1"/>
  <c r="AP45" i="12" s="1"/>
  <c r="AQ83" i="12" s="1"/>
  <c r="AP149" i="12"/>
  <c r="AP43" i="12" l="1"/>
  <c r="AP138" i="12" s="1"/>
  <c r="AP137" i="12" s="1"/>
  <c r="AP150" i="12" a="1"/>
  <c r="AP42" i="12" l="1"/>
  <c r="AP150" i="12"/>
  <c r="AP148" i="12" s="1"/>
  <c r="AQ36" i="12" l="1"/>
  <c r="AQ20" i="12" s="1"/>
  <c r="AQ40" i="12" l="1"/>
  <c r="AQ41" i="12"/>
  <c r="AQ84" i="12" l="1"/>
  <c r="AQ85" i="12" l="1"/>
  <c r="AQ92" i="12" s="1"/>
  <c r="AQ90" i="12" s="1"/>
  <c r="AQ149" i="12" a="1"/>
  <c r="AQ82" i="12" l="1"/>
  <c r="AQ45" i="12" s="1"/>
  <c r="AQ43" i="12" s="1"/>
  <c r="AQ149" i="12"/>
  <c r="AR83" i="12" l="1"/>
  <c r="AQ42" i="12"/>
  <c r="AQ138" i="12"/>
  <c r="AQ137" i="12" s="1"/>
  <c r="AQ150" i="12" a="1"/>
  <c r="AQ150" i="12" l="1"/>
  <c r="AQ148" i="12" s="1"/>
  <c r="AR36" i="12" l="1"/>
  <c r="AR20" i="12" s="1"/>
  <c r="AR40" i="12" l="1"/>
  <c r="AR41" i="12"/>
  <c r="AR84" i="12" l="1"/>
  <c r="AR85" i="12" l="1"/>
  <c r="AR92" i="12" s="1"/>
  <c r="AR90" i="12" s="1"/>
  <c r="AR149" i="12" a="1"/>
  <c r="AR82" i="12" l="1"/>
  <c r="AR45" i="12" s="1"/>
  <c r="AS83" i="12" s="1"/>
  <c r="AR149" i="12"/>
  <c r="AR43" i="12" l="1"/>
  <c r="AR138" i="12" s="1"/>
  <c r="AR137" i="12" s="1"/>
  <c r="AR150" i="12" a="1"/>
  <c r="AR42" i="12" l="1"/>
  <c r="AR150" i="12"/>
  <c r="AR148" i="12" s="1"/>
  <c r="AS36" i="12" l="1"/>
  <c r="AS20" i="12" s="1"/>
  <c r="AS40" i="12" l="1"/>
  <c r="AS41" i="12"/>
  <c r="AS84" i="12" l="1"/>
  <c r="AS85" i="12" l="1"/>
  <c r="AS92" i="12" s="1"/>
  <c r="AS90" i="12" s="1"/>
  <c r="AS149" i="12" a="1"/>
  <c r="AS82" i="12" l="1"/>
  <c r="AS45" i="12" s="1"/>
  <c r="AT83" i="12" s="1"/>
  <c r="AS149" i="12"/>
  <c r="AS43" i="12" l="1"/>
  <c r="AS42" i="12" s="1"/>
  <c r="AS138" i="12" l="1"/>
  <c r="AS137" i="12" s="1"/>
  <c r="AS150" i="12" a="1"/>
  <c r="AS150" i="12" l="1"/>
  <c r="AS148" i="12" l="1"/>
  <c r="AT36" i="12" s="1"/>
  <c r="AT20" i="12" s="1"/>
  <c r="AT41" i="12" l="1"/>
  <c r="AT40" i="12"/>
  <c r="AT84" i="12" l="1"/>
  <c r="AT85" i="12" s="1"/>
  <c r="AT92" i="12" s="1"/>
  <c r="AT90" i="12" s="1"/>
  <c r="AT149" i="12" a="1"/>
  <c r="AT82" i="12" l="1"/>
  <c r="AT45" i="12" s="1"/>
  <c r="AT43" i="12" s="1"/>
  <c r="AT149" i="12"/>
  <c r="AU83" i="12" l="1"/>
  <c r="AT138" i="12"/>
  <c r="AT137" i="12" s="1"/>
  <c r="AT42" i="12"/>
  <c r="AT150" i="12" a="1"/>
  <c r="AT150" i="12" l="1"/>
  <c r="AT148" i="12" s="1"/>
  <c r="AU36" i="12" l="1"/>
  <c r="AU20" i="12" s="1"/>
  <c r="AU41" i="12" l="1"/>
  <c r="AU40" i="12"/>
  <c r="AU84" i="12" l="1"/>
  <c r="AU85" i="12" s="1"/>
  <c r="AU92" i="12" s="1"/>
  <c r="AU90" i="12" s="1"/>
  <c r="AU149" i="12" a="1"/>
  <c r="AU149" i="12" l="1"/>
  <c r="AU82" i="12"/>
  <c r="AU45" i="12" s="1"/>
  <c r="AU43" i="12" l="1"/>
  <c r="AV83" i="12"/>
  <c r="AU42" i="12" l="1"/>
  <c r="AU138" i="12"/>
  <c r="AU137" i="12" s="1"/>
  <c r="AU150" i="12" a="1"/>
  <c r="AU150" i="12" l="1"/>
  <c r="AU148" i="12" s="1"/>
  <c r="AV36" i="12" l="1"/>
  <c r="AV20" i="12" s="1"/>
  <c r="AV40" i="12" l="1"/>
  <c r="AV41" i="12"/>
  <c r="AV84" i="12" l="1"/>
  <c r="AV85" i="12" s="1"/>
  <c r="AV92" i="12" s="1"/>
  <c r="AV90" i="12" s="1"/>
  <c r="AV149" i="12" a="1"/>
  <c r="AV82" i="12" l="1"/>
  <c r="AV45" i="12" s="1"/>
  <c r="AW83" i="12" s="1"/>
  <c r="AV149" i="12"/>
  <c r="AV43" i="12" l="1"/>
  <c r="AV138" i="12" s="1"/>
  <c r="AV137" i="12" s="1"/>
  <c r="AV150" i="12" a="1"/>
  <c r="AV42" i="12" l="1"/>
  <c r="AV150" i="12"/>
  <c r="AV148" i="12" s="1"/>
  <c r="AW36" i="12" l="1"/>
  <c r="AW20" i="12" s="1"/>
  <c r="AW41" i="12" l="1"/>
  <c r="AW40" i="12"/>
  <c r="AW84" i="12" l="1"/>
  <c r="AW85" i="12" s="1"/>
  <c r="AW92" i="12" s="1"/>
  <c r="AW90" i="12" s="1"/>
  <c r="AW149" i="12" a="1"/>
  <c r="AW82" i="12" l="1"/>
  <c r="AW45" i="12" s="1"/>
  <c r="AW43" i="12" s="1"/>
  <c r="AW149" i="12"/>
  <c r="AX83" i="12" l="1"/>
  <c r="AW138" i="12"/>
  <c r="AW137" i="12" s="1"/>
  <c r="AW42" i="12"/>
  <c r="AW150" i="12" a="1"/>
  <c r="AW150" i="12" l="1"/>
  <c r="AW148" i="12" s="1"/>
  <c r="AX36" i="12" l="1"/>
  <c r="AX20" i="12" s="1"/>
  <c r="AX40" i="12" l="1"/>
  <c r="AX41" i="12"/>
  <c r="AX84" i="12" l="1"/>
  <c r="AX85" i="12" s="1"/>
  <c r="AX92" i="12" s="1"/>
  <c r="AX90" i="12" s="1"/>
  <c r="AX149" i="12" a="1"/>
  <c r="AX149" i="12" l="1"/>
  <c r="AX82" i="12"/>
  <c r="AX45" i="12" s="1"/>
  <c r="AY83" i="12" l="1"/>
  <c r="AX43" i="12"/>
  <c r="AX138" i="12" l="1"/>
  <c r="AX137" i="12" s="1"/>
  <c r="AX42" i="12"/>
  <c r="AX150" i="12" a="1"/>
  <c r="AX150" i="12" l="1"/>
  <c r="AX148" i="12" s="1"/>
  <c r="AY36" i="12" l="1"/>
  <c r="AY20" i="12" s="1"/>
  <c r="AY40" i="12" l="1"/>
  <c r="AY41" i="12"/>
  <c r="AY84" i="12" l="1"/>
  <c r="AY85" i="12" l="1"/>
  <c r="AY92" i="12" s="1"/>
  <c r="AY90" i="12" s="1"/>
  <c r="AY149" i="12" a="1"/>
  <c r="AY149" i="12" l="1"/>
  <c r="AY82" i="12"/>
  <c r="AY45" i="12" s="1"/>
  <c r="AZ83" i="12" l="1"/>
  <c r="AY43" i="12"/>
  <c r="AY138" i="12" l="1"/>
  <c r="AY137" i="12" s="1"/>
  <c r="AY42" i="12"/>
  <c r="AY150" i="12" a="1"/>
  <c r="AY150" i="12" l="1"/>
  <c r="AY148" i="12" s="1"/>
  <c r="AZ36" i="12" l="1"/>
  <c r="AZ20" i="12" s="1"/>
  <c r="AZ41" i="12" l="1"/>
  <c r="AZ40" i="12"/>
  <c r="AZ84" i="12" l="1"/>
  <c r="AZ85" i="12" s="1"/>
  <c r="AZ92" i="12" s="1"/>
  <c r="AZ90" i="12" s="1"/>
  <c r="AZ149" i="12" a="1"/>
  <c r="AZ82" i="12" l="1"/>
  <c r="AZ45" i="12" s="1"/>
  <c r="BA83" i="12" s="1"/>
  <c r="AZ149" i="12"/>
  <c r="AZ43" i="12" l="1"/>
  <c r="AZ138" i="12" s="1"/>
  <c r="AZ137" i="12" s="1"/>
  <c r="AZ150" i="12" a="1"/>
  <c r="AZ42" i="12" l="1"/>
  <c r="AZ150" i="12"/>
  <c r="AZ148" i="12" s="1"/>
  <c r="BA36" i="12" l="1"/>
  <c r="BA20" i="12" s="1"/>
  <c r="BA40" i="12" l="1"/>
  <c r="BA41" i="12"/>
  <c r="BA84" i="12" l="1"/>
  <c r="BA85" i="12" s="1"/>
  <c r="BA92" i="12" s="1"/>
  <c r="BA90" i="12" s="1"/>
  <c r="BA149" i="12" a="1"/>
  <c r="BA82" i="12" l="1"/>
  <c r="BA45" i="12" s="1"/>
  <c r="BA43" i="12" s="1"/>
  <c r="BA42" i="12" s="1"/>
  <c r="BA149" i="12"/>
  <c r="BA138" i="12" l="1"/>
  <c r="BA137" i="12" s="1"/>
  <c r="BA150" i="12" a="1"/>
  <c r="BA150" i="12" l="1"/>
  <c r="BA148" i="1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<sst xmlns="http://schemas.openxmlformats.org/spreadsheetml/2006/main" count="980" uniqueCount="349">
  <si>
    <t>Kantonssteuer</t>
  </si>
  <si>
    <t>Gemeindesteuer</t>
  </si>
  <si>
    <t>Krichensteuer</t>
  </si>
  <si>
    <t>Zivilstand</t>
  </si>
  <si>
    <t>Einkommen</t>
  </si>
  <si>
    <t>Vermögen</t>
  </si>
  <si>
    <t>Kantons- und Gemeindesteuer (Aleinstehend)</t>
  </si>
  <si>
    <t>Kantons- und Gemeindesteuer (Verheiratet)</t>
  </si>
  <si>
    <t>Direkte Bundesteuer (Alleinstehend)</t>
  </si>
  <si>
    <t>Direkte Bundesteuer (Verheiratet)</t>
  </si>
  <si>
    <t>Kanton</t>
  </si>
  <si>
    <t>Steuer für 1 Jahr</t>
  </si>
  <si>
    <t>Für je weitere 100 Fr.</t>
  </si>
  <si>
    <t>Steuerbares Vermögen</t>
  </si>
  <si>
    <t>Einfache Steuer pro Jahr</t>
  </si>
  <si>
    <t>Für je weitere 1000.- Vermögen</t>
  </si>
  <si>
    <t>Steuerbares Einkommen</t>
  </si>
  <si>
    <t>Jährliche Einzahlung</t>
  </si>
  <si>
    <t>Jährliche Einzahlung in ein Gefäss</t>
  </si>
  <si>
    <t>Depot konservativ</t>
  </si>
  <si>
    <t>Konto</t>
  </si>
  <si>
    <t>Depot mittel</t>
  </si>
  <si>
    <t>Depot aggressiv</t>
  </si>
  <si>
    <t>Jährliche Rendite</t>
  </si>
  <si>
    <t>Inflation</t>
  </si>
  <si>
    <t>Anzahl Jahre</t>
  </si>
  <si>
    <t>Endwert</t>
  </si>
  <si>
    <t>Barwert</t>
  </si>
  <si>
    <t>Kapitalauszahlungssteuer</t>
  </si>
  <si>
    <t>Endwert nach Steuer</t>
  </si>
  <si>
    <t>Entwicklung eines Gefässes</t>
  </si>
  <si>
    <t>Barwert aller Gefässe</t>
  </si>
  <si>
    <t>Anzahl Gefässe</t>
  </si>
  <si>
    <t>Zusatzgewinn</t>
  </si>
  <si>
    <t>Verheiratet</t>
  </si>
  <si>
    <t>Tarif Einkommenssteuer - TaxInfo - Kanton Bern</t>
  </si>
  <si>
    <t>Einheitssteuersatz %</t>
  </si>
  <si>
    <t>Quelle (2024)</t>
  </si>
  <si>
    <t>Steuertarife zur direkten Bundessteuer | ESTV (admin.ch)</t>
  </si>
  <si>
    <t>Wichtig:
Dies ist eine Beispielrechnung. Bei einem Depot wird von der Risikovergütung profitiert. Sprich es erfolgt eine Entschädigung für kurzfristige Verluste (Ausmass abhängig der Strategie). Dabei hat die dritte Säule mit ihrer langen Gebundenheit einen grossen Vorteil gegenüber dem freien Vermögen. Allerdings muss bei der Strategiewahl auch berücksichtigt werden, ob ein vorzeitiger Bezug für Immobilienkauf oder Selbstständigkeit möglich wäre. Als Faustregel gilt eine minimale Anlagezeit von 10 Jahren, welche mit der Risikobereitschaft zunimmt. Als letztes spielt die persönliche Akzeptanz kurzfristiger Verluste eine grosse Rolle um Panikverkäufe zu vermeiden.</t>
  </si>
  <si>
    <t>Name 1</t>
  </si>
  <si>
    <t>Vorname 1</t>
  </si>
  <si>
    <t>Name 2</t>
  </si>
  <si>
    <t>Vorname 2</t>
  </si>
  <si>
    <t>Geburtsjahr 1</t>
  </si>
  <si>
    <t>Geburtsjahr 2</t>
  </si>
  <si>
    <t>Wohnort</t>
  </si>
  <si>
    <t>Finanz- und Pensionierungsplanung</t>
  </si>
  <si>
    <t>Startwert</t>
  </si>
  <si>
    <t>Schrittweite</t>
  </si>
  <si>
    <t>Durchschnittssteuersatz in %</t>
  </si>
  <si>
    <t>Grenzsteuersatz in %</t>
  </si>
  <si>
    <t>Einkommens- und Vermögensübersicht</t>
  </si>
  <si>
    <t>erstellt von Tim Wüthrich</t>
  </si>
  <si>
    <t>Einkommen aus Erwerbstätigkeit</t>
  </si>
  <si>
    <t>Id</t>
  </si>
  <si>
    <t>Titel</t>
  </si>
  <si>
    <t>Betrag</t>
  </si>
  <si>
    <t>Zugehörigkeit</t>
  </si>
  <si>
    <t>Freies Vermögen</t>
  </si>
  <si>
    <t>Liegenschaften</t>
  </si>
  <si>
    <t>Steuerwert</t>
  </si>
  <si>
    <t>Hypotheken</t>
  </si>
  <si>
    <t>Ablauf</t>
  </si>
  <si>
    <t>Bezeichung 1</t>
  </si>
  <si>
    <t>Bezeichnung 2</t>
  </si>
  <si>
    <t>Zugehörigkeit Bezeichnung</t>
  </si>
  <si>
    <t>-</t>
  </si>
  <si>
    <t>Total Vermögen</t>
  </si>
  <si>
    <t>Total Vermögen ohne Liegenschaften</t>
  </si>
  <si>
    <t>Säule 3a - Konto vs Depot (Beispielrechnung)</t>
  </si>
  <si>
    <t>Liquiditätsreserve</t>
  </si>
  <si>
    <t>Planbeginn</t>
  </si>
  <si>
    <t>TCHF per Jahresende</t>
  </si>
  <si>
    <t>E_Erwerb</t>
  </si>
  <si>
    <t>Tabelle</t>
  </si>
  <si>
    <t>ID</t>
  </si>
  <si>
    <t>Änderungsvariante</t>
  </si>
  <si>
    <t>1 - Neuer Betrag</t>
  </si>
  <si>
    <t>Jahr</t>
  </si>
  <si>
    <t>Primärschlüssel</t>
  </si>
  <si>
    <t>Dublikatsprüfung</t>
  </si>
  <si>
    <t>Liquidität</t>
  </si>
  <si>
    <t>Lebenshaltungskosten</t>
  </si>
  <si>
    <t>Ausgaben</t>
  </si>
  <si>
    <t>A_Allg</t>
  </si>
  <si>
    <t>Einkommensüberschuss / -defizit</t>
  </si>
  <si>
    <t>2 - Fakor</t>
  </si>
  <si>
    <t>0 - Differenzbetrag</t>
  </si>
  <si>
    <t>Steuerzahlungen</t>
  </si>
  <si>
    <t>Steuerzahlung erstes Jahr</t>
  </si>
  <si>
    <t>Vorsorgegelder</t>
  </si>
  <si>
    <t>Rente aus Pensionskasse</t>
  </si>
  <si>
    <t>Nachfolgehypothek</t>
  </si>
  <si>
    <t>Planungsvariante</t>
  </si>
  <si>
    <t>V_Vorsorg</t>
  </si>
  <si>
    <t>Rendite / Zins</t>
  </si>
  <si>
    <t>V_Liegensch</t>
  </si>
  <si>
    <t>Hypotheken und Kredite</t>
  </si>
  <si>
    <t>V_Hypo</t>
  </si>
  <si>
    <t>Zinszahlungen</t>
  </si>
  <si>
    <t>Neues Säule 3a Gefäss I</t>
  </si>
  <si>
    <t>Neues Säule 3a Gefäss II</t>
  </si>
  <si>
    <t>Wertschriftenertrag</t>
  </si>
  <si>
    <t>Steuern</t>
  </si>
  <si>
    <t>Einkommenssteuer</t>
  </si>
  <si>
    <t>Vermögenssteuer</t>
  </si>
  <si>
    <t>Steuerbare Wertschriftserträge</t>
  </si>
  <si>
    <t>Liegenschaftswert</t>
  </si>
  <si>
    <t>Liegenschaftskosten</t>
  </si>
  <si>
    <t>ST_Abz</t>
  </si>
  <si>
    <t>Kapital zur Einkommenssicherung</t>
  </si>
  <si>
    <t>Vermögensverzehr</t>
  </si>
  <si>
    <t>Aktuell</t>
  </si>
  <si>
    <t>Kapital zur Einkommenss. 01.01</t>
  </si>
  <si>
    <t>Sparen/Verzehr</t>
  </si>
  <si>
    <t>Steuerfreie Kapitalauszahlungen</t>
  </si>
  <si>
    <t>Veränderung Hypothek</t>
  </si>
  <si>
    <t>Versicherungsprämien</t>
  </si>
  <si>
    <t>Rentabilität der Säule 3a</t>
  </si>
  <si>
    <t>SR 642.11 - Bundesgesetz vom 14. Dezember 1990 ü... | Fedlex (admin.ch)</t>
  </si>
  <si>
    <t>1/5 von Einkommenssteuer gemäss Art 38 Bundesgesetz über direkte Bundessteuer (DBG)</t>
  </si>
  <si>
    <t>Bundessteuer</t>
  </si>
  <si>
    <t>Kantonsteuer</t>
  </si>
  <si>
    <t>Kapitalauszahlungssteuer Bund</t>
  </si>
  <si>
    <t>Kapitalauszahlungssteuer Kanton</t>
  </si>
  <si>
    <t>BSG 661.11 - Steuergesetz - Kanton Bern - Erlass-Sammlung</t>
  </si>
  <si>
    <t>Art 44 StG</t>
  </si>
  <si>
    <t>Kanton (Verheiratet)</t>
  </si>
  <si>
    <t>für die ersten</t>
  </si>
  <si>
    <t>Einfache Steuer in Prozent</t>
  </si>
  <si>
    <t>für die weiteren</t>
  </si>
  <si>
    <t>zu versteuernde Kapitalleistung</t>
  </si>
  <si>
    <t>Kanton (Alleinstehend)</t>
  </si>
  <si>
    <t>Steuerbetrachtung</t>
  </si>
  <si>
    <t>Anzahl Einzahlungen</t>
  </si>
  <si>
    <t>Rendite</t>
  </si>
  <si>
    <t>Jährliche Steuerersparnis</t>
  </si>
  <si>
    <t>Liegenschaftssteuer</t>
  </si>
  <si>
    <t>Nettoeinzahlung</t>
  </si>
  <si>
    <t>Berechnungsannahmen</t>
  </si>
  <si>
    <t>Anzahl 3a-Gefässe</t>
  </si>
  <si>
    <t>Auszahlung Säule 3a</t>
  </si>
  <si>
    <t>Endbetrag Alternativgefäss</t>
  </si>
  <si>
    <t>Endbetrag Säule 3a</t>
  </si>
  <si>
    <t>Endbetrag freie Vorsorge</t>
  </si>
  <si>
    <t>Auszahlung freie Vorsorge</t>
  </si>
  <si>
    <t>Jahresende</t>
  </si>
  <si>
    <t>Einzahlung</t>
  </si>
  <si>
    <t>Differenz</t>
  </si>
  <si>
    <t>Belehnungsgrad</t>
  </si>
  <si>
    <t>Status quo</t>
  </si>
  <si>
    <t>Liegenschaftskosten dürfen maximal einen Drittel des Einkommens ausmachen. Des Weiteren erfolgt eine Beschränkung des Belehnungsgrades nach der Pensionierung auf 65%.</t>
  </si>
  <si>
    <t>Einkommenssituation</t>
  </si>
  <si>
    <t>Einkommen vor Pensionierung</t>
  </si>
  <si>
    <t>Einkommen nach Pensionierung</t>
  </si>
  <si>
    <t>netto, ohne Aufwertung</t>
  </si>
  <si>
    <t>Bemerkung</t>
  </si>
  <si>
    <t>Die Interpretation der Tragbarkeitsregeln wird von Kreditgebern individuell gestaltet. Bei einem Teilkapitalbezug könnte der Kreditgeber eine höhere Amortisation verlangen. Im Gegensatz dazu berücksichtigen einige Finanzinstitute einen Sicherheitsfaktor auf Renteneinkommen. Des Weiteren ist die aktive Berücksichtigung eines Vermögensverzehrs sowie von Wertschriftrenditen möglich.</t>
  </si>
  <si>
    <t>Aktuelle Liegenschaftskosten</t>
  </si>
  <si>
    <t>Unterhalt und Nebenkosten</t>
  </si>
  <si>
    <t>Zinskosten</t>
  </si>
  <si>
    <t>1% des Verkehrswertes</t>
  </si>
  <si>
    <t>Maximal tragbare Hypothek</t>
  </si>
  <si>
    <t>Vor Pensionierung</t>
  </si>
  <si>
    <t>Nach Pensionierung</t>
  </si>
  <si>
    <t>Gemäss Einkommen vor Pensionierung</t>
  </si>
  <si>
    <t>Belehnung auf 65%</t>
  </si>
  <si>
    <t>Gemäss Einkommen nach Pensionierung</t>
  </si>
  <si>
    <t>Kalkulatorischer Zins von 5% p.a.</t>
  </si>
  <si>
    <t>Effekt einer Hypothekararmotisation</t>
  </si>
  <si>
    <t>Amortisation</t>
  </si>
  <si>
    <t>Zinskosten netto</t>
  </si>
  <si>
    <r>
      <t>Steuerersparnis</t>
    </r>
    <r>
      <rPr>
        <vertAlign val="superscript"/>
        <sz val="11"/>
        <color theme="1"/>
        <rFont val="Calibri"/>
        <family val="2"/>
        <scheme val="minor"/>
      </rPr>
      <t>1)</t>
    </r>
  </si>
  <si>
    <t>Zinsersp. auf abfliessendem Kap.</t>
  </si>
  <si>
    <t>Zinsersparnis netto</t>
  </si>
  <si>
    <r>
      <t>Wegfallende Steuerersparnis</t>
    </r>
    <r>
      <rPr>
        <vertAlign val="superscript"/>
        <sz val="11"/>
        <color theme="1"/>
        <rFont val="Calibri"/>
        <family val="2"/>
        <scheme val="minor"/>
      </rPr>
      <t>1)</t>
    </r>
  </si>
  <si>
    <t>Opportunitätskosten netto</t>
  </si>
  <si>
    <t>Wertschriftenerträge</t>
  </si>
  <si>
    <r>
      <t>Zusätzliche Steuerbelastung</t>
    </r>
    <r>
      <rPr>
        <vertAlign val="superscript"/>
        <sz val="11"/>
        <color theme="1"/>
        <rFont val="Calibri"/>
        <family val="2"/>
        <scheme val="minor"/>
      </rPr>
      <t>2)</t>
    </r>
  </si>
  <si>
    <t>Mehraufwand p.a.</t>
  </si>
  <si>
    <t>Rentenbezug</t>
  </si>
  <si>
    <t>Kapitalbezug</t>
  </si>
  <si>
    <t>Sicherheit</t>
  </si>
  <si>
    <t>Flexibilität</t>
  </si>
  <si>
    <t>Einkommenshöhe</t>
  </si>
  <si>
    <t>Hinterlassenenleistungen</t>
  </si>
  <si>
    <t>- Ehepartner</t>
  </si>
  <si>
    <t>- Kinder</t>
  </si>
  <si>
    <t>Besteuerung</t>
  </si>
  <si>
    <t>- Bei der Auszahlung</t>
  </si>
  <si>
    <t>- als Einkommen</t>
  </si>
  <si>
    <t>- als Vermögen</t>
  </si>
  <si>
    <t>Teuerungsausgleich</t>
  </si>
  <si>
    <t>1) Abhängig erbrechtlicher Regelung</t>
  </si>
  <si>
    <t>Rente ist grundsätzlich lebenslang garantiert</t>
  </si>
  <si>
    <t>Keine Flexibilität</t>
  </si>
  <si>
    <t>Fixe Altersrente</t>
  </si>
  <si>
    <t>Sicherheit ist abhängig von der gewählten Anlagestruktur</t>
  </si>
  <si>
    <t>Hohe Flexibilität</t>
  </si>
  <si>
    <t>Abhängig von Lebenserwartung und Erträge aus angelegtem Kapital</t>
  </si>
  <si>
    <t>Gesetzlich vorgeschrieben sind mind. 60% der Altersrene</t>
  </si>
  <si>
    <t>Abhängig des Alters der Kinder</t>
  </si>
  <si>
    <r>
      <t>Erhalt des restlichen Kapitals möglich</t>
    </r>
    <r>
      <rPr>
        <vertAlign val="superscript"/>
        <sz val="9"/>
        <color theme="1"/>
        <rFont val="Calibri"/>
        <family val="2"/>
        <scheme val="minor"/>
      </rPr>
      <t>1)</t>
    </r>
  </si>
  <si>
    <t>Einkommen bei Kanton und Bund zu 100% steuerbar</t>
  </si>
  <si>
    <t>Einmalige Besteuerung getrennt vom übrigen Einkommen</t>
  </si>
  <si>
    <t>Nur Kapitalerträge</t>
  </si>
  <si>
    <t>Nach der Auszahlung als Vermögen steuerbar</t>
  </si>
  <si>
    <t>Gemäss persönlicher Planung</t>
  </si>
  <si>
    <t>Abhängig von den finanziellen Möglichkeiten der Pensionskasse</t>
  </si>
  <si>
    <t>Rente vs. Kapitalbezug</t>
  </si>
  <si>
    <t>Vorteil mehrerer Säule 3a Gefässe</t>
  </si>
  <si>
    <t>Auszahlung mehrerer Gefässe</t>
  </si>
  <si>
    <t>Auszahlung eines Gefässes</t>
  </si>
  <si>
    <t>Endbetrag je Gefäss</t>
  </si>
  <si>
    <t>Kapitalauszahlungsst. je Gefäss</t>
  </si>
  <si>
    <t>Endbetrag</t>
  </si>
  <si>
    <t>Kapitalauszahlungssteuer*</t>
  </si>
  <si>
    <r>
      <t>Anzahl 3a-Gefässe</t>
    </r>
    <r>
      <rPr>
        <vertAlign val="superscript"/>
        <sz val="11"/>
        <color theme="1"/>
        <rFont val="Calibri"/>
        <family val="2"/>
        <scheme val="minor"/>
      </rPr>
      <t>1)</t>
    </r>
  </si>
  <si>
    <t>1) Abhängig kantonalen Bestimmungen und Bezugsvariante der Pensionskasse</t>
  </si>
  <si>
    <t xml:space="preserve">Einkommen </t>
  </si>
  <si>
    <t>MigrosBank Liegenschaft</t>
  </si>
  <si>
    <t>MigrosBank Sparkonto</t>
  </si>
  <si>
    <t>MigrosBank Depot I</t>
  </si>
  <si>
    <t>MigrosBank Depot II</t>
  </si>
  <si>
    <t>Einkommen generell (steuerbar)</t>
  </si>
  <si>
    <t>Pictet Säule 3a Depot</t>
  </si>
  <si>
    <t>SLM Säule 3a Konto</t>
  </si>
  <si>
    <t>MigrosBank SARON</t>
  </si>
  <si>
    <t>MigrosBank Festhypo</t>
  </si>
  <si>
    <t>MigrosBank Festhypo II</t>
  </si>
  <si>
    <t>AXA Säule 3b</t>
  </si>
  <si>
    <t>Säule 3a Beitrag</t>
  </si>
  <si>
    <t>Säule 3b Beitrag</t>
  </si>
  <si>
    <t>Einkommen aus Selbstständigkeit</t>
  </si>
  <si>
    <t>Erneuerung MigrosBank SARON</t>
  </si>
  <si>
    <t>Erneuerung MigrosBank FestII</t>
  </si>
  <si>
    <t>Erneuerung MigrosBank FestI</t>
  </si>
  <si>
    <t>Erneuerung Festhypo Raiffeisen</t>
  </si>
  <si>
    <t>Aktionsplan (1/0)</t>
  </si>
  <si>
    <t>Teilpensionierung 20%, Kapitalbezug 135'000</t>
  </si>
  <si>
    <t>Pensionierung, Kapitalbezug 135'000</t>
  </si>
  <si>
    <t>Auszahlung</t>
  </si>
  <si>
    <t>Einzahlung Maximalbetrag</t>
  </si>
  <si>
    <t>Bezug</t>
  </si>
  <si>
    <t>Einzahlung Maximalbetrag und Bezug</t>
  </si>
  <si>
    <t>AHV-Einzelrente</t>
  </si>
  <si>
    <t>AHV-Ehepaarrente</t>
  </si>
  <si>
    <t>MigrosBank Säule 3a Depot</t>
  </si>
  <si>
    <t>Einzahlung Maximalbetrag (20% Erwerbeinkommen</t>
  </si>
  <si>
    <t>Einzahlung Maximalbetrag (20% Erwerbseinkommen) und Bezug</t>
  </si>
  <si>
    <t>MigrosBank Säule 3a Konto</t>
  </si>
  <si>
    <t>Pensionierung, 100% Rentenbezug</t>
  </si>
  <si>
    <t>Neues Säule 3a Gefäss</t>
  </si>
  <si>
    <t>Eröffnung neues Säule 3a Gefäss und Einzahlung Maximalbetrag</t>
  </si>
  <si>
    <t>Abziehb</t>
  </si>
  <si>
    <t>Fahrkosten</t>
  </si>
  <si>
    <t>Auswärtige Verpflegung</t>
  </si>
  <si>
    <t>Übrige Berufskosten</t>
  </si>
  <si>
    <t>Verheiratetenabzug</t>
  </si>
  <si>
    <t>Auswärtiger Wochenaufenthalt</t>
  </si>
  <si>
    <t>Berufskosten</t>
  </si>
  <si>
    <t>Sparbeitrag</t>
  </si>
  <si>
    <t>Pensionskasseneinkauf</t>
  </si>
  <si>
    <t>Grundlage Finanzplan</t>
  </si>
  <si>
    <t>Finanzplan Variante I</t>
  </si>
  <si>
    <t>Anzuzeigende Jahre</t>
  </si>
  <si>
    <t>PlanVar</t>
  </si>
  <si>
    <t>PlanBeg</t>
  </si>
  <si>
    <t>Steuerbare Kapitalauszahlungen</t>
  </si>
  <si>
    <t>Bereichsname steuerbares Einkommen</t>
  </si>
  <si>
    <t>Bereichsname steuerbares Vermögen</t>
  </si>
  <si>
    <t>Bereichsname steuerbare Kapitalauszahlungen</t>
  </si>
  <si>
    <t>StbarEink</t>
  </si>
  <si>
    <t>StbarVerm</t>
  </si>
  <si>
    <t>StbarKap</t>
  </si>
  <si>
    <t>Zinssatz</t>
  </si>
  <si>
    <t>Einkauf</t>
  </si>
  <si>
    <t>Steuerersparnis</t>
  </si>
  <si>
    <t>Steuerersparnis Einkommen</t>
  </si>
  <si>
    <t>Steuerersparnis Vermögen</t>
  </si>
  <si>
    <t>Steuerbares Einkommen nach Einz.</t>
  </si>
  <si>
    <t>Steuerbares Vermögen nach Einz.</t>
  </si>
  <si>
    <t>Hilsfzeile Veränderung steuerbares Vermögen</t>
  </si>
  <si>
    <t>Steuerbare Kapitalauszahlungen n. Ausz.</t>
  </si>
  <si>
    <t>Zus. Kapitalauszahlungssteuer</t>
  </si>
  <si>
    <t>Interner Zinssatz</t>
  </si>
  <si>
    <t>Cashflows (netto)</t>
  </si>
  <si>
    <r>
      <t>Steuersituation</t>
    </r>
    <r>
      <rPr>
        <b/>
        <vertAlign val="superscript"/>
        <sz val="11"/>
        <color theme="1"/>
        <rFont val="Calibri"/>
        <family val="2"/>
        <scheme val="minor"/>
      </rPr>
      <t>1)</t>
    </r>
  </si>
  <si>
    <r>
      <t>Auszahlung</t>
    </r>
    <r>
      <rPr>
        <b/>
        <vertAlign val="superscript"/>
        <sz val="11"/>
        <color theme="1"/>
        <rFont val="Calibri"/>
        <family val="2"/>
        <scheme val="minor"/>
      </rPr>
      <t>2)</t>
    </r>
  </si>
  <si>
    <t>2) Konservativ keine Verzinsung auf Pensionskassenkapital</t>
  </si>
  <si>
    <t>Bezeichnung</t>
  </si>
  <si>
    <t>Aktionsplan</t>
  </si>
  <si>
    <t>Text Aktionsplan</t>
  </si>
  <si>
    <t>Erneuerung Hyporthek</t>
  </si>
  <si>
    <t>Neues Säule 3a Gefäss III</t>
  </si>
  <si>
    <r>
      <t>Steuerbare Kapitalauszahlungen</t>
    </r>
    <r>
      <rPr>
        <b/>
        <vertAlign val="superscript"/>
        <sz val="11"/>
        <color theme="1"/>
        <rFont val="Calibri"/>
        <family val="2"/>
        <scheme val="minor"/>
      </rPr>
      <t>1)</t>
    </r>
  </si>
  <si>
    <t>StbarKapEinz</t>
  </si>
  <si>
    <t>Gestaffelter Bezug der Vorsorgegelder</t>
  </si>
  <si>
    <r>
      <t>Steuerersparnis, Nettobarwert</t>
    </r>
    <r>
      <rPr>
        <b/>
        <vertAlign val="superscript"/>
        <sz val="11"/>
        <color theme="1"/>
        <rFont val="Calibri"/>
        <family val="2"/>
        <scheme val="minor"/>
      </rPr>
      <t>3)</t>
    </r>
  </si>
  <si>
    <t>Vermögens- und Steuerentwicklung</t>
  </si>
  <si>
    <t>Bereichsname Gesamtsteuern</t>
  </si>
  <si>
    <t>Bereichsname freies Vermögen</t>
  </si>
  <si>
    <t>SteuernGes</t>
  </si>
  <si>
    <t>FreiVerm</t>
  </si>
  <si>
    <t>Finanzplan</t>
  </si>
  <si>
    <t>Bereichsname Planbeginn</t>
  </si>
  <si>
    <t>Gesamtvermögen</t>
  </si>
  <si>
    <t>In TCHF</t>
  </si>
  <si>
    <t>2) Unter Annahme, dass 50% der Wertschriftserträge steuerbar sind</t>
  </si>
  <si>
    <t>aggregiert</t>
  </si>
  <si>
    <t>Nettobarwert</t>
  </si>
  <si>
    <r>
      <t>Endbetrag Alternativgefäss</t>
    </r>
    <r>
      <rPr>
        <vertAlign val="superscript"/>
        <sz val="11"/>
        <color theme="1"/>
        <rFont val="Calibri"/>
        <family val="2"/>
        <scheme val="minor"/>
      </rPr>
      <t>1)</t>
    </r>
  </si>
  <si>
    <t>1) Verzinste Steuerersparnis</t>
  </si>
  <si>
    <t>Teilpensionierung 20%, 100% Kapitalbezug (ca. 249 TCHF)</t>
  </si>
  <si>
    <t>Pensionierung, Kapitalbezug 251 TCHF</t>
  </si>
  <si>
    <t>Pensionierung, Kapitalbezug 521 TCHF</t>
  </si>
  <si>
    <t>Kapitalbezug von Einkauf</t>
  </si>
  <si>
    <t>Kapitalbezug 230 TCHF von Alterskapital (und Einkauf)</t>
  </si>
  <si>
    <t>Kapitalbezug 500 TCHF von Alterskapital (und Einkauf)</t>
  </si>
  <si>
    <t>Finanzplan Variante II</t>
  </si>
  <si>
    <t>Finanzplan Variante III</t>
  </si>
  <si>
    <t>Vorsorgegelder aus der dritten Säule können ab dem Alter 60 bis zum Erreichen des ordentlichen Rentenalters bezogen werden. Sofern verschiedene Vorsorgeverhältnisse bestehen, können diese in unterschiedlichen Steuerperioden aufgelöst werden.
Wird nach dem Erreichen des ordentlichen AHV-Alters weiter einer Erwerbstätigkeit nachgegangen, müssen die Vorsorgeverhältnisse bis zur definitiven Aufgabe der Erwerbstätigkeit aufgelöst werden. (Spätestens jedoch bis zum 70. Altersjahr)</t>
  </si>
  <si>
    <t>Cooper</t>
  </si>
  <si>
    <t>Sheldon</t>
  </si>
  <si>
    <t>Farrah Fowler</t>
  </si>
  <si>
    <t>Amy</t>
  </si>
  <si>
    <t>Pasadena</t>
  </si>
  <si>
    <t>Unterhaltskosten Leonard</t>
  </si>
  <si>
    <t>Liegenschaft Pasadena</t>
  </si>
  <si>
    <t>Pensionskasse McDonalds</t>
  </si>
  <si>
    <t>Pensionskasse Caltec</t>
  </si>
  <si>
    <t>Eigenmietwert Pasadena</t>
  </si>
  <si>
    <t>Liegenschaftsk. Pasadena (20% Mietwert)</t>
  </si>
  <si>
    <t>Hypothekarsituation Liegenschaft Pasadena</t>
  </si>
  <si>
    <t>Liegenschaftssteuer Pasadena</t>
  </si>
  <si>
    <t>Liegenschaftsk. New York (20% Mietwert)</t>
  </si>
  <si>
    <t>Liegenschaftssteuer New York</t>
  </si>
  <si>
    <t>Eigenmietwert EH New York</t>
  </si>
  <si>
    <t>Liegenschaftsk. EH New York (20% Mietwert)</t>
  </si>
  <si>
    <t>Mietertrag New York</t>
  </si>
  <si>
    <t>PostFinance Liegenschaftskonto</t>
  </si>
  <si>
    <t>PostFinance Privatkonto</t>
  </si>
  <si>
    <t>PostFinance Sparkonto</t>
  </si>
  <si>
    <t>PostFinance Festhypo</t>
  </si>
  <si>
    <t>PostFinance Säule 3a Depot I</t>
  </si>
  <si>
    <t>PostFinance Säule 3a Depot II</t>
  </si>
  <si>
    <t>Liegenschaft in New York</t>
  </si>
  <si>
    <t>Nach einem Einkauf in die zweite Säule besteht eine dreijährige Sperrfrist in welcher keine Kapitalleistungen aus der zweiten Säule (Pensionskasse und Freizügigkeit) bezogen werden darf. (Ausnahme bei Scheidungen)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</si>
</sst>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 #,##0.00_ ;_ * \-#,##0.00_ ;_ * &quot;-&quot;??_ ;_ @_ "/>
    <numFmt numFmtId="164" formatCode="_ * #,##0._ ;_ * \-#,##0._ ;_ * &quot;0&quot;??_ ;_ @_ "/>
    <numFmt numFmtId="165" formatCode="0.0"/>
    <numFmt numFmtId="166" formatCode="_ * #,##0_ ;_ * \-#,##0_ ;_ * &quot;-&quot;??_ ;_ @_ "/>
    <numFmt numFmtId="167" formatCode="0.0%"/>
    <numFmt numFmtId="168" formatCode="#,##0,"/>
    <numFmt numFmtId="169" formatCode="_ * #,##0.00000_ ;_ * \-#,##0.00000_ ;_ * &quot;-&quot;??_ ;_ @_ "/>
  </numFmts>
  <fonts count="28" x14ac:knownFonts="1">
    <font>
      <sz val="11"/>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i/>
      <sz val="22"/>
      <color theme="1"/>
      <name val="Calibri"/>
      <family val="2"/>
      <scheme val="minor"/>
    </font>
    <font>
      <i/>
      <sz val="11"/>
      <color theme="1"/>
      <name val="Calibri"/>
      <family val="2"/>
      <scheme val="minor"/>
    </font>
    <font>
      <b/>
      <i/>
      <sz val="11"/>
      <color theme="1"/>
      <name val="Calibri"/>
      <family val="2"/>
      <scheme val="minor"/>
    </font>
    <font>
      <i/>
      <sz val="8"/>
      <color theme="1"/>
      <name val="Calibri"/>
      <family val="2"/>
      <scheme val="minor"/>
    </font>
    <font>
      <sz val="11"/>
      <color rgb="FF00B050"/>
      <name val="Calibri"/>
      <family val="2"/>
      <scheme val="minor"/>
    </font>
    <font>
      <i/>
      <u/>
      <sz val="11"/>
      <color theme="1"/>
      <name val="Calibri"/>
      <family val="2"/>
      <scheme val="minor"/>
    </font>
    <font>
      <sz val="24"/>
      <color theme="1"/>
      <name val="Calibri"/>
      <family val="2"/>
      <scheme val="minor"/>
    </font>
    <font>
      <i/>
      <sz val="10"/>
      <color theme="1"/>
      <name val="Calibri"/>
      <family val="2"/>
      <scheme val="minor"/>
    </font>
    <font>
      <sz val="11"/>
      <color rgb="FF000000"/>
      <name val="Calibri"/>
      <family val="2"/>
    </font>
    <font>
      <sz val="8"/>
      <color theme="1"/>
      <name val="Calibri"/>
      <family val="2"/>
      <scheme val="minor"/>
    </font>
    <font>
      <b/>
      <sz val="8"/>
      <color theme="1"/>
      <name val="Calibri"/>
      <family val="2"/>
      <scheme val="minor"/>
    </font>
    <font>
      <sz val="7"/>
      <color theme="1"/>
      <name val="Calibri"/>
      <family val="2"/>
      <scheme val="minor"/>
    </font>
    <font>
      <b/>
      <sz val="7"/>
      <color theme="1"/>
      <name val="Calibri"/>
      <family val="2"/>
      <scheme val="minor"/>
    </font>
    <font>
      <i/>
      <sz val="7"/>
      <color theme="1"/>
      <name val="Calibri"/>
      <family val="2"/>
      <scheme val="minor"/>
    </font>
    <font>
      <sz val="9"/>
      <color theme="1"/>
      <name val="Calibri"/>
      <family val="2"/>
      <scheme val="minor"/>
    </font>
    <font>
      <i/>
      <sz val="9"/>
      <color theme="1"/>
      <name val="Calibri"/>
      <family val="2"/>
      <scheme val="minor"/>
    </font>
    <font>
      <i/>
      <sz val="11"/>
      <color rgb="FF00B050"/>
      <name val="Calibri"/>
      <family val="2"/>
      <scheme val="minor"/>
    </font>
    <font>
      <vertAlign val="superscript"/>
      <sz val="11"/>
      <color theme="1"/>
      <name val="Calibri"/>
      <family val="2"/>
      <scheme val="minor"/>
    </font>
    <font>
      <vertAlign val="superscript"/>
      <sz val="9"/>
      <color theme="1"/>
      <name val="Calibri"/>
      <family val="2"/>
      <scheme val="minor"/>
    </font>
    <font>
      <b/>
      <vertAlign val="superscript"/>
      <sz val="11"/>
      <color theme="1"/>
      <name val="Calibri"/>
      <family val="2"/>
      <scheme val="minor"/>
    </font>
    <font>
      <i/>
      <sz val="11"/>
      <color rgb="FFFF0000"/>
      <name val="Calibri"/>
      <family val="2"/>
      <scheme val="minor"/>
    </font>
    <font>
      <b/>
      <sz val="11"/>
      <color rgb="FF00B050"/>
      <name val="Calibri"/>
      <family val="2"/>
      <scheme val="minor"/>
    </font>
    <font>
      <b/>
      <i/>
      <sz val="11"/>
      <color rgb="FF00B050"/>
      <name val="Calibri"/>
      <family val="2"/>
      <scheme val="minor"/>
    </font>
    <font>
      <sz val="10"/>
      <color theme="1"/>
      <name val="Calibri"/>
      <family val="2"/>
      <scheme val="minor"/>
    </font>
  </fonts>
  <fills count="3">
    <fill>
      <patternFill patternType="none"/>
    </fill>
    <fill>
      <patternFill patternType="gray125"/>
    </fill>
    <fill>
      <patternFill patternType="solid">
        <fgColor rgb="FFFFFF00"/>
        <bgColor indexed="64"/>
      </patternFill>
    </fill>
  </fills>
  <borders count="5">
    <border>
      <left/>
      <right/>
      <top/>
      <bottom/>
      <diagonal/>
    </border>
    <border>
      <left/>
      <right/>
      <top/>
      <bottom style="dotted">
        <color auto="1"/>
      </bottom>
      <diagonal/>
    </border>
    <border>
      <left/>
      <right/>
      <top style="dotted">
        <color auto="1"/>
      </top>
      <bottom style="dotted">
        <color auto="1"/>
      </bottom>
      <diagonal/>
    </border>
    <border>
      <left/>
      <right/>
      <top style="dotted">
        <color auto="1"/>
      </top>
      <bottom/>
      <diagonal/>
    </border>
    <border>
      <left/>
      <right/>
      <top style="thin">
        <color indexed="64"/>
      </top>
      <bottom style="dotted">
        <color auto="1"/>
      </bottom>
      <diagonal/>
    </border>
  </borders>
  <cellStyleXfs count="4">
    <xf numFmtId="0" fontId="0" fillId="0" borderId="0"/>
    <xf numFmtId="43" fontId="1" fillId="0" borderId="0" applyFont="0" applyFill="0" applyBorder="0" applyAlignment="0" applyProtection="0"/>
    <xf numFmtId="0" fontId="3" fillId="0" borderId="0" applyNumberFormat="0" applyFill="0" applyBorder="0" applyAlignment="0" applyProtection="0"/>
    <xf numFmtId="9" fontId="1" fillId="0" borderId="0" applyFont="0" applyFill="0" applyBorder="0" applyAlignment="0" applyProtection="0"/>
  </cellStyleXfs>
  <cellXfs count="152">
    <xf numFmtId="0" fontId="0" fillId="0" borderId="0" xfId="0"/>
    <xf numFmtId="0" fontId="0" fillId="2" borderId="0" xfId="0" applyFill="1"/>
    <xf numFmtId="0" fontId="3" fillId="0" borderId="0" xfId="2"/>
    <xf numFmtId="0" fontId="2" fillId="0" borderId="0" xfId="0" applyFont="1"/>
    <xf numFmtId="164" fontId="0" fillId="0" borderId="0" xfId="1" applyNumberFormat="1" applyFont="1"/>
    <xf numFmtId="0" fontId="0" fillId="0" borderId="0" xfId="0" applyAlignment="1">
      <alignment vertical="center"/>
    </xf>
    <xf numFmtId="43" fontId="0" fillId="0" borderId="0" xfId="1" applyFont="1" applyAlignment="1">
      <alignment vertical="center"/>
    </xf>
    <xf numFmtId="43" fontId="0" fillId="0" borderId="0" xfId="1" applyFont="1"/>
    <xf numFmtId="3" fontId="0" fillId="0" borderId="0" xfId="0" applyNumberFormat="1"/>
    <xf numFmtId="165" fontId="0" fillId="0" borderId="0" xfId="0" applyNumberFormat="1"/>
    <xf numFmtId="0" fontId="5" fillId="0" borderId="0" xfId="0" applyFont="1"/>
    <xf numFmtId="43" fontId="5" fillId="0" borderId="0" xfId="1" applyFont="1"/>
    <xf numFmtId="166" fontId="0" fillId="0" borderId="0" xfId="1" applyNumberFormat="1" applyFont="1"/>
    <xf numFmtId="0" fontId="0" fillId="0" borderId="0" xfId="0" applyAlignment="1">
      <alignment horizontal="center"/>
    </xf>
    <xf numFmtId="167" fontId="0" fillId="0" borderId="0" xfId="0" applyNumberFormat="1" applyAlignment="1">
      <alignment horizontal="center"/>
    </xf>
    <xf numFmtId="0" fontId="2" fillId="0" borderId="0" xfId="0" applyFont="1" applyAlignment="1">
      <alignment horizontal="center"/>
    </xf>
    <xf numFmtId="166" fontId="5" fillId="0" borderId="0" xfId="1" applyNumberFormat="1" applyFont="1"/>
    <xf numFmtId="0" fontId="7" fillId="0" borderId="0" xfId="0" applyFont="1"/>
    <xf numFmtId="3" fontId="0" fillId="0" borderId="0" xfId="0" applyNumberFormat="1" applyAlignment="1">
      <alignment horizontal="center"/>
    </xf>
    <xf numFmtId="3" fontId="8" fillId="0" borderId="0" xfId="0" applyNumberFormat="1" applyFont="1" applyAlignment="1">
      <alignment horizontal="center"/>
    </xf>
    <xf numFmtId="3" fontId="2" fillId="0" borderId="0" xfId="0" applyNumberFormat="1" applyFont="1" applyAlignment="1">
      <alignment horizontal="center"/>
    </xf>
    <xf numFmtId="0" fontId="6" fillId="0" borderId="0" xfId="0" applyFont="1"/>
    <xf numFmtId="0" fontId="9" fillId="0" borderId="0" xfId="0" applyFont="1"/>
    <xf numFmtId="14" fontId="0" fillId="0" borderId="0" xfId="0" applyNumberFormat="1"/>
    <xf numFmtId="14" fontId="5" fillId="0" borderId="0" xfId="0" applyNumberFormat="1" applyFont="1" applyAlignment="1">
      <alignment horizontal="left"/>
    </xf>
    <xf numFmtId="14" fontId="5" fillId="0" borderId="0" xfId="0" applyNumberFormat="1" applyFont="1"/>
    <xf numFmtId="0" fontId="4" fillId="0" borderId="0" xfId="0" applyFont="1" applyAlignment="1">
      <alignment vertical="center"/>
    </xf>
    <xf numFmtId="166" fontId="0" fillId="0" borderId="0" xfId="1" applyNumberFormat="1" applyFont="1" applyAlignment="1">
      <alignment vertical="center"/>
    </xf>
    <xf numFmtId="0" fontId="11" fillId="0" borderId="0" xfId="0" applyFont="1" applyAlignment="1">
      <alignment horizontal="center" vertical="center"/>
    </xf>
    <xf numFmtId="0" fontId="11" fillId="0" borderId="0" xfId="0" applyFont="1" applyAlignment="1">
      <alignment horizontal="center"/>
    </xf>
    <xf numFmtId="0" fontId="10" fillId="0" borderId="0" xfId="0" applyFont="1"/>
    <xf numFmtId="0" fontId="2" fillId="0" borderId="1" xfId="0" applyFont="1" applyBorder="1"/>
    <xf numFmtId="0" fontId="11" fillId="0" borderId="1" xfId="0" applyFont="1" applyBorder="1" applyAlignment="1">
      <alignment horizontal="center"/>
    </xf>
    <xf numFmtId="166" fontId="2" fillId="0" borderId="1" xfId="1" applyNumberFormat="1" applyFont="1" applyBorder="1" applyAlignment="1"/>
    <xf numFmtId="0" fontId="0" fillId="0" borderId="2" xfId="0" applyBorder="1"/>
    <xf numFmtId="166" fontId="0" fillId="0" borderId="2" xfId="1" applyNumberFormat="1" applyFont="1" applyBorder="1"/>
    <xf numFmtId="0" fontId="2" fillId="0" borderId="2" xfId="0" applyFont="1" applyBorder="1"/>
    <xf numFmtId="166" fontId="2" fillId="0" borderId="2" xfId="1" applyNumberFormat="1" applyFont="1" applyBorder="1" applyAlignment="1"/>
    <xf numFmtId="0" fontId="5" fillId="0" borderId="3" xfId="0" applyFont="1" applyBorder="1"/>
    <xf numFmtId="166" fontId="5" fillId="0" borderId="3" xfId="1" applyNumberFormat="1" applyFont="1" applyBorder="1"/>
    <xf numFmtId="0" fontId="0" fillId="2" borderId="0" xfId="0" applyFill="1" applyAlignment="1">
      <alignment vertical="center"/>
    </xf>
    <xf numFmtId="0" fontId="7" fillId="0" borderId="0" xfId="0" applyFont="1" applyAlignment="1">
      <alignment vertical="center"/>
    </xf>
    <xf numFmtId="0" fontId="7" fillId="0" borderId="0" xfId="0" applyFont="1" applyAlignment="1">
      <alignment horizontal="center"/>
    </xf>
    <xf numFmtId="0" fontId="15" fillId="0" borderId="0" xfId="0" applyFont="1" applyAlignment="1">
      <alignment vertical="center"/>
    </xf>
    <xf numFmtId="0" fontId="15" fillId="0" borderId="0" xfId="0" applyFont="1"/>
    <xf numFmtId="9" fontId="0" fillId="0" borderId="0" xfId="1" applyNumberFormat="1" applyFont="1"/>
    <xf numFmtId="10" fontId="0" fillId="0" borderId="0" xfId="1" applyNumberFormat="1" applyFont="1"/>
    <xf numFmtId="0" fontId="14" fillId="0" borderId="1" xfId="0" applyFont="1" applyBorder="1"/>
    <xf numFmtId="0" fontId="13" fillId="0" borderId="1" xfId="0" applyFont="1" applyBorder="1"/>
    <xf numFmtId="0" fontId="7" fillId="0" borderId="1" xfId="0" applyFont="1" applyBorder="1" applyAlignment="1">
      <alignment horizontal="center"/>
    </xf>
    <xf numFmtId="167" fontId="7" fillId="0" borderId="1" xfId="3" applyNumberFormat="1" applyFont="1" applyBorder="1" applyAlignment="1">
      <alignment horizontal="center"/>
    </xf>
    <xf numFmtId="0" fontId="16" fillId="0" borderId="1" xfId="0" applyFont="1" applyBorder="1"/>
    <xf numFmtId="0" fontId="7" fillId="0" borderId="2" xfId="0" applyFont="1" applyBorder="1"/>
    <xf numFmtId="0" fontId="7" fillId="0" borderId="2" xfId="0" applyFont="1" applyBorder="1" applyAlignment="1">
      <alignment horizontal="center"/>
    </xf>
    <xf numFmtId="167" fontId="7" fillId="0" borderId="2" xfId="3" applyNumberFormat="1" applyFont="1" applyBorder="1" applyAlignment="1">
      <alignment horizontal="center"/>
    </xf>
    <xf numFmtId="0" fontId="17" fillId="0" borderId="2" xfId="0" applyFont="1" applyBorder="1"/>
    <xf numFmtId="0" fontId="14" fillId="0" borderId="2" xfId="0" applyFont="1" applyBorder="1"/>
    <xf numFmtId="0" fontId="13" fillId="0" borderId="2" xfId="0" applyFont="1" applyBorder="1"/>
    <xf numFmtId="168" fontId="16" fillId="0" borderId="2" xfId="0" applyNumberFormat="1" applyFont="1" applyBorder="1"/>
    <xf numFmtId="168" fontId="15" fillId="0" borderId="2" xfId="0" applyNumberFormat="1" applyFont="1" applyBorder="1"/>
    <xf numFmtId="0" fontId="15" fillId="0" borderId="2" xfId="0" applyFont="1" applyBorder="1"/>
    <xf numFmtId="9" fontId="7" fillId="0" borderId="2" xfId="0" applyNumberFormat="1" applyFont="1" applyBorder="1" applyAlignment="1">
      <alignment horizontal="center"/>
    </xf>
    <xf numFmtId="3" fontId="15" fillId="0" borderId="2" xfId="0" applyNumberFormat="1" applyFont="1" applyBorder="1"/>
    <xf numFmtId="3" fontId="7" fillId="0" borderId="2" xfId="3" applyNumberFormat="1" applyFont="1" applyBorder="1" applyAlignment="1">
      <alignment horizontal="center"/>
    </xf>
    <xf numFmtId="3" fontId="16" fillId="0" borderId="2" xfId="0" applyNumberFormat="1" applyFont="1" applyBorder="1"/>
    <xf numFmtId="3" fontId="7" fillId="0" borderId="2" xfId="0" applyNumberFormat="1" applyFont="1" applyBorder="1" applyAlignment="1">
      <alignment horizontal="center"/>
    </xf>
    <xf numFmtId="0" fontId="13" fillId="0" borderId="3" xfId="0" applyFont="1" applyBorder="1"/>
    <xf numFmtId="0" fontId="7" fillId="0" borderId="3" xfId="0" applyFont="1" applyBorder="1" applyAlignment="1">
      <alignment horizontal="center"/>
    </xf>
    <xf numFmtId="167" fontId="7" fillId="0" borderId="3" xfId="3" applyNumberFormat="1" applyFont="1" applyBorder="1" applyAlignment="1">
      <alignment horizontal="center"/>
    </xf>
    <xf numFmtId="3" fontId="7" fillId="0" borderId="3" xfId="3" applyNumberFormat="1" applyFont="1" applyBorder="1" applyAlignment="1">
      <alignment horizontal="center"/>
    </xf>
    <xf numFmtId="168" fontId="15" fillId="0" borderId="3" xfId="0" applyNumberFormat="1" applyFont="1" applyBorder="1"/>
    <xf numFmtId="0" fontId="14" fillId="0" borderId="4" xfId="0" applyFont="1" applyBorder="1"/>
    <xf numFmtId="0" fontId="13" fillId="0" borderId="4" xfId="0" applyFont="1" applyBorder="1"/>
    <xf numFmtId="0" fontId="7" fillId="0" borderId="4" xfId="0" applyFont="1" applyBorder="1" applyAlignment="1">
      <alignment horizontal="center"/>
    </xf>
    <xf numFmtId="167" fontId="7" fillId="0" borderId="4" xfId="3" applyNumberFormat="1" applyFont="1" applyBorder="1" applyAlignment="1">
      <alignment horizontal="center"/>
    </xf>
    <xf numFmtId="3" fontId="7" fillId="0" borderId="4" xfId="3" applyNumberFormat="1" applyFont="1" applyBorder="1" applyAlignment="1">
      <alignment horizontal="center"/>
    </xf>
    <xf numFmtId="168" fontId="16" fillId="0" borderId="4" xfId="0" applyNumberFormat="1" applyFont="1" applyBorder="1"/>
    <xf numFmtId="3" fontId="16" fillId="0" borderId="4" xfId="0" applyNumberFormat="1" applyFont="1" applyBorder="1"/>
    <xf numFmtId="9" fontId="0" fillId="2" borderId="0" xfId="0" applyNumberFormat="1" applyFill="1"/>
    <xf numFmtId="166" fontId="0" fillId="0" borderId="0" xfId="0" applyNumberFormat="1"/>
    <xf numFmtId="166" fontId="5" fillId="0" borderId="2" xfId="1" applyNumberFormat="1" applyFont="1" applyBorder="1" applyAlignment="1">
      <alignment horizontal="center"/>
    </xf>
    <xf numFmtId="167" fontId="5" fillId="0" borderId="2" xfId="1" applyNumberFormat="1" applyFont="1" applyBorder="1" applyAlignment="1">
      <alignment horizontal="right"/>
    </xf>
    <xf numFmtId="166" fontId="5" fillId="0" borderId="1" xfId="1" applyNumberFormat="1" applyFont="1" applyBorder="1" applyAlignment="1">
      <alignment horizontal="center"/>
    </xf>
    <xf numFmtId="166" fontId="6" fillId="0" borderId="1" xfId="1" applyNumberFormat="1" applyFont="1" applyBorder="1" applyAlignment="1">
      <alignment horizontal="center"/>
    </xf>
    <xf numFmtId="3" fontId="20" fillId="0" borderId="0" xfId="0" applyNumberFormat="1" applyFont="1" applyAlignment="1">
      <alignment horizontal="center"/>
    </xf>
    <xf numFmtId="166" fontId="5" fillId="0" borderId="0" xfId="1" applyNumberFormat="1" applyFont="1" applyBorder="1" applyAlignment="1">
      <alignment horizontal="center"/>
    </xf>
    <xf numFmtId="166" fontId="6" fillId="0" borderId="0" xfId="1" applyNumberFormat="1" applyFont="1" applyBorder="1" applyAlignment="1">
      <alignment horizontal="center"/>
    </xf>
    <xf numFmtId="166" fontId="19" fillId="0" borderId="0" xfId="1" applyNumberFormat="1" applyFont="1" applyBorder="1" applyAlignment="1">
      <alignment horizontal="center"/>
    </xf>
    <xf numFmtId="0" fontId="0" fillId="0" borderId="0" xfId="0" applyAlignment="1">
      <alignment vertical="top" wrapText="1"/>
    </xf>
    <xf numFmtId="0" fontId="19" fillId="0" borderId="2" xfId="0" applyFont="1" applyBorder="1"/>
    <xf numFmtId="9" fontId="11" fillId="0" borderId="1" xfId="3" applyFont="1" applyBorder="1" applyAlignment="1">
      <alignment horizontal="right"/>
    </xf>
    <xf numFmtId="9" fontId="11" fillId="0" borderId="0" xfId="3" applyFont="1" applyBorder="1" applyAlignment="1">
      <alignment horizontal="right"/>
    </xf>
    <xf numFmtId="0" fontId="0" fillId="0" borderId="1" xfId="0" applyBorder="1"/>
    <xf numFmtId="9" fontId="5" fillId="0" borderId="1" xfId="3" applyFont="1" applyBorder="1" applyAlignment="1">
      <alignment horizontal="right"/>
    </xf>
    <xf numFmtId="0" fontId="1" fillId="0" borderId="0" xfId="0" applyFont="1"/>
    <xf numFmtId="167" fontId="5" fillId="0" borderId="1" xfId="3" applyNumberFormat="1" applyFont="1" applyBorder="1" applyAlignment="1">
      <alignment horizontal="right"/>
    </xf>
    <xf numFmtId="166" fontId="6" fillId="0" borderId="1" xfId="1" applyNumberFormat="1" applyFont="1" applyBorder="1" applyAlignment="1">
      <alignment horizontal="right"/>
    </xf>
    <xf numFmtId="166" fontId="5" fillId="0" borderId="1" xfId="1" applyNumberFormat="1" applyFont="1" applyBorder="1" applyAlignment="1">
      <alignment horizontal="right"/>
    </xf>
    <xf numFmtId="0" fontId="18" fillId="0" borderId="1" xfId="0" applyFont="1" applyBorder="1"/>
    <xf numFmtId="0" fontId="18" fillId="0" borderId="0" xfId="0" applyFont="1"/>
    <xf numFmtId="0" fontId="18" fillId="0" borderId="1" xfId="0" quotePrefix="1" applyFont="1" applyBorder="1"/>
    <xf numFmtId="167" fontId="0" fillId="0" borderId="0" xfId="0" applyNumberFormat="1"/>
    <xf numFmtId="10" fontId="0" fillId="0" borderId="0" xfId="0" applyNumberFormat="1"/>
    <xf numFmtId="169" fontId="0" fillId="0" borderId="0" xfId="1" applyNumberFormat="1" applyFont="1"/>
    <xf numFmtId="0" fontId="5" fillId="0" borderId="2" xfId="0" applyFont="1" applyBorder="1"/>
    <xf numFmtId="0" fontId="6" fillId="0" borderId="1" xfId="0" applyFont="1" applyBorder="1"/>
    <xf numFmtId="166" fontId="5" fillId="0" borderId="2" xfId="1" applyNumberFormat="1" applyFont="1" applyBorder="1"/>
    <xf numFmtId="166" fontId="20" fillId="0" borderId="2" xfId="1" applyNumberFormat="1" applyFont="1" applyBorder="1"/>
    <xf numFmtId="166" fontId="7" fillId="0" borderId="0" xfId="1" applyNumberFormat="1" applyFont="1" applyBorder="1" applyAlignment="1">
      <alignment horizontal="left" vertical="top"/>
    </xf>
    <xf numFmtId="0" fontId="18" fillId="0" borderId="2" xfId="0" applyFont="1" applyBorder="1"/>
    <xf numFmtId="166" fontId="19" fillId="0" borderId="2" xfId="1" applyNumberFormat="1" applyFont="1" applyBorder="1"/>
    <xf numFmtId="166" fontId="24" fillId="0" borderId="2" xfId="1" applyNumberFormat="1" applyFont="1" applyBorder="1"/>
    <xf numFmtId="166" fontId="24" fillId="0" borderId="0" xfId="1" applyNumberFormat="1" applyFont="1" applyBorder="1"/>
    <xf numFmtId="166" fontId="6" fillId="0" borderId="1" xfId="0" applyNumberFormat="1" applyFont="1" applyBorder="1"/>
    <xf numFmtId="166" fontId="5" fillId="0" borderId="0" xfId="0" applyNumberFormat="1" applyFont="1"/>
    <xf numFmtId="9" fontId="5" fillId="0" borderId="0" xfId="0" applyNumberFormat="1" applyFont="1"/>
    <xf numFmtId="9" fontId="6" fillId="0" borderId="0" xfId="0" applyNumberFormat="1" applyFont="1"/>
    <xf numFmtId="0" fontId="19" fillId="0" borderId="0" xfId="0" applyFont="1" applyAlignment="1">
      <alignment horizontal="left" vertical="top"/>
    </xf>
    <xf numFmtId="166" fontId="7" fillId="0" borderId="2" xfId="1" applyNumberFormat="1" applyFont="1" applyBorder="1"/>
    <xf numFmtId="0" fontId="19" fillId="0" borderId="0" xfId="0" applyFont="1"/>
    <xf numFmtId="0" fontId="15" fillId="0" borderId="2" xfId="0" applyFont="1" applyBorder="1" applyAlignment="1">
      <alignment wrapText="1"/>
    </xf>
    <xf numFmtId="168" fontId="15" fillId="0" borderId="2" xfId="0" applyNumberFormat="1" applyFont="1" applyBorder="1" applyAlignment="1">
      <alignment horizontal="center" vertical="top" textRotation="180" wrapText="1"/>
    </xf>
    <xf numFmtId="0" fontId="14" fillId="0" borderId="2" xfId="0" applyFont="1" applyBorder="1" applyAlignment="1">
      <alignment vertical="top"/>
    </xf>
    <xf numFmtId="166" fontId="5" fillId="0" borderId="1" xfId="0" applyNumberFormat="1" applyFont="1" applyBorder="1"/>
    <xf numFmtId="0" fontId="5" fillId="0" borderId="1" xfId="0" applyFont="1" applyBorder="1"/>
    <xf numFmtId="166" fontId="5" fillId="0" borderId="2" xfId="0" applyNumberFormat="1" applyFont="1" applyBorder="1"/>
    <xf numFmtId="166" fontId="25" fillId="0" borderId="1" xfId="0" applyNumberFormat="1" applyFont="1" applyBorder="1"/>
    <xf numFmtId="166" fontId="26" fillId="0" borderId="1" xfId="0" applyNumberFormat="1" applyFont="1" applyBorder="1"/>
    <xf numFmtId="168" fontId="0" fillId="0" borderId="2" xfId="0" applyNumberFormat="1" applyBorder="1"/>
    <xf numFmtId="0" fontId="27" fillId="0" borderId="0" xfId="0" applyFont="1"/>
    <xf numFmtId="166" fontId="27" fillId="0" borderId="0" xfId="1" applyNumberFormat="1" applyFont="1"/>
    <xf numFmtId="0" fontId="19" fillId="0" borderId="0" xfId="0" applyFont="1" applyAlignment="1">
      <alignment horizontal="center"/>
    </xf>
    <xf numFmtId="166" fontId="18" fillId="0" borderId="0" xfId="1" applyNumberFormat="1" applyFont="1"/>
    <xf numFmtId="0" fontId="5" fillId="0" borderId="1" xfId="0" applyFont="1" applyBorder="1" applyAlignment="1">
      <alignment horizontal="center"/>
    </xf>
    <xf numFmtId="0" fontId="5" fillId="0" borderId="2" xfId="0" applyFont="1" applyBorder="1" applyAlignment="1">
      <alignment horizontal="center"/>
    </xf>
    <xf numFmtId="0" fontId="5" fillId="0" borderId="3" xfId="0" applyFont="1" applyBorder="1" applyAlignment="1">
      <alignment horizontal="center"/>
    </xf>
    <xf numFmtId="0" fontId="5" fillId="0" borderId="0" xfId="0" applyFont="1" applyAlignment="1">
      <alignment horizontal="center"/>
    </xf>
    <xf numFmtId="166" fontId="0" fillId="2" borderId="0" xfId="1" applyNumberFormat="1" applyFont="1" applyFill="1"/>
    <xf numFmtId="167" fontId="6" fillId="0" borderId="1" xfId="0" applyNumberFormat="1" applyFont="1" applyBorder="1"/>
    <xf numFmtId="43" fontId="0" fillId="2" borderId="0" xfId="1" applyFont="1" applyFill="1"/>
    <xf numFmtId="0" fontId="5" fillId="0" borderId="0" xfId="0" applyFont="1" applyAlignment="1">
      <alignment vertical="top" wrapText="1"/>
    </xf>
    <xf numFmtId="0" fontId="5" fillId="0" borderId="3" xfId="0" applyFont="1" applyBorder="1" applyAlignment="1">
      <alignment vertical="top" wrapText="1"/>
    </xf>
    <xf numFmtId="0" fontId="3" fillId="0" borderId="3" xfId="2" applyBorder="1" applyAlignment="1">
      <alignment vertical="top"/>
    </xf>
    <xf numFmtId="0" fontId="5" fillId="0" borderId="0" xfId="0" applyFont="1" applyAlignment="1">
      <alignment horizontal="left" vertical="top" wrapText="1"/>
    </xf>
    <xf numFmtId="0" fontId="2" fillId="0" borderId="1" xfId="0" applyFont="1" applyBorder="1" applyAlignment="1">
      <alignment horizontal="center"/>
    </xf>
    <xf numFmtId="0" fontId="5" fillId="0" borderId="3" xfId="0" applyFont="1" applyBorder="1" applyAlignment="1">
      <alignment horizontal="left" wrapText="1"/>
    </xf>
    <xf numFmtId="0" fontId="5" fillId="0" borderId="0" xfId="0" applyFont="1" applyAlignment="1">
      <alignment horizontal="left" wrapText="1"/>
    </xf>
    <xf numFmtId="0" fontId="5" fillId="0" borderId="1" xfId="0" applyFont="1" applyBorder="1" applyAlignment="1">
      <alignment horizontal="left" wrapText="1"/>
    </xf>
    <xf numFmtId="0" fontId="5" fillId="0" borderId="3" xfId="0" applyFont="1" applyBorder="1" applyAlignment="1">
      <alignment horizontal="left" vertical="top" wrapText="1"/>
    </xf>
    <xf numFmtId="0" fontId="0" fillId="0" borderId="3" xfId="0" applyBorder="1" applyAlignment="1">
      <alignment horizontal="left" wrapText="1"/>
    </xf>
    <xf numFmtId="0" fontId="0" fillId="0" borderId="0" xfId="0" applyAlignment="1">
      <alignment horizontal="left" wrapText="1"/>
    </xf>
    <xf numFmtId="0" fontId="0" fillId="0" borderId="1" xfId="0" applyBorder="1" applyAlignment="1">
      <alignment horizontal="left" wrapText="1"/>
    </xf>
  </cellXfs>
  <cellStyles count="4">
    <cellStyle name="Komma" xfId="1" builtinId="3"/>
    <cellStyle name="Link" xfId="2" builtinId="8"/>
    <cellStyle name="Prozent" xfId="3" builtinId="5"/>
    <cellStyle name="Standard" xfId="0" builtinId="0"/>
  </cellStyles>
  <dxfs count="16">
    <dxf>
      <fill>
        <patternFill>
          <bgColor theme="0" tint="-4.9989318521683403E-2"/>
        </patternFill>
      </fill>
    </dxf>
    <dxf>
      <fill>
        <patternFill>
          <bgColor theme="0" tint="-4.9989318521683403E-2"/>
        </patternFill>
      </fill>
    </dxf>
    <dxf>
      <fill>
        <patternFill>
          <bgColor theme="0" tint="-4.9989318521683403E-2"/>
        </patternFill>
      </fill>
    </dxf>
    <dxf>
      <numFmt numFmtId="0" formatCode="General"/>
    </dxf>
    <dxf>
      <numFmt numFmtId="0" formatCode="General"/>
    </dxf>
    <dxf>
      <numFmt numFmtId="0" formatCode="General"/>
    </dxf>
    <dxf>
      <numFmt numFmtId="167" formatCode="0.0%"/>
    </dxf>
    <dxf>
      <numFmt numFmtId="14" formatCode="0.00%"/>
    </dxf>
    <dxf>
      <numFmt numFmtId="19" formatCode="dd/mm/yyyy"/>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de-CH"/>
              <a:t>Einkommenssteuer</a:t>
            </a:r>
            <a:r>
              <a:rPr lang="de-CH" baseline="30000"/>
              <a:t>1), 2)</a:t>
            </a:r>
            <a:endParaRPr lang="de-CH"/>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de-CH"/>
        </a:p>
      </c:txPr>
    </c:title>
    <c:autoTitleDeleted val="0"/>
    <c:plotArea>
      <c:layout/>
      <c:lineChart>
        <c:grouping val="standard"/>
        <c:varyColors val="0"/>
        <c:ser>
          <c:idx val="1"/>
          <c:order val="0"/>
          <c:tx>
            <c:strRef>
              <c:f>Steuerbetrachtung!$B$40</c:f>
              <c:strCache>
                <c:ptCount val="1"/>
                <c:pt idx="0">
                  <c:v>Durchschnittssteuersatz in %</c:v>
                </c:pt>
              </c:strCache>
            </c:strRef>
          </c:tx>
          <c:spPr>
            <a:ln w="22225" cap="rnd" cmpd="sng" algn="ctr">
              <a:solidFill>
                <a:schemeClr val="tx1"/>
              </a:solidFill>
              <a:round/>
            </a:ln>
            <a:effectLst/>
          </c:spPr>
          <c:marker>
            <c:symbol val="none"/>
          </c:marker>
          <c:cat>
            <c:numRef>
              <c:f>Steuerbetrachtung!$A$41:$A$127</c:f>
              <c:numCache>
                <c:formatCode>_ * #,##0_ ;_ * \-#,##0_ ;_ * "-"??_ ;_ @_ </c:formatCode>
                <c:ptCount val="87"/>
                <c:pt idx="0">
                  <c:v>90000</c:v>
                </c:pt>
                <c:pt idx="1">
                  <c:v>91000</c:v>
                </c:pt>
                <c:pt idx="2">
                  <c:v>92000</c:v>
                </c:pt>
                <c:pt idx="3">
                  <c:v>93000</c:v>
                </c:pt>
                <c:pt idx="4">
                  <c:v>94000</c:v>
                </c:pt>
                <c:pt idx="5">
                  <c:v>95000</c:v>
                </c:pt>
                <c:pt idx="6">
                  <c:v>96000</c:v>
                </c:pt>
                <c:pt idx="7">
                  <c:v>97000</c:v>
                </c:pt>
                <c:pt idx="8">
                  <c:v>98000</c:v>
                </c:pt>
                <c:pt idx="9">
                  <c:v>99000</c:v>
                </c:pt>
                <c:pt idx="10">
                  <c:v>100000</c:v>
                </c:pt>
                <c:pt idx="11">
                  <c:v>101000</c:v>
                </c:pt>
                <c:pt idx="12">
                  <c:v>102000</c:v>
                </c:pt>
                <c:pt idx="13">
                  <c:v>103000</c:v>
                </c:pt>
                <c:pt idx="14">
                  <c:v>104000</c:v>
                </c:pt>
                <c:pt idx="15">
                  <c:v>105000</c:v>
                </c:pt>
                <c:pt idx="16">
                  <c:v>106000</c:v>
                </c:pt>
                <c:pt idx="17">
                  <c:v>107000</c:v>
                </c:pt>
                <c:pt idx="18">
                  <c:v>108000</c:v>
                </c:pt>
                <c:pt idx="19">
                  <c:v>109000</c:v>
                </c:pt>
                <c:pt idx="20">
                  <c:v>110000</c:v>
                </c:pt>
                <c:pt idx="21">
                  <c:v>111000</c:v>
                </c:pt>
                <c:pt idx="22">
                  <c:v>112000</c:v>
                </c:pt>
                <c:pt idx="23">
                  <c:v>113000</c:v>
                </c:pt>
                <c:pt idx="24">
                  <c:v>114000</c:v>
                </c:pt>
                <c:pt idx="25">
                  <c:v>115000</c:v>
                </c:pt>
                <c:pt idx="26">
                  <c:v>116000</c:v>
                </c:pt>
                <c:pt idx="27">
                  <c:v>117000</c:v>
                </c:pt>
                <c:pt idx="28">
                  <c:v>118000</c:v>
                </c:pt>
                <c:pt idx="29">
                  <c:v>119000</c:v>
                </c:pt>
                <c:pt idx="30">
                  <c:v>120000</c:v>
                </c:pt>
                <c:pt idx="31">
                  <c:v>121000</c:v>
                </c:pt>
                <c:pt idx="32">
                  <c:v>122000</c:v>
                </c:pt>
                <c:pt idx="33">
                  <c:v>123000</c:v>
                </c:pt>
                <c:pt idx="34">
                  <c:v>124000</c:v>
                </c:pt>
                <c:pt idx="35">
                  <c:v>125000</c:v>
                </c:pt>
                <c:pt idx="36">
                  <c:v>126000</c:v>
                </c:pt>
                <c:pt idx="37">
                  <c:v>127000</c:v>
                </c:pt>
                <c:pt idx="38">
                  <c:v>128000</c:v>
                </c:pt>
                <c:pt idx="39">
                  <c:v>129000</c:v>
                </c:pt>
                <c:pt idx="40">
                  <c:v>130000</c:v>
                </c:pt>
                <c:pt idx="41">
                  <c:v>131000</c:v>
                </c:pt>
                <c:pt idx="42">
                  <c:v>132000</c:v>
                </c:pt>
                <c:pt idx="43">
                  <c:v>133000</c:v>
                </c:pt>
                <c:pt idx="44">
                  <c:v>134000</c:v>
                </c:pt>
                <c:pt idx="45">
                  <c:v>135000</c:v>
                </c:pt>
                <c:pt idx="46">
                  <c:v>136000</c:v>
                </c:pt>
                <c:pt idx="47">
                  <c:v>137000</c:v>
                </c:pt>
                <c:pt idx="48">
                  <c:v>138000</c:v>
                </c:pt>
                <c:pt idx="49">
                  <c:v>139000</c:v>
                </c:pt>
                <c:pt idx="50">
                  <c:v>140000</c:v>
                </c:pt>
                <c:pt idx="51">
                  <c:v>141000</c:v>
                </c:pt>
                <c:pt idx="52">
                  <c:v>142000</c:v>
                </c:pt>
                <c:pt idx="53">
                  <c:v>143000</c:v>
                </c:pt>
                <c:pt idx="54">
                  <c:v>144000</c:v>
                </c:pt>
                <c:pt idx="55">
                  <c:v>145000</c:v>
                </c:pt>
                <c:pt idx="56">
                  <c:v>146000</c:v>
                </c:pt>
                <c:pt idx="57">
                  <c:v>147000</c:v>
                </c:pt>
                <c:pt idx="58">
                  <c:v>148000</c:v>
                </c:pt>
                <c:pt idx="59">
                  <c:v>149000</c:v>
                </c:pt>
                <c:pt idx="60">
                  <c:v>150000</c:v>
                </c:pt>
                <c:pt idx="61">
                  <c:v>151000</c:v>
                </c:pt>
                <c:pt idx="62">
                  <c:v>152000</c:v>
                </c:pt>
                <c:pt idx="63">
                  <c:v>153000</c:v>
                </c:pt>
                <c:pt idx="64">
                  <c:v>154000</c:v>
                </c:pt>
                <c:pt idx="65">
                  <c:v>155000</c:v>
                </c:pt>
                <c:pt idx="66">
                  <c:v>156000</c:v>
                </c:pt>
                <c:pt idx="67">
                  <c:v>157000</c:v>
                </c:pt>
                <c:pt idx="68">
                  <c:v>158000</c:v>
                </c:pt>
                <c:pt idx="69">
                  <c:v>159000</c:v>
                </c:pt>
                <c:pt idx="70">
                  <c:v>160000</c:v>
                </c:pt>
                <c:pt idx="71">
                  <c:v>161000</c:v>
                </c:pt>
                <c:pt idx="72">
                  <c:v>162000</c:v>
                </c:pt>
                <c:pt idx="73">
                  <c:v>163000</c:v>
                </c:pt>
                <c:pt idx="74">
                  <c:v>164000</c:v>
                </c:pt>
                <c:pt idx="75">
                  <c:v>165000</c:v>
                </c:pt>
                <c:pt idx="76">
                  <c:v>166000</c:v>
                </c:pt>
                <c:pt idx="77">
                  <c:v>167000</c:v>
                </c:pt>
                <c:pt idx="78">
                  <c:v>168000</c:v>
                </c:pt>
                <c:pt idx="79">
                  <c:v>169000</c:v>
                </c:pt>
                <c:pt idx="80">
                  <c:v>170000</c:v>
                </c:pt>
                <c:pt idx="81">
                  <c:v>171000</c:v>
                </c:pt>
                <c:pt idx="82">
                  <c:v>172000</c:v>
                </c:pt>
                <c:pt idx="83">
                  <c:v>173000</c:v>
                </c:pt>
                <c:pt idx="84">
                  <c:v>174000</c:v>
                </c:pt>
                <c:pt idx="85">
                  <c:v>175000</c:v>
                </c:pt>
                <c:pt idx="86">
                  <c:v>176000</c:v>
                </c:pt>
              </c:numCache>
            </c:numRef>
          </c:cat>
          <c:val>
            <c:numRef>
              <c:f>Steuerbetrachtung!$B$41:$B$127</c:f>
              <c:numCache>
                <c:formatCode>0.0</c:formatCode>
                <c:ptCount val="87"/>
                <c:pt idx="0">
                  <c:v>20.166752388888888</c:v>
                </c:pt>
                <c:pt idx="1">
                  <c:v>20.255625675824174</c:v>
                </c:pt>
                <c:pt idx="2">
                  <c:v>20.341915413043477</c:v>
                </c:pt>
                <c:pt idx="3">
                  <c:v>20.426639489247311</c:v>
                </c:pt>
                <c:pt idx="4">
                  <c:v>20.514071308510641</c:v>
                </c:pt>
                <c:pt idx="5">
                  <c:v>20.605699578947366</c:v>
                </c:pt>
                <c:pt idx="6">
                  <c:v>20.695595833333329</c:v>
                </c:pt>
                <c:pt idx="7">
                  <c:v>20.783782742268041</c:v>
                </c:pt>
                <c:pt idx="8">
                  <c:v>20.869782551020403</c:v>
                </c:pt>
                <c:pt idx="9">
                  <c:v>20.954115626262627</c:v>
                </c:pt>
                <c:pt idx="10">
                  <c:v>21.036801999999998</c:v>
                </c:pt>
                <c:pt idx="11">
                  <c:v>21.117860910891086</c:v>
                </c:pt>
                <c:pt idx="12">
                  <c:v>21.197310843137256</c:v>
                </c:pt>
                <c:pt idx="13">
                  <c:v>21.275169563106797</c:v>
                </c:pt>
                <c:pt idx="14">
                  <c:v>21.351953653846152</c:v>
                </c:pt>
                <c:pt idx="15">
                  <c:v>21.42668054761905</c:v>
                </c:pt>
                <c:pt idx="16">
                  <c:v>21.500365056603773</c:v>
                </c:pt>
                <c:pt idx="17">
                  <c:v>21.57252290186916</c:v>
                </c:pt>
                <c:pt idx="18">
                  <c:v>21.650576148148147</c:v>
                </c:pt>
                <c:pt idx="19">
                  <c:v>21.729329954128438</c:v>
                </c:pt>
                <c:pt idx="20">
                  <c:v>21.806933409090906</c:v>
                </c:pt>
                <c:pt idx="21">
                  <c:v>21.887400103603603</c:v>
                </c:pt>
                <c:pt idx="22">
                  <c:v>21.977240499999997</c:v>
                </c:pt>
                <c:pt idx="23">
                  <c:v>22.065981460176985</c:v>
                </c:pt>
                <c:pt idx="24">
                  <c:v>22.15263977192982</c:v>
                </c:pt>
                <c:pt idx="25">
                  <c:v>22.238229673913043</c:v>
                </c:pt>
                <c:pt idx="26">
                  <c:v>22.322266379310346</c:v>
                </c:pt>
                <c:pt idx="27">
                  <c:v>22.404764098290599</c:v>
                </c:pt>
                <c:pt idx="28">
                  <c:v>22.485736559322032</c:v>
                </c:pt>
                <c:pt idx="29">
                  <c:v>22.565197029411767</c:v>
                </c:pt>
                <c:pt idx="30">
                  <c:v>22.651991166666662</c:v>
                </c:pt>
                <c:pt idx="31">
                  <c:v>22.737660297520659</c:v>
                </c:pt>
                <c:pt idx="32">
                  <c:v>22.821220803278688</c:v>
                </c:pt>
                <c:pt idx="33">
                  <c:v>22.903686565040648</c:v>
                </c:pt>
                <c:pt idx="34">
                  <c:v>22.98507198387097</c:v>
                </c:pt>
                <c:pt idx="35">
                  <c:v>23.064891500000002</c:v>
                </c:pt>
                <c:pt idx="36">
                  <c:v>23.143658111111112</c:v>
                </c:pt>
                <c:pt idx="37">
                  <c:v>23.220885389763779</c:v>
                </c:pt>
                <c:pt idx="38">
                  <c:v>23.297085500000001</c:v>
                </c:pt>
                <c:pt idx="39">
                  <c:v>23.373821100775192</c:v>
                </c:pt>
                <c:pt idx="40">
                  <c:v>23.455184192307691</c:v>
                </c:pt>
                <c:pt idx="41">
                  <c:v>23.535438553435117</c:v>
                </c:pt>
                <c:pt idx="42">
                  <c:v>23.614598030303029</c:v>
                </c:pt>
                <c:pt idx="43">
                  <c:v>23.69267605263158</c:v>
                </c:pt>
                <c:pt idx="44">
                  <c:v>23.769186149253731</c:v>
                </c:pt>
                <c:pt idx="45">
                  <c:v>23.845139962962964</c:v>
                </c:pt>
                <c:pt idx="46">
                  <c:v>23.919550764705882</c:v>
                </c:pt>
                <c:pt idx="47">
                  <c:v>23.995849675182484</c:v>
                </c:pt>
                <c:pt idx="48">
                  <c:v>24.093416065217394</c:v>
                </c:pt>
                <c:pt idx="49">
                  <c:v>24.189370197841729</c:v>
                </c:pt>
                <c:pt idx="50">
                  <c:v>24.28472421428571</c:v>
                </c:pt>
                <c:pt idx="51">
                  <c:v>24.377992382978722</c:v>
                </c:pt>
                <c:pt idx="52">
                  <c:v>24.470186112676053</c:v>
                </c:pt>
                <c:pt idx="53">
                  <c:v>24.56621256993007</c:v>
                </c:pt>
                <c:pt idx="54">
                  <c:v>24.662704222222224</c:v>
                </c:pt>
                <c:pt idx="55">
                  <c:v>24.758061310344829</c:v>
                </c:pt>
                <c:pt idx="56">
                  <c:v>24.851797383561642</c:v>
                </c:pt>
                <c:pt idx="57">
                  <c:v>24.949186540816328</c:v>
                </c:pt>
                <c:pt idx="58">
                  <c:v>25.047441905405403</c:v>
                </c:pt>
                <c:pt idx="59">
                  <c:v>25.14872104362416</c:v>
                </c:pt>
                <c:pt idx="60">
                  <c:v>25.250776333333331</c:v>
                </c:pt>
                <c:pt idx="61">
                  <c:v>25.356231437086091</c:v>
                </c:pt>
                <c:pt idx="62">
                  <c:v>25.462377815789473</c:v>
                </c:pt>
                <c:pt idx="63">
                  <c:v>25.56723133660131</c:v>
                </c:pt>
                <c:pt idx="64">
                  <c:v>25.67030795454545</c:v>
                </c:pt>
                <c:pt idx="65">
                  <c:v>25.772122225806449</c:v>
                </c:pt>
                <c:pt idx="66">
                  <c:v>25.872688820512824</c:v>
                </c:pt>
                <c:pt idx="67">
                  <c:v>25.972022035031845</c:v>
                </c:pt>
                <c:pt idx="68">
                  <c:v>26.070135803797466</c:v>
                </c:pt>
                <c:pt idx="69">
                  <c:v>26.167043710691829</c:v>
                </c:pt>
                <c:pt idx="70">
                  <c:v>26.262759000000003</c:v>
                </c:pt>
                <c:pt idx="71">
                  <c:v>26.35729458695652</c:v>
                </c:pt>
                <c:pt idx="72">
                  <c:v>26.450663067901235</c:v>
                </c:pt>
                <c:pt idx="73">
                  <c:v>26.542876730061348</c:v>
                </c:pt>
                <c:pt idx="74">
                  <c:v>26.633947560975606</c:v>
                </c:pt>
                <c:pt idx="75">
                  <c:v>26.723887257575758</c:v>
                </c:pt>
                <c:pt idx="76">
                  <c:v>26.812707234939758</c:v>
                </c:pt>
                <c:pt idx="77">
                  <c:v>26.900418634730546</c:v>
                </c:pt>
                <c:pt idx="78">
                  <c:v>26.987032333333332</c:v>
                </c:pt>
                <c:pt idx="79">
                  <c:v>27.072558949704138</c:v>
                </c:pt>
                <c:pt idx="80">
                  <c:v>27.157508352941171</c:v>
                </c:pt>
                <c:pt idx="81">
                  <c:v>27.241391169590646</c:v>
                </c:pt>
                <c:pt idx="82">
                  <c:v>27.323717790697678</c:v>
                </c:pt>
                <c:pt idx="83">
                  <c:v>27.405496878612716</c:v>
                </c:pt>
                <c:pt idx="84">
                  <c:v>27.486737873563222</c:v>
                </c:pt>
                <c:pt idx="85">
                  <c:v>27.566451000000004</c:v>
                </c:pt>
                <c:pt idx="86">
                  <c:v>27.645644272727278</c:v>
                </c:pt>
              </c:numCache>
            </c:numRef>
          </c:val>
          <c:smooth val="0"/>
          <c:extLst>
            <c:ext xmlns:c16="http://schemas.microsoft.com/office/drawing/2014/chart" uri="{C3380CC4-5D6E-409C-BE32-E72D297353CC}">
              <c16:uniqueId val="{00000001-1115-426B-88FC-002C23DD8E89}"/>
            </c:ext>
          </c:extLst>
        </c:ser>
        <c:ser>
          <c:idx val="2"/>
          <c:order val="1"/>
          <c:tx>
            <c:strRef>
              <c:f>Steuerbetrachtung!$C$40</c:f>
              <c:strCache>
                <c:ptCount val="1"/>
                <c:pt idx="0">
                  <c:v>Grenzsteuersatz in %</c:v>
                </c:pt>
              </c:strCache>
            </c:strRef>
          </c:tx>
          <c:spPr>
            <a:ln w="22225" cap="rnd" cmpd="sng" algn="ctr">
              <a:solidFill>
                <a:schemeClr val="dk1">
                  <a:tint val="75000"/>
                </a:schemeClr>
              </a:solidFill>
              <a:round/>
            </a:ln>
            <a:effectLst/>
          </c:spPr>
          <c:marker>
            <c:symbol val="none"/>
          </c:marker>
          <c:cat>
            <c:numRef>
              <c:f>Steuerbetrachtung!$A$41:$A$127</c:f>
              <c:numCache>
                <c:formatCode>_ * #,##0_ ;_ * \-#,##0_ ;_ * "-"??_ ;_ @_ </c:formatCode>
                <c:ptCount val="87"/>
                <c:pt idx="0">
                  <c:v>90000</c:v>
                </c:pt>
                <c:pt idx="1">
                  <c:v>91000</c:v>
                </c:pt>
                <c:pt idx="2">
                  <c:v>92000</c:v>
                </c:pt>
                <c:pt idx="3">
                  <c:v>93000</c:v>
                </c:pt>
                <c:pt idx="4">
                  <c:v>94000</c:v>
                </c:pt>
                <c:pt idx="5">
                  <c:v>95000</c:v>
                </c:pt>
                <c:pt idx="6">
                  <c:v>96000</c:v>
                </c:pt>
                <c:pt idx="7">
                  <c:v>97000</c:v>
                </c:pt>
                <c:pt idx="8">
                  <c:v>98000</c:v>
                </c:pt>
                <c:pt idx="9">
                  <c:v>99000</c:v>
                </c:pt>
                <c:pt idx="10">
                  <c:v>100000</c:v>
                </c:pt>
                <c:pt idx="11">
                  <c:v>101000</c:v>
                </c:pt>
                <c:pt idx="12">
                  <c:v>102000</c:v>
                </c:pt>
                <c:pt idx="13">
                  <c:v>103000</c:v>
                </c:pt>
                <c:pt idx="14">
                  <c:v>104000</c:v>
                </c:pt>
                <c:pt idx="15">
                  <c:v>105000</c:v>
                </c:pt>
                <c:pt idx="16">
                  <c:v>106000</c:v>
                </c:pt>
                <c:pt idx="17">
                  <c:v>107000</c:v>
                </c:pt>
                <c:pt idx="18">
                  <c:v>108000</c:v>
                </c:pt>
                <c:pt idx="19">
                  <c:v>109000</c:v>
                </c:pt>
                <c:pt idx="20">
                  <c:v>110000</c:v>
                </c:pt>
                <c:pt idx="21">
                  <c:v>111000</c:v>
                </c:pt>
                <c:pt idx="22">
                  <c:v>112000</c:v>
                </c:pt>
                <c:pt idx="23">
                  <c:v>113000</c:v>
                </c:pt>
                <c:pt idx="24">
                  <c:v>114000</c:v>
                </c:pt>
                <c:pt idx="25">
                  <c:v>115000</c:v>
                </c:pt>
                <c:pt idx="26">
                  <c:v>116000</c:v>
                </c:pt>
                <c:pt idx="27">
                  <c:v>117000</c:v>
                </c:pt>
                <c:pt idx="28">
                  <c:v>118000</c:v>
                </c:pt>
                <c:pt idx="29">
                  <c:v>119000</c:v>
                </c:pt>
                <c:pt idx="30">
                  <c:v>120000</c:v>
                </c:pt>
                <c:pt idx="31">
                  <c:v>121000</c:v>
                </c:pt>
                <c:pt idx="32">
                  <c:v>122000</c:v>
                </c:pt>
                <c:pt idx="33">
                  <c:v>123000</c:v>
                </c:pt>
                <c:pt idx="34">
                  <c:v>124000</c:v>
                </c:pt>
                <c:pt idx="35">
                  <c:v>125000</c:v>
                </c:pt>
                <c:pt idx="36">
                  <c:v>126000</c:v>
                </c:pt>
                <c:pt idx="37">
                  <c:v>127000</c:v>
                </c:pt>
                <c:pt idx="38">
                  <c:v>128000</c:v>
                </c:pt>
                <c:pt idx="39">
                  <c:v>129000</c:v>
                </c:pt>
                <c:pt idx="40">
                  <c:v>130000</c:v>
                </c:pt>
                <c:pt idx="41">
                  <c:v>131000</c:v>
                </c:pt>
                <c:pt idx="42">
                  <c:v>132000</c:v>
                </c:pt>
                <c:pt idx="43">
                  <c:v>133000</c:v>
                </c:pt>
                <c:pt idx="44">
                  <c:v>134000</c:v>
                </c:pt>
                <c:pt idx="45">
                  <c:v>135000</c:v>
                </c:pt>
                <c:pt idx="46">
                  <c:v>136000</c:v>
                </c:pt>
                <c:pt idx="47">
                  <c:v>137000</c:v>
                </c:pt>
                <c:pt idx="48">
                  <c:v>138000</c:v>
                </c:pt>
                <c:pt idx="49">
                  <c:v>139000</c:v>
                </c:pt>
                <c:pt idx="50">
                  <c:v>140000</c:v>
                </c:pt>
                <c:pt idx="51">
                  <c:v>141000</c:v>
                </c:pt>
                <c:pt idx="52">
                  <c:v>142000</c:v>
                </c:pt>
                <c:pt idx="53">
                  <c:v>143000</c:v>
                </c:pt>
                <c:pt idx="54">
                  <c:v>144000</c:v>
                </c:pt>
                <c:pt idx="55">
                  <c:v>145000</c:v>
                </c:pt>
                <c:pt idx="56">
                  <c:v>146000</c:v>
                </c:pt>
                <c:pt idx="57">
                  <c:v>147000</c:v>
                </c:pt>
                <c:pt idx="58">
                  <c:v>148000</c:v>
                </c:pt>
                <c:pt idx="59">
                  <c:v>149000</c:v>
                </c:pt>
                <c:pt idx="60">
                  <c:v>150000</c:v>
                </c:pt>
                <c:pt idx="61">
                  <c:v>151000</c:v>
                </c:pt>
                <c:pt idx="62">
                  <c:v>152000</c:v>
                </c:pt>
                <c:pt idx="63">
                  <c:v>153000</c:v>
                </c:pt>
                <c:pt idx="64">
                  <c:v>154000</c:v>
                </c:pt>
                <c:pt idx="65">
                  <c:v>155000</c:v>
                </c:pt>
                <c:pt idx="66">
                  <c:v>156000</c:v>
                </c:pt>
                <c:pt idx="67">
                  <c:v>157000</c:v>
                </c:pt>
                <c:pt idx="68">
                  <c:v>158000</c:v>
                </c:pt>
                <c:pt idx="69">
                  <c:v>159000</c:v>
                </c:pt>
                <c:pt idx="70">
                  <c:v>160000</c:v>
                </c:pt>
                <c:pt idx="71">
                  <c:v>161000</c:v>
                </c:pt>
                <c:pt idx="72">
                  <c:v>162000</c:v>
                </c:pt>
                <c:pt idx="73">
                  <c:v>163000</c:v>
                </c:pt>
                <c:pt idx="74">
                  <c:v>164000</c:v>
                </c:pt>
                <c:pt idx="75">
                  <c:v>165000</c:v>
                </c:pt>
                <c:pt idx="76">
                  <c:v>166000</c:v>
                </c:pt>
                <c:pt idx="77">
                  <c:v>167000</c:v>
                </c:pt>
                <c:pt idx="78">
                  <c:v>168000</c:v>
                </c:pt>
                <c:pt idx="79">
                  <c:v>169000</c:v>
                </c:pt>
                <c:pt idx="80">
                  <c:v>170000</c:v>
                </c:pt>
                <c:pt idx="81">
                  <c:v>171000</c:v>
                </c:pt>
                <c:pt idx="82">
                  <c:v>172000</c:v>
                </c:pt>
                <c:pt idx="83">
                  <c:v>173000</c:v>
                </c:pt>
                <c:pt idx="84">
                  <c:v>174000</c:v>
                </c:pt>
                <c:pt idx="85">
                  <c:v>175000</c:v>
                </c:pt>
                <c:pt idx="86">
                  <c:v>176000</c:v>
                </c:pt>
              </c:numCache>
            </c:numRef>
          </c:cat>
          <c:val>
            <c:numRef>
              <c:f>Steuerbetrachtung!$C$41:$C$127</c:f>
              <c:numCache>
                <c:formatCode>0.0</c:formatCode>
                <c:ptCount val="87"/>
                <c:pt idx="0">
                  <c:v>28.219256500000117</c:v>
                </c:pt>
                <c:pt idx="1">
                  <c:v>28.254221499999765</c:v>
                </c:pt>
                <c:pt idx="2">
                  <c:v>28.194281499999853</c:v>
                </c:pt>
                <c:pt idx="3">
                  <c:v>28.221254500000214</c:v>
                </c:pt>
                <c:pt idx="4">
                  <c:v>28.645230500000253</c:v>
                </c:pt>
                <c:pt idx="5">
                  <c:v>29.218756999999822</c:v>
                </c:pt>
                <c:pt idx="6">
                  <c:v>29.235739999999716</c:v>
                </c:pt>
                <c:pt idx="7">
                  <c:v>29.249726000000376</c:v>
                </c:pt>
                <c:pt idx="8">
                  <c:v>29.211763999999675</c:v>
                </c:pt>
                <c:pt idx="9">
                  <c:v>29.218757000000551</c:v>
                </c:pt>
                <c:pt idx="10">
                  <c:v>29.222752999999646</c:v>
                </c:pt>
                <c:pt idx="11">
                  <c:v>29.223751999999877</c:v>
                </c:pt>
                <c:pt idx="12">
                  <c:v>29.221754000000143</c:v>
                </c:pt>
                <c:pt idx="13">
                  <c:v>29.216759000000092</c:v>
                </c:pt>
                <c:pt idx="14">
                  <c:v>29.260714999999983</c:v>
                </c:pt>
                <c:pt idx="15">
                  <c:v>29.198277500000042</c:v>
                </c:pt>
                <c:pt idx="16">
                  <c:v>29.237238499999872</c:v>
                </c:pt>
                <c:pt idx="17">
                  <c:v>29.221254500000214</c:v>
                </c:pt>
                <c:pt idx="18">
                  <c:v>30.0022734999995</c:v>
                </c:pt>
                <c:pt idx="19">
                  <c:v>30.234741000000216</c:v>
                </c:pt>
                <c:pt idx="20">
                  <c:v>30.265709999999675</c:v>
                </c:pt>
                <c:pt idx="21">
                  <c:v>30.738736500000229</c:v>
                </c:pt>
                <c:pt idx="22">
                  <c:v>31.949524499999825</c:v>
                </c:pt>
                <c:pt idx="23">
                  <c:v>32.004968999999981</c:v>
                </c:pt>
                <c:pt idx="24">
                  <c:v>31.945029000000069</c:v>
                </c:pt>
                <c:pt idx="25">
                  <c:v>31.995478500000175</c:v>
                </c:pt>
                <c:pt idx="26">
                  <c:v>31.986487500000294</c:v>
                </c:pt>
                <c:pt idx="27">
                  <c:v>31.97449949999973</c:v>
                </c:pt>
                <c:pt idx="28">
                  <c:v>31.95951449999993</c:v>
                </c:pt>
                <c:pt idx="29">
                  <c:v>31.941532500000175</c:v>
                </c:pt>
                <c:pt idx="30">
                  <c:v>32.980493499999646</c:v>
                </c:pt>
                <c:pt idx="31">
                  <c:v>33.017956000000048</c:v>
                </c:pt>
                <c:pt idx="32">
                  <c:v>32.932042000000365</c:v>
                </c:pt>
                <c:pt idx="33">
                  <c:v>32.964509499999622</c:v>
                </c:pt>
                <c:pt idx="34">
                  <c:v>32.995478500000537</c:v>
                </c:pt>
                <c:pt idx="35">
                  <c:v>32.962511499999891</c:v>
                </c:pt>
                <c:pt idx="36">
                  <c:v>32.98948449999989</c:v>
                </c:pt>
                <c:pt idx="37">
                  <c:v>32.951522499999918</c:v>
                </c:pt>
                <c:pt idx="38">
                  <c:v>32.974499500000093</c:v>
                </c:pt>
                <c:pt idx="39">
                  <c:v>33.195977999999741</c:v>
                </c:pt>
                <c:pt idx="40">
                  <c:v>33.951022999999985</c:v>
                </c:pt>
                <c:pt idx="41">
                  <c:v>33.968505500000539</c:v>
                </c:pt>
                <c:pt idx="42">
                  <c:v>33.984489499999839</c:v>
                </c:pt>
                <c:pt idx="43">
                  <c:v>33.998975000000065</c:v>
                </c:pt>
                <c:pt idx="44">
                  <c:v>33.945029000000062</c:v>
                </c:pt>
                <c:pt idx="45">
                  <c:v>34.022950999999743</c:v>
                </c:pt>
                <c:pt idx="46">
                  <c:v>33.965008999999917</c:v>
                </c:pt>
                <c:pt idx="47">
                  <c:v>34.372501500000361</c:v>
                </c:pt>
                <c:pt idx="48">
                  <c:v>37.460011500000114</c:v>
                </c:pt>
                <c:pt idx="49">
                  <c:v>37.431040499999654</c:v>
                </c:pt>
                <c:pt idx="50">
                  <c:v>37.538932499999646</c:v>
                </c:pt>
                <c:pt idx="51">
                  <c:v>37.435536000000134</c:v>
                </c:pt>
                <c:pt idx="52">
                  <c:v>37.46950199999992</c:v>
                </c:pt>
                <c:pt idx="53">
                  <c:v>38.201969500000267</c:v>
                </c:pt>
                <c:pt idx="54">
                  <c:v>38.461010499999979</c:v>
                </c:pt>
                <c:pt idx="55">
                  <c:v>38.489482000000137</c:v>
                </c:pt>
                <c:pt idx="56">
                  <c:v>38.443527999999787</c:v>
                </c:pt>
                <c:pt idx="57">
                  <c:v>39.168003500000488</c:v>
                </c:pt>
                <c:pt idx="58">
                  <c:v>39.490980499999566</c:v>
                </c:pt>
                <c:pt idx="59">
                  <c:v>40.138033500000162</c:v>
                </c:pt>
                <c:pt idx="60">
                  <c:v>40.457014499999786</c:v>
                </c:pt>
                <c:pt idx="61">
                  <c:v>41.174496999999974</c:v>
                </c:pt>
                <c:pt idx="62">
                  <c:v>41.490481000000003</c:v>
                </c:pt>
                <c:pt idx="63">
                  <c:v>41.504966500000592</c:v>
                </c:pt>
                <c:pt idx="64">
                  <c:v>41.44103049999903</c:v>
                </c:pt>
                <c:pt idx="65">
                  <c:v>41.451520000000166</c:v>
                </c:pt>
                <c:pt idx="66">
                  <c:v>41.460511000000402</c:v>
                </c:pt>
                <c:pt idx="67">
                  <c:v>41.46800349999976</c:v>
                </c:pt>
                <c:pt idx="68">
                  <c:v>41.473997500000401</c:v>
                </c:pt>
                <c:pt idx="69">
                  <c:v>41.478493000000164</c:v>
                </c:pt>
                <c:pt idx="70">
                  <c:v>41.481489999999759</c:v>
                </c:pt>
                <c:pt idx="71">
                  <c:v>41.482988499999919</c:v>
                </c:pt>
                <c:pt idx="72">
                  <c:v>41.482988499999919</c:v>
                </c:pt>
                <c:pt idx="73">
                  <c:v>41.481489999999759</c:v>
                </c:pt>
                <c:pt idx="74">
                  <c:v>41.478493000000164</c:v>
                </c:pt>
                <c:pt idx="75">
                  <c:v>41.473997500000401</c:v>
                </c:pt>
                <c:pt idx="76">
                  <c:v>41.46800349999976</c:v>
                </c:pt>
                <c:pt idx="77">
                  <c:v>41.460511000000402</c:v>
                </c:pt>
                <c:pt idx="78">
                  <c:v>41.451519999999434</c:v>
                </c:pt>
                <c:pt idx="79">
                  <c:v>41.441030499999762</c:v>
                </c:pt>
                <c:pt idx="80">
                  <c:v>41.513957500000103</c:v>
                </c:pt>
                <c:pt idx="81">
                  <c:v>41.501470000000701</c:v>
                </c:pt>
                <c:pt idx="82">
                  <c:v>41.40156999999963</c:v>
                </c:pt>
                <c:pt idx="83">
                  <c:v>41.471499999999651</c:v>
                </c:pt>
                <c:pt idx="84">
                  <c:v>41.541430000000403</c:v>
                </c:pt>
                <c:pt idx="85">
                  <c:v>41.436534999999999</c:v>
                </c:pt>
                <c:pt idx="86">
                  <c:v>41.504467000000297</c:v>
                </c:pt>
              </c:numCache>
            </c:numRef>
          </c:val>
          <c:smooth val="0"/>
          <c:extLst>
            <c:ext xmlns:c16="http://schemas.microsoft.com/office/drawing/2014/chart" uri="{C3380CC4-5D6E-409C-BE32-E72D297353CC}">
              <c16:uniqueId val="{00000002-1115-426B-88FC-002C23DD8E89}"/>
            </c:ext>
          </c:extLst>
        </c:ser>
        <c:dLbls>
          <c:showLegendKey val="0"/>
          <c:showVal val="0"/>
          <c:showCatName val="0"/>
          <c:showSerName val="0"/>
          <c:showPercent val="0"/>
          <c:showBubbleSize val="0"/>
        </c:dLbls>
        <c:dropLines>
          <c:spPr>
            <a:ln w="9525" cap="flat" cmpd="sng" algn="ctr">
              <a:noFill/>
              <a:round/>
            </a:ln>
            <a:effectLst/>
          </c:spPr>
        </c:dropLines>
        <c:smooth val="0"/>
        <c:axId val="372594080"/>
        <c:axId val="378176608"/>
      </c:lineChart>
      <c:catAx>
        <c:axId val="372594080"/>
        <c:scaling>
          <c:orientation val="minMax"/>
        </c:scaling>
        <c:delete val="0"/>
        <c:axPos val="b"/>
        <c:numFmt formatCode="_ * #,##0_ ;_ * \-#,##0_ ;_ * &quot;-&quot;??_ ;_ @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de-DE"/>
          </a:p>
        </c:txPr>
        <c:crossAx val="378176608"/>
        <c:crosses val="autoZero"/>
        <c:auto val="1"/>
        <c:lblAlgn val="ctr"/>
        <c:lblOffset val="100"/>
        <c:noMultiLvlLbl val="0"/>
      </c:catAx>
      <c:valAx>
        <c:axId val="378176608"/>
        <c:scaling>
          <c:orientation val="minMax"/>
          <c:min val="0"/>
        </c:scaling>
        <c:delete val="0"/>
        <c:axPos val="l"/>
        <c:majorGridlines>
          <c:spPr>
            <a:ln>
              <a:solidFill>
                <a:schemeClr val="dk1">
                  <a:lumMod val="15000"/>
                  <a:lumOff val="85000"/>
                </a:schemeClr>
              </a:solidFill>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de-DE"/>
          </a:p>
        </c:txPr>
        <c:crossAx val="372594080"/>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de-CH"/>
              <a:t>Kapitalauszahlungssteuer</a:t>
            </a:r>
            <a:r>
              <a:rPr lang="de-CH" baseline="30000"/>
              <a:t>1), 3)</a:t>
            </a:r>
            <a:endParaRPr lang="de-CH"/>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de-CH"/>
        </a:p>
      </c:txPr>
    </c:title>
    <c:autoTitleDeleted val="0"/>
    <c:plotArea>
      <c:layout/>
      <c:lineChart>
        <c:grouping val="standard"/>
        <c:varyColors val="0"/>
        <c:ser>
          <c:idx val="1"/>
          <c:order val="0"/>
          <c:tx>
            <c:strRef>
              <c:f>Steuerbetrachtung!$F$40</c:f>
              <c:strCache>
                <c:ptCount val="1"/>
                <c:pt idx="0">
                  <c:v>Durchschnittssteuersatz in %</c:v>
                </c:pt>
              </c:strCache>
            </c:strRef>
          </c:tx>
          <c:spPr>
            <a:ln w="22225" cap="rnd" cmpd="sng" algn="ctr">
              <a:solidFill>
                <a:schemeClr val="tx1"/>
              </a:solidFill>
              <a:round/>
            </a:ln>
            <a:effectLst/>
          </c:spPr>
          <c:marker>
            <c:symbol val="none"/>
          </c:marker>
          <c:cat>
            <c:numRef>
              <c:f>Steuerbetrachtung!$E$41:$E$127</c:f>
              <c:numCache>
                <c:formatCode>_ * #,##0_ ;_ * \-#,##0_ ;_ * "-"??_ ;_ @_ </c:formatCode>
                <c:ptCount val="87"/>
                <c:pt idx="0">
                  <c:v>20000</c:v>
                </c:pt>
                <c:pt idx="1">
                  <c:v>25000</c:v>
                </c:pt>
                <c:pt idx="2">
                  <c:v>30000</c:v>
                </c:pt>
                <c:pt idx="3">
                  <c:v>35000</c:v>
                </c:pt>
                <c:pt idx="4">
                  <c:v>40000</c:v>
                </c:pt>
                <c:pt idx="5">
                  <c:v>45000</c:v>
                </c:pt>
                <c:pt idx="6">
                  <c:v>50000</c:v>
                </c:pt>
                <c:pt idx="7">
                  <c:v>55000</c:v>
                </c:pt>
                <c:pt idx="8">
                  <c:v>60000</c:v>
                </c:pt>
                <c:pt idx="9">
                  <c:v>65000</c:v>
                </c:pt>
                <c:pt idx="10">
                  <c:v>70000</c:v>
                </c:pt>
                <c:pt idx="11">
                  <c:v>75000</c:v>
                </c:pt>
                <c:pt idx="12">
                  <c:v>80000</c:v>
                </c:pt>
                <c:pt idx="13">
                  <c:v>85000</c:v>
                </c:pt>
                <c:pt idx="14">
                  <c:v>90000</c:v>
                </c:pt>
                <c:pt idx="15">
                  <c:v>95000</c:v>
                </c:pt>
                <c:pt idx="16">
                  <c:v>100000</c:v>
                </c:pt>
                <c:pt idx="17">
                  <c:v>105000</c:v>
                </c:pt>
                <c:pt idx="18">
                  <c:v>110000</c:v>
                </c:pt>
                <c:pt idx="19">
                  <c:v>115000</c:v>
                </c:pt>
                <c:pt idx="20">
                  <c:v>120000</c:v>
                </c:pt>
                <c:pt idx="21">
                  <c:v>125000</c:v>
                </c:pt>
                <c:pt idx="22">
                  <c:v>130000</c:v>
                </c:pt>
                <c:pt idx="23">
                  <c:v>135000</c:v>
                </c:pt>
                <c:pt idx="24">
                  <c:v>140000</c:v>
                </c:pt>
                <c:pt idx="25">
                  <c:v>145000</c:v>
                </c:pt>
                <c:pt idx="26">
                  <c:v>150000</c:v>
                </c:pt>
                <c:pt idx="27">
                  <c:v>155000</c:v>
                </c:pt>
                <c:pt idx="28">
                  <c:v>160000</c:v>
                </c:pt>
                <c:pt idx="29">
                  <c:v>165000</c:v>
                </c:pt>
                <c:pt idx="30">
                  <c:v>170000</c:v>
                </c:pt>
                <c:pt idx="31">
                  <c:v>175000</c:v>
                </c:pt>
                <c:pt idx="32">
                  <c:v>180000</c:v>
                </c:pt>
                <c:pt idx="33">
                  <c:v>185000</c:v>
                </c:pt>
                <c:pt idx="34">
                  <c:v>190000</c:v>
                </c:pt>
                <c:pt idx="35">
                  <c:v>195000</c:v>
                </c:pt>
                <c:pt idx="36">
                  <c:v>200000</c:v>
                </c:pt>
                <c:pt idx="37">
                  <c:v>205000</c:v>
                </c:pt>
                <c:pt idx="38">
                  <c:v>210000</c:v>
                </c:pt>
                <c:pt idx="39">
                  <c:v>215000</c:v>
                </c:pt>
                <c:pt idx="40">
                  <c:v>220000</c:v>
                </c:pt>
                <c:pt idx="41">
                  <c:v>225000</c:v>
                </c:pt>
                <c:pt idx="42">
                  <c:v>230000</c:v>
                </c:pt>
                <c:pt idx="43">
                  <c:v>235000</c:v>
                </c:pt>
                <c:pt idx="44">
                  <c:v>240000</c:v>
                </c:pt>
                <c:pt idx="45">
                  <c:v>245000</c:v>
                </c:pt>
                <c:pt idx="46">
                  <c:v>250000</c:v>
                </c:pt>
                <c:pt idx="47">
                  <c:v>255000</c:v>
                </c:pt>
                <c:pt idx="48">
                  <c:v>260000</c:v>
                </c:pt>
                <c:pt idx="49">
                  <c:v>265000</c:v>
                </c:pt>
                <c:pt idx="50">
                  <c:v>270000</c:v>
                </c:pt>
                <c:pt idx="51">
                  <c:v>275000</c:v>
                </c:pt>
                <c:pt idx="52">
                  <c:v>280000</c:v>
                </c:pt>
                <c:pt idx="53">
                  <c:v>285000</c:v>
                </c:pt>
                <c:pt idx="54">
                  <c:v>290000</c:v>
                </c:pt>
                <c:pt idx="55">
                  <c:v>295000</c:v>
                </c:pt>
                <c:pt idx="56">
                  <c:v>300000</c:v>
                </c:pt>
                <c:pt idx="57">
                  <c:v>305000</c:v>
                </c:pt>
                <c:pt idx="58">
                  <c:v>310000</c:v>
                </c:pt>
                <c:pt idx="59">
                  <c:v>315000</c:v>
                </c:pt>
                <c:pt idx="60">
                  <c:v>320000</c:v>
                </c:pt>
                <c:pt idx="61">
                  <c:v>325000</c:v>
                </c:pt>
                <c:pt idx="62">
                  <c:v>330000</c:v>
                </c:pt>
                <c:pt idx="63">
                  <c:v>335000</c:v>
                </c:pt>
                <c:pt idx="64">
                  <c:v>340000</c:v>
                </c:pt>
                <c:pt idx="65">
                  <c:v>345000</c:v>
                </c:pt>
                <c:pt idx="66">
                  <c:v>350000</c:v>
                </c:pt>
                <c:pt idx="67">
                  <c:v>355000</c:v>
                </c:pt>
                <c:pt idx="68">
                  <c:v>360000</c:v>
                </c:pt>
                <c:pt idx="69">
                  <c:v>365000</c:v>
                </c:pt>
                <c:pt idx="70">
                  <c:v>370000</c:v>
                </c:pt>
                <c:pt idx="71">
                  <c:v>375000</c:v>
                </c:pt>
                <c:pt idx="72">
                  <c:v>380000</c:v>
                </c:pt>
                <c:pt idx="73">
                  <c:v>385000</c:v>
                </c:pt>
                <c:pt idx="74">
                  <c:v>390000</c:v>
                </c:pt>
                <c:pt idx="75">
                  <c:v>395000</c:v>
                </c:pt>
                <c:pt idx="76">
                  <c:v>400000</c:v>
                </c:pt>
                <c:pt idx="77">
                  <c:v>405000</c:v>
                </c:pt>
                <c:pt idx="78">
                  <c:v>410000</c:v>
                </c:pt>
                <c:pt idx="79">
                  <c:v>415000</c:v>
                </c:pt>
                <c:pt idx="80">
                  <c:v>420000</c:v>
                </c:pt>
                <c:pt idx="81">
                  <c:v>425000</c:v>
                </c:pt>
                <c:pt idx="82">
                  <c:v>430000</c:v>
                </c:pt>
                <c:pt idx="83">
                  <c:v>435000</c:v>
                </c:pt>
                <c:pt idx="84">
                  <c:v>440000</c:v>
                </c:pt>
                <c:pt idx="85">
                  <c:v>445000</c:v>
                </c:pt>
                <c:pt idx="86">
                  <c:v>450000</c:v>
                </c:pt>
              </c:numCache>
            </c:numRef>
          </c:cat>
          <c:val>
            <c:numRef>
              <c:f>Steuerbetrachtung!$F$41:$F$127</c:f>
              <c:numCache>
                <c:formatCode>0.0</c:formatCode>
                <c:ptCount val="87"/>
                <c:pt idx="0">
                  <c:v>3.2467500000000005</c:v>
                </c:pt>
                <c:pt idx="1">
                  <c:v>3.2467500000000005</c:v>
                </c:pt>
                <c:pt idx="2">
                  <c:v>3.2467499999999996</c:v>
                </c:pt>
                <c:pt idx="3">
                  <c:v>3.2793214285714285</c:v>
                </c:pt>
                <c:pt idx="4">
                  <c:v>3.3002500000000006</c:v>
                </c:pt>
                <c:pt idx="5">
                  <c:v>3.316527777777778</c:v>
                </c:pt>
                <c:pt idx="6">
                  <c:v>3.3295499999999998</c:v>
                </c:pt>
                <c:pt idx="7">
                  <c:v>3.3690022727272737</c:v>
                </c:pt>
                <c:pt idx="8">
                  <c:v>3.4962104166666674</c:v>
                </c:pt>
                <c:pt idx="9">
                  <c:v>3.6176942307692315</c:v>
                </c:pt>
                <c:pt idx="10">
                  <c:v>3.7232517857142864</c:v>
                </c:pt>
                <c:pt idx="11">
                  <c:v>3.8147349999999998</c:v>
                </c:pt>
                <c:pt idx="12">
                  <c:v>3.8995328125000004</c:v>
                </c:pt>
                <c:pt idx="13">
                  <c:v>3.9816485294117654</c:v>
                </c:pt>
                <c:pt idx="14">
                  <c:v>4.0546402777777786</c:v>
                </c:pt>
                <c:pt idx="15">
                  <c:v>4.1228960526315781</c:v>
                </c:pt>
                <c:pt idx="16">
                  <c:v>4.1915262499999999</c:v>
                </c:pt>
                <c:pt idx="17">
                  <c:v>4.2536202380952384</c:v>
                </c:pt>
                <c:pt idx="18">
                  <c:v>4.3355943181818191</c:v>
                </c:pt>
                <c:pt idx="19">
                  <c:v>4.449014130434783</c:v>
                </c:pt>
                <c:pt idx="20">
                  <c:v>4.5546489583333338</c:v>
                </c:pt>
                <c:pt idx="21">
                  <c:v>4.658233000000001</c:v>
                </c:pt>
                <c:pt idx="22">
                  <c:v>4.7556951923076927</c:v>
                </c:pt>
                <c:pt idx="23">
                  <c:v>4.851567592592593</c:v>
                </c:pt>
                <c:pt idx="24">
                  <c:v>4.9454491071428563</c:v>
                </c:pt>
                <c:pt idx="25">
                  <c:v>5.0387870689655179</c:v>
                </c:pt>
                <c:pt idx="26">
                  <c:v>5.1361691666666678</c:v>
                </c:pt>
                <c:pt idx="27">
                  <c:v>5.2392685483870967</c:v>
                </c:pt>
                <c:pt idx="28">
                  <c:v>5.3362992187500007</c:v>
                </c:pt>
                <c:pt idx="29">
                  <c:v>5.4274492424242426</c:v>
                </c:pt>
                <c:pt idx="30">
                  <c:v>5.5132374999999998</c:v>
                </c:pt>
                <c:pt idx="31">
                  <c:v>5.5941235714285718</c:v>
                </c:pt>
                <c:pt idx="32">
                  <c:v>5.6705159722222227</c:v>
                </c:pt>
                <c:pt idx="33">
                  <c:v>5.7427790540540542</c:v>
                </c:pt>
                <c:pt idx="34">
                  <c:v>5.8112388157894737</c:v>
                </c:pt>
                <c:pt idx="35">
                  <c:v>5.8761878205128202</c:v>
                </c:pt>
                <c:pt idx="36">
                  <c:v>5.9378893749999992</c:v>
                </c:pt>
                <c:pt idx="37">
                  <c:v>5.9965810975609761</c:v>
                </c:pt>
                <c:pt idx="38">
                  <c:v>6.0524779761904766</c:v>
                </c:pt>
                <c:pt idx="39">
                  <c:v>6.1057750000000004</c:v>
                </c:pt>
                <c:pt idx="40">
                  <c:v>6.1685693181818184</c:v>
                </c:pt>
                <c:pt idx="41">
                  <c:v>6.233567777777778</c:v>
                </c:pt>
                <c:pt idx="42">
                  <c:v>6.2957402173913044</c:v>
                </c:pt>
                <c:pt idx="43">
                  <c:v>6.355267021276596</c:v>
                </c:pt>
                <c:pt idx="44">
                  <c:v>6.4123135416666672</c:v>
                </c:pt>
                <c:pt idx="45">
                  <c:v>6.467031632653061</c:v>
                </c:pt>
                <c:pt idx="46">
                  <c:v>6.5195610000000004</c:v>
                </c:pt>
                <c:pt idx="47">
                  <c:v>6.5700303921568626</c:v>
                </c:pt>
                <c:pt idx="48">
                  <c:v>6.6185586538461543</c:v>
                </c:pt>
                <c:pt idx="49">
                  <c:v>6.6652556603773592</c:v>
                </c:pt>
                <c:pt idx="50">
                  <c:v>6.710223148148148</c:v>
                </c:pt>
                <c:pt idx="51">
                  <c:v>6.7535554545454541</c:v>
                </c:pt>
                <c:pt idx="52">
                  <c:v>6.7953401785714282</c:v>
                </c:pt>
                <c:pt idx="53">
                  <c:v>6.8356587719298254</c:v>
                </c:pt>
                <c:pt idx="54">
                  <c:v>6.8745870689655177</c:v>
                </c:pt>
                <c:pt idx="55">
                  <c:v>6.9121957627118649</c:v>
                </c:pt>
                <c:pt idx="56">
                  <c:v>6.9485508333333339</c:v>
                </c:pt>
                <c:pt idx="57">
                  <c:v>6.9837139344262305</c:v>
                </c:pt>
                <c:pt idx="58">
                  <c:v>7.017742741935483</c:v>
                </c:pt>
                <c:pt idx="59">
                  <c:v>7.0506912698412707</c:v>
                </c:pt>
                <c:pt idx="60">
                  <c:v>7.0826101562500003</c:v>
                </c:pt>
                <c:pt idx="61">
                  <c:v>7.1141616923076922</c:v>
                </c:pt>
                <c:pt idx="62">
                  <c:v>7.1592880303030304</c:v>
                </c:pt>
                <c:pt idx="63">
                  <c:v>7.203067313432836</c:v>
                </c:pt>
                <c:pt idx="64">
                  <c:v>7.2455589705882355</c:v>
                </c:pt>
                <c:pt idx="65">
                  <c:v>7.2868189855072458</c:v>
                </c:pt>
                <c:pt idx="66">
                  <c:v>7.3269001428571432</c:v>
                </c:pt>
                <c:pt idx="67">
                  <c:v>7.365852253521127</c:v>
                </c:pt>
                <c:pt idx="68">
                  <c:v>7.4037223611111109</c:v>
                </c:pt>
                <c:pt idx="69">
                  <c:v>7.4405549315068491</c:v>
                </c:pt>
                <c:pt idx="70">
                  <c:v>7.4763920270270274</c:v>
                </c:pt>
                <c:pt idx="71">
                  <c:v>7.5112734666666663</c:v>
                </c:pt>
                <c:pt idx="72">
                  <c:v>7.5452369736842106</c:v>
                </c:pt>
                <c:pt idx="73">
                  <c:v>7.5783183116883119</c:v>
                </c:pt>
                <c:pt idx="74">
                  <c:v>7.6105514102564094</c:v>
                </c:pt>
                <c:pt idx="75">
                  <c:v>7.6419684810126576</c:v>
                </c:pt>
                <c:pt idx="76">
                  <c:v>7.6726001249999998</c:v>
                </c:pt>
                <c:pt idx="77">
                  <c:v>7.7024754320987654</c:v>
                </c:pt>
                <c:pt idx="78">
                  <c:v>7.7316220731707315</c:v>
                </c:pt>
                <c:pt idx="79">
                  <c:v>7.760066385542169</c:v>
                </c:pt>
                <c:pt idx="80">
                  <c:v>7.7878334523809514</c:v>
                </c:pt>
                <c:pt idx="81">
                  <c:v>7.8149471764705893</c:v>
                </c:pt>
                <c:pt idx="82">
                  <c:v>7.8414303488372097</c:v>
                </c:pt>
                <c:pt idx="83">
                  <c:v>7.867304712643679</c:v>
                </c:pt>
                <c:pt idx="84">
                  <c:v>7.8925910227272729</c:v>
                </c:pt>
                <c:pt idx="85">
                  <c:v>7.9173091011235961</c:v>
                </c:pt>
                <c:pt idx="86">
                  <c:v>7.9414778888888895</c:v>
                </c:pt>
              </c:numCache>
            </c:numRef>
          </c:val>
          <c:smooth val="0"/>
          <c:extLst>
            <c:ext xmlns:c16="http://schemas.microsoft.com/office/drawing/2014/chart" uri="{C3380CC4-5D6E-409C-BE32-E72D297353CC}">
              <c16:uniqueId val="{00000000-7696-4910-812A-D46EE4A9E25E}"/>
            </c:ext>
          </c:extLst>
        </c:ser>
        <c:ser>
          <c:idx val="2"/>
          <c:order val="1"/>
          <c:tx>
            <c:strRef>
              <c:f>Steuerbetrachtung!$G$40</c:f>
              <c:strCache>
                <c:ptCount val="1"/>
                <c:pt idx="0">
                  <c:v>Grenzsteuersatz in %</c:v>
                </c:pt>
              </c:strCache>
            </c:strRef>
          </c:tx>
          <c:spPr>
            <a:ln w="22225" cap="rnd" cmpd="sng" algn="ctr">
              <a:solidFill>
                <a:schemeClr val="dk1">
                  <a:tint val="75000"/>
                </a:schemeClr>
              </a:solidFill>
              <a:round/>
            </a:ln>
            <a:effectLst/>
          </c:spPr>
          <c:marker>
            <c:symbol val="none"/>
          </c:marker>
          <c:cat>
            <c:numRef>
              <c:f>Steuerbetrachtung!$E$41:$E$127</c:f>
              <c:numCache>
                <c:formatCode>_ * #,##0_ ;_ * \-#,##0_ ;_ * "-"??_ ;_ @_ </c:formatCode>
                <c:ptCount val="87"/>
                <c:pt idx="0">
                  <c:v>20000</c:v>
                </c:pt>
                <c:pt idx="1">
                  <c:v>25000</c:v>
                </c:pt>
                <c:pt idx="2">
                  <c:v>30000</c:v>
                </c:pt>
                <c:pt idx="3">
                  <c:v>35000</c:v>
                </c:pt>
                <c:pt idx="4">
                  <c:v>40000</c:v>
                </c:pt>
                <c:pt idx="5">
                  <c:v>45000</c:v>
                </c:pt>
                <c:pt idx="6">
                  <c:v>50000</c:v>
                </c:pt>
                <c:pt idx="7">
                  <c:v>55000</c:v>
                </c:pt>
                <c:pt idx="8">
                  <c:v>60000</c:v>
                </c:pt>
                <c:pt idx="9">
                  <c:v>65000</c:v>
                </c:pt>
                <c:pt idx="10">
                  <c:v>70000</c:v>
                </c:pt>
                <c:pt idx="11">
                  <c:v>75000</c:v>
                </c:pt>
                <c:pt idx="12">
                  <c:v>80000</c:v>
                </c:pt>
                <c:pt idx="13">
                  <c:v>85000</c:v>
                </c:pt>
                <c:pt idx="14">
                  <c:v>90000</c:v>
                </c:pt>
                <c:pt idx="15">
                  <c:v>95000</c:v>
                </c:pt>
                <c:pt idx="16">
                  <c:v>100000</c:v>
                </c:pt>
                <c:pt idx="17">
                  <c:v>105000</c:v>
                </c:pt>
                <c:pt idx="18">
                  <c:v>110000</c:v>
                </c:pt>
                <c:pt idx="19">
                  <c:v>115000</c:v>
                </c:pt>
                <c:pt idx="20">
                  <c:v>120000</c:v>
                </c:pt>
                <c:pt idx="21">
                  <c:v>125000</c:v>
                </c:pt>
                <c:pt idx="22">
                  <c:v>130000</c:v>
                </c:pt>
                <c:pt idx="23">
                  <c:v>135000</c:v>
                </c:pt>
                <c:pt idx="24">
                  <c:v>140000</c:v>
                </c:pt>
                <c:pt idx="25">
                  <c:v>145000</c:v>
                </c:pt>
                <c:pt idx="26">
                  <c:v>150000</c:v>
                </c:pt>
                <c:pt idx="27">
                  <c:v>155000</c:v>
                </c:pt>
                <c:pt idx="28">
                  <c:v>160000</c:v>
                </c:pt>
                <c:pt idx="29">
                  <c:v>165000</c:v>
                </c:pt>
                <c:pt idx="30">
                  <c:v>170000</c:v>
                </c:pt>
                <c:pt idx="31">
                  <c:v>175000</c:v>
                </c:pt>
                <c:pt idx="32">
                  <c:v>180000</c:v>
                </c:pt>
                <c:pt idx="33">
                  <c:v>185000</c:v>
                </c:pt>
                <c:pt idx="34">
                  <c:v>190000</c:v>
                </c:pt>
                <c:pt idx="35">
                  <c:v>195000</c:v>
                </c:pt>
                <c:pt idx="36">
                  <c:v>200000</c:v>
                </c:pt>
                <c:pt idx="37">
                  <c:v>205000</c:v>
                </c:pt>
                <c:pt idx="38">
                  <c:v>210000</c:v>
                </c:pt>
                <c:pt idx="39">
                  <c:v>215000</c:v>
                </c:pt>
                <c:pt idx="40">
                  <c:v>220000</c:v>
                </c:pt>
                <c:pt idx="41">
                  <c:v>225000</c:v>
                </c:pt>
                <c:pt idx="42">
                  <c:v>230000</c:v>
                </c:pt>
                <c:pt idx="43">
                  <c:v>235000</c:v>
                </c:pt>
                <c:pt idx="44">
                  <c:v>240000</c:v>
                </c:pt>
                <c:pt idx="45">
                  <c:v>245000</c:v>
                </c:pt>
                <c:pt idx="46">
                  <c:v>250000</c:v>
                </c:pt>
                <c:pt idx="47">
                  <c:v>255000</c:v>
                </c:pt>
                <c:pt idx="48">
                  <c:v>260000</c:v>
                </c:pt>
                <c:pt idx="49">
                  <c:v>265000</c:v>
                </c:pt>
                <c:pt idx="50">
                  <c:v>270000</c:v>
                </c:pt>
                <c:pt idx="51">
                  <c:v>275000</c:v>
                </c:pt>
                <c:pt idx="52">
                  <c:v>280000</c:v>
                </c:pt>
                <c:pt idx="53">
                  <c:v>285000</c:v>
                </c:pt>
                <c:pt idx="54">
                  <c:v>290000</c:v>
                </c:pt>
                <c:pt idx="55">
                  <c:v>295000</c:v>
                </c:pt>
                <c:pt idx="56">
                  <c:v>300000</c:v>
                </c:pt>
                <c:pt idx="57">
                  <c:v>305000</c:v>
                </c:pt>
                <c:pt idx="58">
                  <c:v>310000</c:v>
                </c:pt>
                <c:pt idx="59">
                  <c:v>315000</c:v>
                </c:pt>
                <c:pt idx="60">
                  <c:v>320000</c:v>
                </c:pt>
                <c:pt idx="61">
                  <c:v>325000</c:v>
                </c:pt>
                <c:pt idx="62">
                  <c:v>330000</c:v>
                </c:pt>
                <c:pt idx="63">
                  <c:v>335000</c:v>
                </c:pt>
                <c:pt idx="64">
                  <c:v>340000</c:v>
                </c:pt>
                <c:pt idx="65">
                  <c:v>345000</c:v>
                </c:pt>
                <c:pt idx="66">
                  <c:v>350000</c:v>
                </c:pt>
                <c:pt idx="67">
                  <c:v>355000</c:v>
                </c:pt>
                <c:pt idx="68">
                  <c:v>360000</c:v>
                </c:pt>
                <c:pt idx="69">
                  <c:v>365000</c:v>
                </c:pt>
                <c:pt idx="70">
                  <c:v>370000</c:v>
                </c:pt>
                <c:pt idx="71">
                  <c:v>375000</c:v>
                </c:pt>
                <c:pt idx="72">
                  <c:v>380000</c:v>
                </c:pt>
                <c:pt idx="73">
                  <c:v>385000</c:v>
                </c:pt>
                <c:pt idx="74">
                  <c:v>390000</c:v>
                </c:pt>
                <c:pt idx="75">
                  <c:v>395000</c:v>
                </c:pt>
                <c:pt idx="76">
                  <c:v>400000</c:v>
                </c:pt>
                <c:pt idx="77">
                  <c:v>405000</c:v>
                </c:pt>
                <c:pt idx="78">
                  <c:v>410000</c:v>
                </c:pt>
                <c:pt idx="79">
                  <c:v>415000</c:v>
                </c:pt>
                <c:pt idx="80">
                  <c:v>420000</c:v>
                </c:pt>
                <c:pt idx="81">
                  <c:v>425000</c:v>
                </c:pt>
                <c:pt idx="82">
                  <c:v>430000</c:v>
                </c:pt>
                <c:pt idx="83">
                  <c:v>435000</c:v>
                </c:pt>
                <c:pt idx="84">
                  <c:v>440000</c:v>
                </c:pt>
                <c:pt idx="85">
                  <c:v>445000</c:v>
                </c:pt>
                <c:pt idx="86">
                  <c:v>450000</c:v>
                </c:pt>
              </c:numCache>
            </c:numRef>
          </c:cat>
          <c:val>
            <c:numRef>
              <c:f>Steuerbetrachtung!$G$41:$G$127</c:f>
              <c:numCache>
                <c:formatCode>0.0</c:formatCode>
                <c:ptCount val="87"/>
                <c:pt idx="0">
                  <c:v>3.2467500000000009</c:v>
                </c:pt>
                <c:pt idx="1">
                  <c:v>3.2467499999999996</c:v>
                </c:pt>
                <c:pt idx="2">
                  <c:v>3.2467499999999996</c:v>
                </c:pt>
                <c:pt idx="3">
                  <c:v>3.4747500000000016</c:v>
                </c:pt>
                <c:pt idx="4">
                  <c:v>3.446750000000002</c:v>
                </c:pt>
                <c:pt idx="5">
                  <c:v>3.446750000000002</c:v>
                </c:pt>
                <c:pt idx="6">
                  <c:v>3.4467499999999971</c:v>
                </c:pt>
                <c:pt idx="7">
                  <c:v>3.7635250000000045</c:v>
                </c:pt>
                <c:pt idx="8">
                  <c:v>4.8955000000000064</c:v>
                </c:pt>
                <c:pt idx="9">
                  <c:v>5.0754999999999928</c:v>
                </c:pt>
                <c:pt idx="10">
                  <c:v>5.0955000000000021</c:v>
                </c:pt>
                <c:pt idx="11">
                  <c:v>5.0954999999999924</c:v>
                </c:pt>
                <c:pt idx="12">
                  <c:v>5.1715000000000053</c:v>
                </c:pt>
                <c:pt idx="13">
                  <c:v>5.2955000000000014</c:v>
                </c:pt>
                <c:pt idx="14">
                  <c:v>5.2955000000000014</c:v>
                </c:pt>
                <c:pt idx="15">
                  <c:v>5.3514999999999873</c:v>
                </c:pt>
                <c:pt idx="16">
                  <c:v>5.4955000000000016</c:v>
                </c:pt>
                <c:pt idx="17">
                  <c:v>5.4955000000000105</c:v>
                </c:pt>
                <c:pt idx="18">
                  <c:v>6.0570499999999994</c:v>
                </c:pt>
                <c:pt idx="19">
                  <c:v>6.9442499999999923</c:v>
                </c:pt>
                <c:pt idx="20">
                  <c:v>6.9842500000000109</c:v>
                </c:pt>
                <c:pt idx="21">
                  <c:v>7.1442499999999924</c:v>
                </c:pt>
                <c:pt idx="22">
                  <c:v>7.192250000000004</c:v>
                </c:pt>
                <c:pt idx="23">
                  <c:v>7.3442499999999926</c:v>
                </c:pt>
                <c:pt idx="24">
                  <c:v>7.4802499999999963</c:v>
                </c:pt>
                <c:pt idx="25">
                  <c:v>7.6522500000000031</c:v>
                </c:pt>
                <c:pt idx="26">
                  <c:v>7.9602500000000145</c:v>
                </c:pt>
                <c:pt idx="27">
                  <c:v>8.3322499999999859</c:v>
                </c:pt>
                <c:pt idx="28">
                  <c:v>8.3442500000000113</c:v>
                </c:pt>
                <c:pt idx="29">
                  <c:v>8.3442499999999935</c:v>
                </c:pt>
                <c:pt idx="30">
                  <c:v>8.3442499999999935</c:v>
                </c:pt>
                <c:pt idx="31">
                  <c:v>8.344250000000029</c:v>
                </c:pt>
                <c:pt idx="32">
                  <c:v>8.3442499999999935</c:v>
                </c:pt>
                <c:pt idx="33">
                  <c:v>8.3442499999999935</c:v>
                </c:pt>
                <c:pt idx="34">
                  <c:v>8.3442499999999935</c:v>
                </c:pt>
                <c:pt idx="35">
                  <c:v>8.3442499999999935</c:v>
                </c:pt>
                <c:pt idx="36">
                  <c:v>8.3442499999999935</c:v>
                </c:pt>
                <c:pt idx="37">
                  <c:v>8.344250000000029</c:v>
                </c:pt>
                <c:pt idx="38">
                  <c:v>8.3442499999999935</c:v>
                </c:pt>
                <c:pt idx="39">
                  <c:v>8.3442499999999935</c:v>
                </c:pt>
                <c:pt idx="40">
                  <c:v>8.8687250000000137</c:v>
                </c:pt>
                <c:pt idx="41">
                  <c:v>9.0934999999999846</c:v>
                </c:pt>
                <c:pt idx="42">
                  <c:v>9.0934999999999846</c:v>
                </c:pt>
                <c:pt idx="43">
                  <c:v>9.0935000000000219</c:v>
                </c:pt>
                <c:pt idx="44">
                  <c:v>9.0934999999999846</c:v>
                </c:pt>
                <c:pt idx="45">
                  <c:v>9.0935000000000219</c:v>
                </c:pt>
                <c:pt idx="46">
                  <c:v>9.0934999999999846</c:v>
                </c:pt>
                <c:pt idx="47">
                  <c:v>9.0934999999999846</c:v>
                </c:pt>
                <c:pt idx="48">
                  <c:v>9.0935000000000592</c:v>
                </c:pt>
                <c:pt idx="49">
                  <c:v>9.0934999999999846</c:v>
                </c:pt>
                <c:pt idx="50">
                  <c:v>9.0934999999999846</c:v>
                </c:pt>
                <c:pt idx="51">
                  <c:v>9.0934999999999846</c:v>
                </c:pt>
                <c:pt idx="52">
                  <c:v>9.0934999999999846</c:v>
                </c:pt>
                <c:pt idx="53">
                  <c:v>9.0935000000000592</c:v>
                </c:pt>
                <c:pt idx="54">
                  <c:v>9.0934999999999846</c:v>
                </c:pt>
                <c:pt idx="55">
                  <c:v>9.0934999999999846</c:v>
                </c:pt>
                <c:pt idx="56">
                  <c:v>9.0934999999999846</c:v>
                </c:pt>
                <c:pt idx="57">
                  <c:v>9.0935000000000592</c:v>
                </c:pt>
                <c:pt idx="58">
                  <c:v>9.0934999999999135</c:v>
                </c:pt>
                <c:pt idx="59">
                  <c:v>9.0935000000000592</c:v>
                </c:pt>
                <c:pt idx="60">
                  <c:v>9.0934999999999846</c:v>
                </c:pt>
                <c:pt idx="61">
                  <c:v>9.1334599999999782</c:v>
                </c:pt>
                <c:pt idx="62">
                  <c:v>10.092499999999999</c:v>
                </c:pt>
                <c:pt idx="63">
                  <c:v>10.092499999999999</c:v>
                </c:pt>
                <c:pt idx="64">
                  <c:v>10.092499999999999</c:v>
                </c:pt>
                <c:pt idx="65">
                  <c:v>10.092499999999999</c:v>
                </c:pt>
                <c:pt idx="66">
                  <c:v>10.092499999999999</c:v>
                </c:pt>
                <c:pt idx="67">
                  <c:v>10.092499999999999</c:v>
                </c:pt>
                <c:pt idx="68">
                  <c:v>10.092499999999999</c:v>
                </c:pt>
                <c:pt idx="69">
                  <c:v>10.092499999999999</c:v>
                </c:pt>
                <c:pt idx="70">
                  <c:v>10.092499999999999</c:v>
                </c:pt>
                <c:pt idx="71">
                  <c:v>10.092499999999999</c:v>
                </c:pt>
                <c:pt idx="72">
                  <c:v>10.092499999999999</c:v>
                </c:pt>
                <c:pt idx="73">
                  <c:v>10.092499999999999</c:v>
                </c:pt>
                <c:pt idx="74">
                  <c:v>10.092499999999999</c:v>
                </c:pt>
                <c:pt idx="75">
                  <c:v>10.092499999999999</c:v>
                </c:pt>
                <c:pt idx="76">
                  <c:v>10.092499999999999</c:v>
                </c:pt>
                <c:pt idx="77">
                  <c:v>10.092499999999999</c:v>
                </c:pt>
                <c:pt idx="78">
                  <c:v>10.092499999999999</c:v>
                </c:pt>
                <c:pt idx="79">
                  <c:v>10.092499999999999</c:v>
                </c:pt>
                <c:pt idx="80">
                  <c:v>10.092499999999999</c:v>
                </c:pt>
                <c:pt idx="81">
                  <c:v>10.092500000000072</c:v>
                </c:pt>
                <c:pt idx="82">
                  <c:v>10.092499999999999</c:v>
                </c:pt>
                <c:pt idx="83">
                  <c:v>10.092499999999999</c:v>
                </c:pt>
                <c:pt idx="84">
                  <c:v>10.092499999999999</c:v>
                </c:pt>
                <c:pt idx="85">
                  <c:v>10.092499999999999</c:v>
                </c:pt>
                <c:pt idx="86">
                  <c:v>10.092499999999999</c:v>
                </c:pt>
              </c:numCache>
            </c:numRef>
          </c:val>
          <c:smooth val="0"/>
          <c:extLst>
            <c:ext xmlns:c16="http://schemas.microsoft.com/office/drawing/2014/chart" uri="{C3380CC4-5D6E-409C-BE32-E72D297353CC}">
              <c16:uniqueId val="{00000001-7696-4910-812A-D46EE4A9E25E}"/>
            </c:ext>
          </c:extLst>
        </c:ser>
        <c:dLbls>
          <c:showLegendKey val="0"/>
          <c:showVal val="0"/>
          <c:showCatName val="0"/>
          <c:showSerName val="0"/>
          <c:showPercent val="0"/>
          <c:showBubbleSize val="0"/>
        </c:dLbls>
        <c:dropLines>
          <c:spPr>
            <a:ln w="9525" cap="flat" cmpd="sng" algn="ctr">
              <a:noFill/>
              <a:round/>
            </a:ln>
            <a:effectLst/>
          </c:spPr>
        </c:dropLines>
        <c:smooth val="0"/>
        <c:axId val="372594080"/>
        <c:axId val="378176608"/>
      </c:lineChart>
      <c:catAx>
        <c:axId val="372594080"/>
        <c:scaling>
          <c:orientation val="minMax"/>
        </c:scaling>
        <c:delete val="0"/>
        <c:axPos val="b"/>
        <c:numFmt formatCode="_ * #,##0_ ;_ * \-#,##0_ ;_ * &quot;-&quot;??_ ;_ @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de-DE"/>
          </a:p>
        </c:txPr>
        <c:crossAx val="378176608"/>
        <c:crosses val="autoZero"/>
        <c:auto val="1"/>
        <c:lblAlgn val="ctr"/>
        <c:lblOffset val="100"/>
        <c:noMultiLvlLbl val="0"/>
      </c:catAx>
      <c:valAx>
        <c:axId val="378176608"/>
        <c:scaling>
          <c:orientation val="minMax"/>
          <c:min val="0"/>
        </c:scaling>
        <c:delete val="0"/>
        <c:axPos val="l"/>
        <c:majorGridlines>
          <c:spPr>
            <a:ln>
              <a:solidFill>
                <a:schemeClr val="dk1">
                  <a:lumMod val="15000"/>
                  <a:lumOff val="85000"/>
                </a:schemeClr>
              </a:solidFill>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de-DE"/>
          </a:p>
        </c:txPr>
        <c:crossAx val="372594080"/>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Verlauf Steuern</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de-DE"/>
        </a:p>
      </c:txPr>
    </c:title>
    <c:autoTitleDeleted val="0"/>
    <c:plotArea>
      <c:layout/>
      <c:barChart>
        <c:barDir val="col"/>
        <c:grouping val="clustered"/>
        <c:varyColors val="0"/>
        <c:ser>
          <c:idx val="0"/>
          <c:order val="0"/>
          <c:tx>
            <c:strRef>
              <c:f>'Vermögen und Steuerentwicklung'!$Y$19</c:f>
              <c:strCache>
                <c:ptCount val="1"/>
                <c:pt idx="0">
                  <c:v>Kapitalbezug von Einkauf</c:v>
                </c:pt>
              </c:strCache>
            </c:strRef>
          </c:tx>
          <c:spPr>
            <a:solidFill>
              <a:schemeClr val="tx1"/>
            </a:solidFill>
            <a:ln>
              <a:noFill/>
            </a:ln>
            <a:effectLst/>
          </c:spPr>
          <c:invertIfNegative val="0"/>
          <c:dLbls>
            <c:delete val="1"/>
          </c:dLbls>
          <c:cat>
            <c:numRef>
              <c:f>'Vermögen und Steuerentwicklung'!$Z$18:$BG$18</c:f>
              <c:numCache>
                <c:formatCode>General</c:formatCode>
                <c:ptCount val="34"/>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numCache>
            </c:numRef>
          </c:cat>
          <c:val>
            <c:numRef>
              <c:f>'Vermögen und Steuerentwicklung'!$Z$19:$BG$19</c:f>
              <c:numCache>
                <c:formatCode>#,##0,</c:formatCode>
                <c:ptCount val="34"/>
                <c:pt idx="0">
                  <c:v>33834.248384061349</c:v>
                </c:pt>
                <c:pt idx="1">
                  <c:v>34519.169633358382</c:v>
                </c:pt>
                <c:pt idx="2">
                  <c:v>35478.789347884755</c:v>
                </c:pt>
                <c:pt idx="3">
                  <c:v>35602.824739200187</c:v>
                </c:pt>
                <c:pt idx="4">
                  <c:v>41833.152519685893</c:v>
                </c:pt>
                <c:pt idx="5">
                  <c:v>53400.169140352562</c:v>
                </c:pt>
                <c:pt idx="6">
                  <c:v>49872.587501921502</c:v>
                </c:pt>
                <c:pt idx="7">
                  <c:v>30012.886939588148</c:v>
                </c:pt>
                <c:pt idx="8">
                  <c:v>28069.518700696128</c:v>
                </c:pt>
                <c:pt idx="9">
                  <c:v>30537.866012313094</c:v>
                </c:pt>
                <c:pt idx="10">
                  <c:v>30658.856971913283</c:v>
                </c:pt>
                <c:pt idx="11">
                  <c:v>30757.031998835955</c:v>
                </c:pt>
                <c:pt idx="12">
                  <c:v>30849.572984911381</c:v>
                </c:pt>
                <c:pt idx="13">
                  <c:v>30922.878350867908</c:v>
                </c:pt>
                <c:pt idx="14">
                  <c:v>30983.853178333015</c:v>
                </c:pt>
                <c:pt idx="15">
                  <c:v>31031.403270502029</c:v>
                </c:pt>
                <c:pt idx="16">
                  <c:v>31058.702466596882</c:v>
                </c:pt>
                <c:pt idx="17">
                  <c:v>31071.502901967728</c:v>
                </c:pt>
                <c:pt idx="18">
                  <c:v>31069.237383738306</c:v>
                </c:pt>
                <c:pt idx="19">
                  <c:v>31051.307195099565</c:v>
                </c:pt>
                <c:pt idx="20">
                  <c:v>31017.095500612511</c:v>
                </c:pt>
                <c:pt idx="21">
                  <c:v>30959.700934632685</c:v>
                </c:pt>
                <c:pt idx="22">
                  <c:v>30884.798840588817</c:v>
                </c:pt>
                <c:pt idx="23">
                  <c:v>30792.303899958948</c:v>
                </c:pt>
                <c:pt idx="24">
                  <c:v>30674.142326218793</c:v>
                </c:pt>
                <c:pt idx="25">
                  <c:v>30536.496070236793</c:v>
                </c:pt>
                <c:pt idx="26">
                  <c:v>30379.223537339145</c:v>
                </c:pt>
                <c:pt idx="27">
                  <c:v>30194.2384088947</c:v>
                </c:pt>
                <c:pt idx="28">
                  <c:v>29987.635692311251</c:v>
                </c:pt>
                <c:pt idx="29">
                  <c:v>29758.649783227102</c:v>
                </c:pt>
                <c:pt idx="30">
                  <c:v>29499.767825574509</c:v>
                </c:pt>
                <c:pt idx="31">
                  <c:v>29216.977786553525</c:v>
                </c:pt>
                <c:pt idx="32">
                  <c:v>28903.349531011736</c:v>
                </c:pt>
                <c:pt idx="33">
                  <c:v>28566.985536269203</c:v>
                </c:pt>
              </c:numCache>
            </c:numRef>
          </c:val>
          <c:extLst>
            <c:ext xmlns:c16="http://schemas.microsoft.com/office/drawing/2014/chart" uri="{C3380CC4-5D6E-409C-BE32-E72D297353CC}">
              <c16:uniqueId val="{00000000-FC1F-416F-AC2B-224FAB1F6CD1}"/>
            </c:ext>
          </c:extLst>
        </c:ser>
        <c:ser>
          <c:idx val="1"/>
          <c:order val="1"/>
          <c:tx>
            <c:strRef>
              <c:f>'Vermögen und Steuerentwicklung'!$Y$20</c:f>
              <c:strCache>
                <c:ptCount val="1"/>
                <c:pt idx="0">
                  <c:v>Kapitalbezug 230 TCHF von Alterskapital (und Einkauf)</c:v>
                </c:pt>
              </c:strCache>
            </c:strRef>
          </c:tx>
          <c:spPr>
            <a:solidFill>
              <a:schemeClr val="accent2"/>
            </a:solidFill>
            <a:ln>
              <a:noFill/>
            </a:ln>
            <a:effectLst/>
          </c:spPr>
          <c:invertIfNegative val="0"/>
          <c:dLbls>
            <c:delete val="1"/>
          </c:dLbls>
          <c:cat>
            <c:numRef>
              <c:f>'Vermögen und Steuerentwicklung'!$Z$18:$BG$18</c:f>
              <c:numCache>
                <c:formatCode>General</c:formatCode>
                <c:ptCount val="34"/>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numCache>
            </c:numRef>
          </c:cat>
          <c:val>
            <c:numRef>
              <c:f>'Vermögen und Steuerentwicklung'!$Z$20:$BG$20</c:f>
              <c:numCache>
                <c:formatCode>#,##0,</c:formatCode>
                <c:ptCount val="34"/>
                <c:pt idx="0">
                  <c:v>33834.248384061349</c:v>
                </c:pt>
                <c:pt idx="1">
                  <c:v>34519.169633358382</c:v>
                </c:pt>
                <c:pt idx="2">
                  <c:v>35478.789347884755</c:v>
                </c:pt>
                <c:pt idx="3">
                  <c:v>35602.824739200187</c:v>
                </c:pt>
                <c:pt idx="4">
                  <c:v>51288.985508082507</c:v>
                </c:pt>
                <c:pt idx="5">
                  <c:v>64139.886832884782</c:v>
                </c:pt>
                <c:pt idx="6">
                  <c:v>46614.723957514158</c:v>
                </c:pt>
                <c:pt idx="7">
                  <c:v>27972.952124023344</c:v>
                </c:pt>
                <c:pt idx="8">
                  <c:v>26015.491352604618</c:v>
                </c:pt>
                <c:pt idx="9">
                  <c:v>28279.338999251642</c:v>
                </c:pt>
                <c:pt idx="10">
                  <c:v>28329.92411866604</c:v>
                </c:pt>
                <c:pt idx="11">
                  <c:v>28358.822462667285</c:v>
                </c:pt>
                <c:pt idx="12">
                  <c:v>28379.829079009705</c:v>
                </c:pt>
                <c:pt idx="13">
                  <c:v>28382.162761326843</c:v>
                </c:pt>
                <c:pt idx="14">
                  <c:v>28370.425629575762</c:v>
                </c:pt>
                <c:pt idx="15">
                  <c:v>28338.955087505197</c:v>
                </c:pt>
                <c:pt idx="16">
                  <c:v>28297.448745355206</c:v>
                </c:pt>
                <c:pt idx="17">
                  <c:v>28235.571010129799</c:v>
                </c:pt>
                <c:pt idx="18">
                  <c:v>28156.834012085124</c:v>
                </c:pt>
                <c:pt idx="19">
                  <c:v>28056.044589355723</c:v>
                </c:pt>
                <c:pt idx="20">
                  <c:v>27943.307066158664</c:v>
                </c:pt>
                <c:pt idx="21">
                  <c:v>27801.656765099895</c:v>
                </c:pt>
                <c:pt idx="22">
                  <c:v>27646.762636153264</c:v>
                </c:pt>
                <c:pt idx="23">
                  <c:v>27466.757691061397</c:v>
                </c:pt>
                <c:pt idx="24">
                  <c:v>27266.546141584768</c:v>
                </c:pt>
                <c:pt idx="25">
                  <c:v>27045.407744180469</c:v>
                </c:pt>
                <c:pt idx="26">
                  <c:v>26797.59042628602</c:v>
                </c:pt>
                <c:pt idx="27">
                  <c:v>26526.901796932452</c:v>
                </c:pt>
                <c:pt idx="28">
                  <c:v>26233.56270198882</c:v>
                </c:pt>
                <c:pt idx="29">
                  <c:v>25910.338549254851</c:v>
                </c:pt>
                <c:pt idx="30">
                  <c:v>25557.024918326912</c:v>
                </c:pt>
                <c:pt idx="31">
                  <c:v>25183.64530567906</c:v>
                </c:pt>
                <c:pt idx="32">
                  <c:v>24772.722983518215</c:v>
                </c:pt>
                <c:pt idx="33">
                  <c:v>24339.540268697132</c:v>
                </c:pt>
              </c:numCache>
            </c:numRef>
          </c:val>
          <c:extLst>
            <c:ext xmlns:c16="http://schemas.microsoft.com/office/drawing/2014/chart" uri="{C3380CC4-5D6E-409C-BE32-E72D297353CC}">
              <c16:uniqueId val="{00000000-D236-4FA8-9A57-F135D54C62AB}"/>
            </c:ext>
          </c:extLst>
        </c:ser>
        <c:ser>
          <c:idx val="2"/>
          <c:order val="2"/>
          <c:tx>
            <c:strRef>
              <c:f>'Vermögen und Steuerentwicklung'!$Y$21</c:f>
              <c:strCache>
                <c:ptCount val="1"/>
                <c:pt idx="0">
                  <c:v>Kapitalbezug 500 TCHF von Alterskapital (und Einkauf)</c:v>
                </c:pt>
              </c:strCache>
            </c:strRef>
          </c:tx>
          <c:spPr>
            <a:solidFill>
              <a:srgbClr val="7030A0"/>
            </a:solidFill>
            <a:ln>
              <a:solidFill>
                <a:srgbClr val="7030A0"/>
              </a:solidFill>
            </a:ln>
            <a:effectLst/>
          </c:spPr>
          <c:invertIfNegative val="0"/>
          <c:dLbls>
            <c:delete val="1"/>
          </c:dLbls>
          <c:cat>
            <c:numRef>
              <c:f>'Vermögen und Steuerentwicklung'!$Z$18:$BG$18</c:f>
              <c:numCache>
                <c:formatCode>General</c:formatCode>
                <c:ptCount val="34"/>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numCache>
            </c:numRef>
          </c:cat>
          <c:val>
            <c:numRef>
              <c:f>'Vermögen und Steuerentwicklung'!$Z$21:$BG$21</c:f>
              <c:numCache>
                <c:formatCode>#,##0,</c:formatCode>
                <c:ptCount val="34"/>
                <c:pt idx="0">
                  <c:v>33834.248384061349</c:v>
                </c:pt>
                <c:pt idx="1">
                  <c:v>34519.169633358382</c:v>
                </c:pt>
                <c:pt idx="2">
                  <c:v>35478.789347884755</c:v>
                </c:pt>
                <c:pt idx="3">
                  <c:v>35602.824739200187</c:v>
                </c:pt>
                <c:pt idx="4">
                  <c:v>51288.985508082507</c:v>
                </c:pt>
                <c:pt idx="5">
                  <c:v>91819.050344451374</c:v>
                </c:pt>
                <c:pt idx="6">
                  <c:v>44499.955654079837</c:v>
                </c:pt>
                <c:pt idx="7">
                  <c:v>26751.52744053716</c:v>
                </c:pt>
                <c:pt idx="8">
                  <c:v>24889.514942072241</c:v>
                </c:pt>
                <c:pt idx="9">
                  <c:v>26922.120176740747</c:v>
                </c:pt>
                <c:pt idx="10">
                  <c:v>26923.292381636878</c:v>
                </c:pt>
                <c:pt idx="11">
                  <c:v>26906.64844854287</c:v>
                </c:pt>
                <c:pt idx="12">
                  <c:v>26875.56156743773</c:v>
                </c:pt>
                <c:pt idx="13">
                  <c:v>26823.915927311438</c:v>
                </c:pt>
                <c:pt idx="14">
                  <c:v>26757.213168557908</c:v>
                </c:pt>
                <c:pt idx="15">
                  <c:v>26673.942226407027</c:v>
                </c:pt>
                <c:pt idx="16">
                  <c:v>26568.421704396722</c:v>
                </c:pt>
                <c:pt idx="17">
                  <c:v>26451.159994151534</c:v>
                </c:pt>
                <c:pt idx="18">
                  <c:v>26310.412867698011</c:v>
                </c:pt>
                <c:pt idx="19">
                  <c:v>26145.594132965136</c:v>
                </c:pt>
                <c:pt idx="20">
                  <c:v>25967.102869685761</c:v>
                </c:pt>
                <c:pt idx="21">
                  <c:v>25763.222980227187</c:v>
                </c:pt>
                <c:pt idx="22">
                  <c:v>25541.083571615956</c:v>
                </c:pt>
                <c:pt idx="23">
                  <c:v>25306.131071538202</c:v>
                </c:pt>
                <c:pt idx="24">
                  <c:v>25044.726982762306</c:v>
                </c:pt>
                <c:pt idx="25">
                  <c:v>24755.33476917517</c:v>
                </c:pt>
                <c:pt idx="26">
                  <c:v>24443.589677464552</c:v>
                </c:pt>
                <c:pt idx="27">
                  <c:v>24108.284429791547</c:v>
                </c:pt>
                <c:pt idx="28">
                  <c:v>23742.911056966717</c:v>
                </c:pt>
                <c:pt idx="29">
                  <c:v>23352.506835135973</c:v>
                </c:pt>
                <c:pt idx="30">
                  <c:v>22936.261406680092</c:v>
                </c:pt>
                <c:pt idx="31">
                  <c:v>22487.736945911594</c:v>
                </c:pt>
                <c:pt idx="32">
                  <c:v>22005.403142049847</c:v>
                </c:pt>
                <c:pt idx="33">
                  <c:v>21494.535687679523</c:v>
                </c:pt>
              </c:numCache>
            </c:numRef>
          </c:val>
          <c:extLst>
            <c:ext xmlns:c16="http://schemas.microsoft.com/office/drawing/2014/chart" uri="{C3380CC4-5D6E-409C-BE32-E72D297353CC}">
              <c16:uniqueId val="{00000001-D236-4FA8-9A57-F135D54C62AB}"/>
            </c:ext>
          </c:extLst>
        </c:ser>
        <c:dLbls>
          <c:dLblPos val="outEnd"/>
          <c:showLegendKey val="0"/>
          <c:showVal val="1"/>
          <c:showCatName val="0"/>
          <c:showSerName val="0"/>
          <c:showPercent val="0"/>
          <c:showBubbleSize val="0"/>
        </c:dLbls>
        <c:gapWidth val="444"/>
        <c:overlap val="-90"/>
        <c:axId val="1297726624"/>
        <c:axId val="1297667584"/>
      </c:barChart>
      <c:dateAx>
        <c:axId val="12977266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de-DE"/>
          </a:p>
        </c:txPr>
        <c:crossAx val="1297667584"/>
        <c:crosses val="autoZero"/>
        <c:auto val="0"/>
        <c:lblOffset val="100"/>
        <c:baseTimeUnit val="days"/>
      </c:dateAx>
      <c:valAx>
        <c:axId val="1297667584"/>
        <c:scaling>
          <c:orientation val="minMax"/>
        </c:scaling>
        <c:delete val="0"/>
        <c:axPos val="l"/>
        <c:numFmt formatCode="#,##0,"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9772662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Verlauf freies</a:t>
            </a:r>
            <a:r>
              <a:rPr lang="en-US" baseline="0"/>
              <a:t> Vermögen</a:t>
            </a:r>
            <a:endParaRPr lang="en-US"/>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'Vermögen und Steuerentwicklung'!$Y$10</c:f>
              <c:strCache>
                <c:ptCount val="1"/>
                <c:pt idx="0">
                  <c:v>Kapitalbezug von Einkauf</c:v>
                </c:pt>
              </c:strCache>
            </c:strRef>
          </c:tx>
          <c:spPr>
            <a:ln w="22225" cap="rnd">
              <a:solidFill>
                <a:schemeClr val="tx1"/>
              </a:solidFill>
              <a:round/>
            </a:ln>
            <a:effectLst/>
          </c:spPr>
          <c:marker>
            <c:symbol val="none"/>
          </c:marker>
          <c:dLbls>
            <c:delete val="1"/>
          </c:dLbls>
          <c:cat>
            <c:numRef>
              <c:f>'Vermögen und Steuerentwicklung'!$Z$9:$BG$9</c:f>
              <c:numCache>
                <c:formatCode>General</c:formatCode>
                <c:ptCount val="34"/>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numCache>
            </c:numRef>
          </c:cat>
          <c:val>
            <c:numRef>
              <c:f>'Vermögen und Steuerentwicklung'!$Z$10:$BG$10</c:f>
              <c:numCache>
                <c:formatCode>#,##0,</c:formatCode>
                <c:ptCount val="34"/>
                <c:pt idx="0">
                  <c:v>288099.40000000002</c:v>
                </c:pt>
                <c:pt idx="1">
                  <c:v>377708.08076921757</c:v>
                </c:pt>
                <c:pt idx="2">
                  <c:v>470281.41250069806</c:v>
                </c:pt>
                <c:pt idx="3">
                  <c:v>555071.68244706234</c:v>
                </c:pt>
                <c:pt idx="4">
                  <c:v>736758.24241183628</c:v>
                </c:pt>
                <c:pt idx="5">
                  <c:v>1017666.826272155</c:v>
                </c:pt>
                <c:pt idx="6">
                  <c:v>1098761.8895749399</c:v>
                </c:pt>
                <c:pt idx="7">
                  <c:v>1116751.134940078</c:v>
                </c:pt>
                <c:pt idx="8">
                  <c:v>1146024.5431804988</c:v>
                </c:pt>
                <c:pt idx="9">
                  <c:v>1159073.560745623</c:v>
                </c:pt>
                <c:pt idx="10">
                  <c:v>1168758.926323497</c:v>
                </c:pt>
                <c:pt idx="11">
                  <c:v>1177331.7148195575</c:v>
                </c:pt>
                <c:pt idx="12">
                  <c:v>1184756.2743988056</c:v>
                </c:pt>
                <c:pt idx="13">
                  <c:v>1190977.9239343507</c:v>
                </c:pt>
                <c:pt idx="14">
                  <c:v>1195953.6046804998</c:v>
                </c:pt>
                <c:pt idx="15">
                  <c:v>1199631.4169778395</c:v>
                </c:pt>
                <c:pt idx="16">
                  <c:v>1201958.4454680057</c:v>
                </c:pt>
                <c:pt idx="17">
                  <c:v>1202886.5511292208</c:v>
                </c:pt>
                <c:pt idx="18">
                  <c:v>1202359.7352730969</c:v>
                </c:pt>
                <c:pt idx="19">
                  <c:v>1200320.2895427283</c:v>
                </c:pt>
                <c:pt idx="20">
                  <c:v>1196708.7632473966</c:v>
                </c:pt>
                <c:pt idx="21">
                  <c:v>1191463.9158405585</c:v>
                </c:pt>
                <c:pt idx="22">
                  <c:v>1184529.0437337006</c:v>
                </c:pt>
                <c:pt idx="23">
                  <c:v>1175839.3371619526</c:v>
                </c:pt>
                <c:pt idx="24">
                  <c:v>1165327.4527381167</c:v>
                </c:pt>
                <c:pt idx="25">
                  <c:v>1152931.5477606973</c:v>
                </c:pt>
                <c:pt idx="26">
                  <c:v>1138580.9621644993</c:v>
                </c:pt>
                <c:pt idx="27">
                  <c:v>1122202.3386794771</c:v>
                </c:pt>
                <c:pt idx="28">
                  <c:v>1103727.6066625626</c:v>
                </c:pt>
                <c:pt idx="29">
                  <c:v>1083079.7320248992</c:v>
                </c:pt>
                <c:pt idx="30">
                  <c:v>1060179.3784941665</c:v>
                </c:pt>
                <c:pt idx="31">
                  <c:v>1034951.6865918766</c:v>
                </c:pt>
                <c:pt idx="32">
                  <c:v>1007312.6873719689</c:v>
                </c:pt>
                <c:pt idx="33">
                  <c:v>977182.12180915056</c:v>
                </c:pt>
              </c:numCache>
            </c:numRef>
          </c:val>
          <c:smooth val="0"/>
          <c:extLst>
            <c:ext xmlns:c16="http://schemas.microsoft.com/office/drawing/2014/chart" uri="{C3380CC4-5D6E-409C-BE32-E72D297353CC}">
              <c16:uniqueId val="{00000000-5C56-4962-8FB7-01716C8EAE12}"/>
            </c:ext>
          </c:extLst>
        </c:ser>
        <c:ser>
          <c:idx val="1"/>
          <c:order val="1"/>
          <c:tx>
            <c:strRef>
              <c:f>'Vermögen und Steuerentwicklung'!$Y$11</c:f>
              <c:strCache>
                <c:ptCount val="1"/>
                <c:pt idx="0">
                  <c:v>Kapitalbezug 230 TCHF von Alterskapital (und Einkauf)</c:v>
                </c:pt>
              </c:strCache>
            </c:strRef>
          </c:tx>
          <c:spPr>
            <a:ln w="22225" cap="rnd">
              <a:solidFill>
                <a:schemeClr val="accent2"/>
              </a:solidFill>
              <a:round/>
            </a:ln>
            <a:effectLst/>
          </c:spPr>
          <c:marker>
            <c:symbol val="none"/>
          </c:marker>
          <c:dLbls>
            <c:delete val="1"/>
          </c:dLbls>
          <c:cat>
            <c:numRef>
              <c:f>'Vermögen und Steuerentwicklung'!$Z$9:$BG$9</c:f>
              <c:numCache>
                <c:formatCode>General</c:formatCode>
                <c:ptCount val="34"/>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numCache>
            </c:numRef>
          </c:cat>
          <c:val>
            <c:numRef>
              <c:f>'Vermögen und Steuerentwicklung'!$Z$11:$BG$11</c:f>
              <c:numCache>
                <c:formatCode>#,##0,</c:formatCode>
                <c:ptCount val="34"/>
                <c:pt idx="0">
                  <c:v>288099.40000000002</c:v>
                </c:pt>
                <c:pt idx="1">
                  <c:v>377708.08076921757</c:v>
                </c:pt>
                <c:pt idx="2">
                  <c:v>470281.41250069806</c:v>
                </c:pt>
                <c:pt idx="3">
                  <c:v>555071.68244706234</c:v>
                </c:pt>
                <c:pt idx="4">
                  <c:v>846292.9945368364</c:v>
                </c:pt>
                <c:pt idx="5">
                  <c:v>1232872.2038225033</c:v>
                </c:pt>
                <c:pt idx="6">
                  <c:v>1296067.1612583613</c:v>
                </c:pt>
                <c:pt idx="7">
                  <c:v>1309772.3359598164</c:v>
                </c:pt>
                <c:pt idx="8">
                  <c:v>1333372.4885817275</c:v>
                </c:pt>
                <c:pt idx="9">
                  <c:v>1340564.0257335403</c:v>
                </c:pt>
                <c:pt idx="10">
                  <c:v>1344394.9774927439</c:v>
                </c:pt>
                <c:pt idx="11">
                  <c:v>1346980.0856288695</c:v>
                </c:pt>
                <c:pt idx="12">
                  <c:v>1348277.8850604575</c:v>
                </c:pt>
                <c:pt idx="13">
                  <c:v>1348231.124064378</c:v>
                </c:pt>
                <c:pt idx="14">
                  <c:v>1346791.2135983985</c:v>
                </c:pt>
                <c:pt idx="15">
                  <c:v>1343902.8734096878</c:v>
                </c:pt>
                <c:pt idx="16">
                  <c:v>1339514.3375721304</c:v>
                </c:pt>
                <c:pt idx="17">
                  <c:v>1333561.843789316</c:v>
                </c:pt>
                <c:pt idx="18">
                  <c:v>1325989.5925472032</c:v>
                </c:pt>
                <c:pt idx="19">
                  <c:v>1316735.9309230479</c:v>
                </c:pt>
                <c:pt idx="20">
                  <c:v>1305742.0004483343</c:v>
                </c:pt>
                <c:pt idx="21">
                  <c:v>1292936.2647465484</c:v>
                </c:pt>
                <c:pt idx="22">
                  <c:v>1278261.6034648623</c:v>
                </c:pt>
                <c:pt idx="23">
                  <c:v>1261642.6069926806</c:v>
                </c:pt>
                <c:pt idx="24">
                  <c:v>1243012.948951436</c:v>
                </c:pt>
                <c:pt idx="25">
                  <c:v>1222298.6341303103</c:v>
                </c:pt>
                <c:pt idx="26">
                  <c:v>1199423.4475997738</c:v>
                </c:pt>
                <c:pt idx="27">
                  <c:v>1174313.9914664449</c:v>
                </c:pt>
                <c:pt idx="28">
                  <c:v>1146890.0509707085</c:v>
                </c:pt>
                <c:pt idx="29">
                  <c:v>1117067.9998224459</c:v>
                </c:pt>
                <c:pt idx="30">
                  <c:v>1084768.2610161568</c:v>
                </c:pt>
                <c:pt idx="31">
                  <c:v>1049908.2895812234</c:v>
                </c:pt>
                <c:pt idx="32">
                  <c:v>1012392.0559361951</c:v>
                </c:pt>
                <c:pt idx="33">
                  <c:v>972137.54945616191</c:v>
                </c:pt>
              </c:numCache>
            </c:numRef>
          </c:val>
          <c:smooth val="0"/>
          <c:extLst>
            <c:ext xmlns:c16="http://schemas.microsoft.com/office/drawing/2014/chart" uri="{C3380CC4-5D6E-409C-BE32-E72D297353CC}">
              <c16:uniqueId val="{00000003-B3C4-47AE-8E2A-F0F69281A128}"/>
            </c:ext>
          </c:extLst>
        </c:ser>
        <c:ser>
          <c:idx val="2"/>
          <c:order val="2"/>
          <c:tx>
            <c:strRef>
              <c:f>'Vermögen und Steuerentwicklung'!$Y$12</c:f>
              <c:strCache>
                <c:ptCount val="1"/>
                <c:pt idx="0">
                  <c:v>Kapitalbezug 500 TCHF von Alterskapital (und Einkauf)</c:v>
                </c:pt>
              </c:strCache>
            </c:strRef>
          </c:tx>
          <c:spPr>
            <a:ln w="22225" cap="rnd">
              <a:solidFill>
                <a:srgbClr val="7030A0"/>
              </a:solidFill>
              <a:round/>
            </a:ln>
            <a:effectLst/>
          </c:spPr>
          <c:marker>
            <c:symbol val="none"/>
          </c:marker>
          <c:dLbls>
            <c:delete val="1"/>
          </c:dLbls>
          <c:cat>
            <c:numRef>
              <c:f>'Vermögen und Steuerentwicklung'!$Z$9:$BG$9</c:f>
              <c:numCache>
                <c:formatCode>General</c:formatCode>
                <c:ptCount val="34"/>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numCache>
            </c:numRef>
          </c:cat>
          <c:val>
            <c:numRef>
              <c:f>'Vermögen und Steuerentwicklung'!$Z$12:$BG$12</c:f>
              <c:numCache>
                <c:formatCode>#,##0,</c:formatCode>
                <c:ptCount val="34"/>
                <c:pt idx="0">
                  <c:v>288099.40000000002</c:v>
                </c:pt>
                <c:pt idx="1">
                  <c:v>377708.08076921757</c:v>
                </c:pt>
                <c:pt idx="2">
                  <c:v>470281.41250069806</c:v>
                </c:pt>
                <c:pt idx="3">
                  <c:v>555071.68244706234</c:v>
                </c:pt>
                <c:pt idx="4">
                  <c:v>846292.9945368364</c:v>
                </c:pt>
                <c:pt idx="5">
                  <c:v>1497277.2256975032</c:v>
                </c:pt>
                <c:pt idx="6">
                  <c:v>1528134.8625259672</c:v>
                </c:pt>
                <c:pt idx="7">
                  <c:v>1538686.2360205327</c:v>
                </c:pt>
                <c:pt idx="8">
                  <c:v>1558113.2272600159</c:v>
                </c:pt>
                <c:pt idx="9">
                  <c:v>1560888.4237632854</c:v>
                </c:pt>
                <c:pt idx="10">
                  <c:v>1560383.7521054349</c:v>
                </c:pt>
                <c:pt idx="11">
                  <c:v>1558531.7676454319</c:v>
                </c:pt>
                <c:pt idx="12">
                  <c:v>1555283.5155069714</c:v>
                </c:pt>
                <c:pt idx="13">
                  <c:v>1550584.5962695444</c:v>
                </c:pt>
                <c:pt idx="14">
                  <c:v>1544384.6259843565</c:v>
                </c:pt>
                <c:pt idx="15">
                  <c:v>1536625.5514082399</c:v>
                </c:pt>
                <c:pt idx="16">
                  <c:v>1527248.5123867993</c:v>
                </c:pt>
                <c:pt idx="17">
                  <c:v>1516198.0522366734</c:v>
                </c:pt>
                <c:pt idx="18">
                  <c:v>1503405.7589989759</c:v>
                </c:pt>
                <c:pt idx="19">
                  <c:v>1488812.4492150466</c:v>
                </c:pt>
                <c:pt idx="20">
                  <c:v>1472357.1327199305</c:v>
                </c:pt>
                <c:pt idx="21">
                  <c:v>1453965.7669175614</c:v>
                </c:pt>
                <c:pt idx="22">
                  <c:v>1433573.2970879688</c:v>
                </c:pt>
                <c:pt idx="23">
                  <c:v>1411104.7908407624</c:v>
                </c:pt>
                <c:pt idx="24">
                  <c:v>1386476.7993195655</c:v>
                </c:pt>
                <c:pt idx="25">
                  <c:v>1359616.4727554263</c:v>
                </c:pt>
                <c:pt idx="26">
                  <c:v>1330449.6123288367</c:v>
                </c:pt>
                <c:pt idx="27">
                  <c:v>1298893.320222951</c:v>
                </c:pt>
                <c:pt idx="28">
                  <c:v>1264862.6519047578</c:v>
                </c:pt>
                <c:pt idx="29">
                  <c:v>1228275.932337997</c:v>
                </c:pt>
                <c:pt idx="30">
                  <c:v>1189043.1174388679</c:v>
                </c:pt>
                <c:pt idx="31">
                  <c:v>1147071.4453518302</c:v>
                </c:pt>
                <c:pt idx="32">
                  <c:v>1102271.0614148364</c:v>
                </c:pt>
                <c:pt idx="33">
                  <c:v>1054550.1205652498</c:v>
                </c:pt>
              </c:numCache>
            </c:numRef>
          </c:val>
          <c:smooth val="0"/>
          <c:extLst>
            <c:ext xmlns:c16="http://schemas.microsoft.com/office/drawing/2014/chart" uri="{C3380CC4-5D6E-409C-BE32-E72D297353CC}">
              <c16:uniqueId val="{00000004-B3C4-47AE-8E2A-F0F69281A128}"/>
            </c:ext>
          </c:extLst>
        </c:ser>
        <c:dLbls>
          <c:showLegendKey val="0"/>
          <c:showVal val="1"/>
          <c:showCatName val="0"/>
          <c:showSerName val="0"/>
          <c:showPercent val="0"/>
          <c:showBubbleSize val="0"/>
        </c:dLbls>
        <c:smooth val="0"/>
        <c:axId val="1297726624"/>
        <c:axId val="1297667584"/>
      </c:lineChart>
      <c:dateAx>
        <c:axId val="12977266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de-DE"/>
          </a:p>
        </c:txPr>
        <c:crossAx val="1297667584"/>
        <c:crosses val="autoZero"/>
        <c:auto val="0"/>
        <c:lblOffset val="100"/>
        <c:baseTimeUnit val="days"/>
      </c:dateAx>
      <c:valAx>
        <c:axId val="1297667584"/>
        <c:scaling>
          <c:orientation val="minMax"/>
        </c:scaling>
        <c:delete val="0"/>
        <c:axPos val="l"/>
        <c:numFmt formatCode="#,##0," sourceLinked="0"/>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9772662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landscape"/>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450B6ED9-7585-463D-8129-306BB78108BF}">
          <cx:spPr>
            <a:solidFill>
              <a:schemeClr val="bg1">
                <a:lumMod val="65000"/>
              </a:schemeClr>
            </a:solidFill>
          </cx:spPr>
          <cx:dataPt idx="3">
            <cx:spPr>
              <a:solidFill>
                <a:srgbClr val="00B050"/>
              </a:solidFill>
            </cx:spPr>
          </cx:dataPt>
          <cx:dataLabels>
            <cx:visibility seriesName="0" categoryName="0" value="1"/>
          </cx:dataLabels>
          <cx:dataId val="0"/>
          <cx:layoutPr>
            <cx:visibility connectorLines="0"/>
            <cx:subtotals>
              <cx:idx val="4"/>
            </cx:subtotals>
          </cx:layoutPr>
        </cx:series>
      </cx:plotAreaRegion>
      <cx:axis id="0">
        <cx:catScaling gapWidth="0.5"/>
        <cx:majorGridlines/>
        <cx:tickLabels/>
      </cx:axis>
      <cx:axis id="1">
        <cx:valScaling/>
        <cx:tickLabels/>
      </cx:axis>
    </cx:plotArea>
  </cx:chart>
  <cx:spPr>
    <a:ln>
      <a:noFill/>
    </a:ln>
  </cx:spPr>
</cx: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400">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428625</xdr:colOff>
          <xdr:row>2</xdr:row>
          <xdr:rowOff>28575</xdr:rowOff>
        </xdr:from>
        <xdr:to>
          <xdr:col>10</xdr:col>
          <xdr:colOff>733425</xdr:colOff>
          <xdr:row>6</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ea typeface="Calibri"/>
                  <a:cs typeface="Calibri"/>
                </a:rPr>
                <a:t>Leere Zeilen ausblenden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124558</xdr:colOff>
      <xdr:row>1</xdr:row>
      <xdr:rowOff>61547</xdr:rowOff>
    </xdr:from>
    <xdr:to>
      <xdr:col>9</xdr:col>
      <xdr:colOff>476985</xdr:colOff>
      <xdr:row>14</xdr:row>
      <xdr:rowOff>117231</xdr:rowOff>
    </xdr:to>
    <xdr:graphicFrame macro="">
      <xdr:nvGraphicFramePr>
        <xdr:cNvPr id="2" name="Diagramm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124558</xdr:colOff>
      <xdr:row>15</xdr:row>
      <xdr:rowOff>29309</xdr:rowOff>
    </xdr:from>
    <xdr:to>
      <xdr:col>9</xdr:col>
      <xdr:colOff>476985</xdr:colOff>
      <xdr:row>28</xdr:row>
      <xdr:rowOff>84993</xdr:rowOff>
    </xdr:to>
    <xdr:graphicFrame macro="">
      <xdr:nvGraphicFramePr>
        <xdr:cNvPr id="4" name="Diagramm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85725</xdr:colOff>
      <xdr:row>18</xdr:row>
      <xdr:rowOff>1</xdr:rowOff>
    </xdr:from>
    <xdr:to>
      <xdr:col>9</xdr:col>
      <xdr:colOff>57150</xdr:colOff>
      <xdr:row>28</xdr:row>
      <xdr:rowOff>133351</xdr:rowOff>
    </xdr:to>
    <mc:AlternateContent xmlns:mc="http://schemas.openxmlformats.org/markup-compatibility/2006">
      <mc:Choice xmlns:cx1="http://schemas.microsoft.com/office/drawing/2015/9/8/chartex" Requires="cx1">
        <xdr:graphicFrame macro="">
          <xdr:nvGraphicFramePr>
            <xdr:cNvPr id="2" name="Diagramm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5725" y="3648076"/>
              <a:ext cx="7791450" cy="203835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twoCellAnchor>
    <xdr:from>
      <xdr:col>5</xdr:col>
      <xdr:colOff>114301</xdr:colOff>
      <xdr:row>9</xdr:row>
      <xdr:rowOff>142875</xdr:rowOff>
    </xdr:from>
    <xdr:to>
      <xdr:col>8</xdr:col>
      <xdr:colOff>428632</xdr:colOff>
      <xdr:row>12</xdr:row>
      <xdr:rowOff>123829</xdr:rowOff>
    </xdr:to>
    <xdr:cxnSp macro="">
      <xdr:nvCxnSpPr>
        <xdr:cNvPr id="4" name="Verbinder: gewinkelt 3">
          <a:extLst>
            <a:ext uri="{FF2B5EF4-FFF2-40B4-BE49-F238E27FC236}">
              <a16:creationId xmlns:a16="http://schemas.microsoft.com/office/drawing/2014/main" id="{00000000-0008-0000-0600-000004000000}"/>
            </a:ext>
          </a:extLst>
        </xdr:cNvPr>
        <xdr:cNvCxnSpPr/>
      </xdr:nvCxnSpPr>
      <xdr:spPr>
        <a:xfrm rot="10800000">
          <a:off x="4467226" y="2028825"/>
          <a:ext cx="3019431" cy="171454"/>
        </a:xfrm>
        <a:prstGeom prst="bentConnector3">
          <a:avLst>
            <a:gd name="adj1" fmla="val -158"/>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676275</xdr:colOff>
      <xdr:row>9</xdr:row>
      <xdr:rowOff>114300</xdr:rowOff>
    </xdr:from>
    <xdr:to>
      <xdr:col>3</xdr:col>
      <xdr:colOff>666750</xdr:colOff>
      <xdr:row>12</xdr:row>
      <xdr:rowOff>142875</xdr:rowOff>
    </xdr:to>
    <xdr:cxnSp macro="">
      <xdr:nvCxnSpPr>
        <xdr:cNvPr id="9" name="Verbinder: gewinkelt 8">
          <a:extLst>
            <a:ext uri="{FF2B5EF4-FFF2-40B4-BE49-F238E27FC236}">
              <a16:creationId xmlns:a16="http://schemas.microsoft.com/office/drawing/2014/main" id="{00000000-0008-0000-0600-000009000000}"/>
            </a:ext>
          </a:extLst>
        </xdr:cNvPr>
        <xdr:cNvCxnSpPr/>
      </xdr:nvCxnSpPr>
      <xdr:spPr>
        <a:xfrm flipV="1">
          <a:off x="2543175" y="2000250"/>
          <a:ext cx="876300" cy="219075"/>
        </a:xfrm>
        <a:prstGeom prst="bentConnector3">
          <a:avLst>
            <a:gd name="adj1" fmla="val 0"/>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114301</xdr:colOff>
      <xdr:row>9</xdr:row>
      <xdr:rowOff>142875</xdr:rowOff>
    </xdr:from>
    <xdr:to>
      <xdr:col>8</xdr:col>
      <xdr:colOff>428632</xdr:colOff>
      <xdr:row>10</xdr:row>
      <xdr:rowOff>123829</xdr:rowOff>
    </xdr:to>
    <xdr:cxnSp macro="">
      <xdr:nvCxnSpPr>
        <xdr:cNvPr id="3" name="Verbinder: gewinkelt 2">
          <a:extLst>
            <a:ext uri="{FF2B5EF4-FFF2-40B4-BE49-F238E27FC236}">
              <a16:creationId xmlns:a16="http://schemas.microsoft.com/office/drawing/2014/main" id="{00000000-0008-0000-0700-000003000000}"/>
            </a:ext>
          </a:extLst>
        </xdr:cNvPr>
        <xdr:cNvCxnSpPr/>
      </xdr:nvCxnSpPr>
      <xdr:spPr>
        <a:xfrm rot="10800000">
          <a:off x="4610101" y="1971675"/>
          <a:ext cx="3103251" cy="163834"/>
        </a:xfrm>
        <a:prstGeom prst="bentConnector3">
          <a:avLst>
            <a:gd name="adj1" fmla="val -158"/>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676275</xdr:colOff>
      <xdr:row>9</xdr:row>
      <xdr:rowOff>114300</xdr:rowOff>
    </xdr:from>
    <xdr:to>
      <xdr:col>3</xdr:col>
      <xdr:colOff>666750</xdr:colOff>
      <xdr:row>10</xdr:row>
      <xdr:rowOff>142875</xdr:rowOff>
    </xdr:to>
    <xdr:cxnSp macro="">
      <xdr:nvCxnSpPr>
        <xdr:cNvPr id="4" name="Verbinder: gewinkelt 3">
          <a:extLst>
            <a:ext uri="{FF2B5EF4-FFF2-40B4-BE49-F238E27FC236}">
              <a16:creationId xmlns:a16="http://schemas.microsoft.com/office/drawing/2014/main" id="{00000000-0008-0000-0700-000004000000}"/>
            </a:ext>
          </a:extLst>
        </xdr:cNvPr>
        <xdr:cNvCxnSpPr/>
      </xdr:nvCxnSpPr>
      <xdr:spPr>
        <a:xfrm flipV="1">
          <a:off x="2596515" y="1943100"/>
          <a:ext cx="1102995" cy="211455"/>
        </a:xfrm>
        <a:prstGeom prst="bentConnector3">
          <a:avLst>
            <a:gd name="adj1" fmla="val 0"/>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63</xdr:col>
          <xdr:colOff>266700</xdr:colOff>
          <xdr:row>0</xdr:row>
          <xdr:rowOff>123825</xdr:rowOff>
        </xdr:from>
        <xdr:to>
          <xdr:col>65</xdr:col>
          <xdr:colOff>571500</xdr:colOff>
          <xdr:row>1</xdr:row>
          <xdr:rowOff>57150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9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ea typeface="Calibri"/>
                  <a:cs typeface="Calibri"/>
                </a:rPr>
                <a:t>Leere Zeilen ausblenden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63</xdr:col>
          <xdr:colOff>266700</xdr:colOff>
          <xdr:row>0</xdr:row>
          <xdr:rowOff>123825</xdr:rowOff>
        </xdr:from>
        <xdr:to>
          <xdr:col>65</xdr:col>
          <xdr:colOff>571500</xdr:colOff>
          <xdr:row>1</xdr:row>
          <xdr:rowOff>57150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ea typeface="Calibri"/>
                  <a:cs typeface="Calibri"/>
                </a:rPr>
                <a:t>Leere Zeilen ausblenden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63</xdr:col>
          <xdr:colOff>266700</xdr:colOff>
          <xdr:row>0</xdr:row>
          <xdr:rowOff>123825</xdr:rowOff>
        </xdr:from>
        <xdr:to>
          <xdr:col>65</xdr:col>
          <xdr:colOff>571500</xdr:colOff>
          <xdr:row>1</xdr:row>
          <xdr:rowOff>57150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B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ea typeface="Calibri"/>
                  <a:cs typeface="Calibri"/>
                </a:rPr>
                <a:t>Leere Zeilen ausblenden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311150</xdr:colOff>
      <xdr:row>18</xdr:row>
      <xdr:rowOff>9525</xdr:rowOff>
    </xdr:from>
    <xdr:to>
      <xdr:col>9</xdr:col>
      <xdr:colOff>147320</xdr:colOff>
      <xdr:row>32</xdr:row>
      <xdr:rowOff>75548</xdr:rowOff>
    </xdr:to>
    <xdr:graphicFrame macro="">
      <xdr:nvGraphicFramePr>
        <xdr:cNvPr id="5" name="Diagramm 4">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311150</xdr:colOff>
      <xdr:row>2</xdr:row>
      <xdr:rowOff>79375</xdr:rowOff>
    </xdr:from>
    <xdr:to>
      <xdr:col>9</xdr:col>
      <xdr:colOff>147320</xdr:colOff>
      <xdr:row>16</xdr:row>
      <xdr:rowOff>142875</xdr:rowOff>
    </xdr:to>
    <xdr:graphicFrame macro="">
      <xdr:nvGraphicFramePr>
        <xdr:cNvPr id="6" name="Diagramm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6DDF6B-56A4-405E-BCBF-CDE8B4CF35A1}" name="E_Erwerb" displayName="E_Erwerb" ref="A2:F10" totalsRowShown="0">
  <autoFilter ref="A2:F10" xr:uid="{9A6DDF6B-56A4-405E-BCBF-CDE8B4CF35A1}"/>
  <sortState xmlns:xlrd2="http://schemas.microsoft.com/office/spreadsheetml/2017/richdata2" ref="A3:F10">
    <sortCondition descending="1" ref="E2:E10"/>
  </sortState>
  <tableColumns count="6">
    <tableColumn id="1" xr3:uid="{EDE71564-1443-45FC-A430-72474D0B0428}" name="Id"/>
    <tableColumn id="2" xr3:uid="{54043DBB-B68D-47F2-A223-47BF477ED4DB}" name="Titel"/>
    <tableColumn id="3" xr3:uid="{4191D748-92B9-4FDF-968E-FAF22EB5E2C7}" name="Betrag" dataCellStyle="Komma"/>
    <tableColumn id="6" xr3:uid="{8B9FB59A-169E-4258-842B-E507C8707FBC}" name="Rendite / Zins" dataDxfId="15" dataCellStyle="Komma"/>
    <tableColumn id="4" xr3:uid="{B469FC5E-4580-4EC4-AA06-5055F9D55BFD}" name="Zugehörigkeit"/>
    <tableColumn id="5" xr3:uid="{4C0152C5-442D-4D63-9884-CCCE0B236C38}" name="Zugehörigkeit Bezeichnung" dataDxfId="14">
      <calculatedColumnFormula array="1">IFERROR(INDIRECT("PD_Bez"&amp;E_Erwerb[[#This Row],[Zugehörigkeit]]),"-")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DF388AE-6778-4877-BA29-6322C59FC85E}" name="V_Frei" displayName="V_Frei" ref="P2:T9" totalsRowShown="0">
  <autoFilter ref="P2:T9" xr:uid="{6DF388AE-6778-4877-BA29-6322C59FC85E}"/>
  <sortState xmlns:xlrd2="http://schemas.microsoft.com/office/spreadsheetml/2017/richdata2" ref="P3:T9">
    <sortCondition descending="1" ref="S2:S9"/>
  </sortState>
  <tableColumns count="5">
    <tableColumn id="1" xr3:uid="{13876030-1DEE-4943-AE88-8AF38AFBC47F}" name="Id"/>
    <tableColumn id="2" xr3:uid="{91480F2C-5988-441E-9995-6647766FB13E}" name="Titel"/>
    <tableColumn id="3" xr3:uid="{A7FA2BF1-1D70-44AA-ACCD-CC4678FF225B}" name="Betrag" dataCellStyle="Komma"/>
    <tableColumn id="4" xr3:uid="{C08D144E-EEA2-45B2-AFE3-B3CF9A08F42C}" name="Zugehörigkeit"/>
    <tableColumn id="5" xr3:uid="{0B593841-6566-4FB0-BB16-10BF980244DE}" name="Zugehörigkeit Bezeichnung" dataDxfId="13">
      <calculatedColumnFormula array="1">IFERROR(INDIRECT("PD_Bez"&amp;V_Frei[[#This Row],[Zugehörigkeit]]),"-")</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623850-61DE-425E-A611-E02D9255BFFA}" name="V_Liegensch" displayName="V_Liegensch" ref="V2:AC4" totalsRowShown="0">
  <autoFilter ref="V2:AC4" xr:uid="{50623850-61DE-425E-A611-E02D9255BFFA}"/>
  <sortState xmlns:xlrd2="http://schemas.microsoft.com/office/spreadsheetml/2017/richdata2" ref="V3:AC4">
    <sortCondition descending="1" ref="AB2:AB4"/>
  </sortState>
  <tableColumns count="8">
    <tableColumn id="1" xr3:uid="{F713D1C7-226A-42F3-A021-EF88FAA1408B}" name="Id"/>
    <tableColumn id="2" xr3:uid="{4338FC1A-231E-48CE-AAA2-578AC493BA54}" name="Titel"/>
    <tableColumn id="3" xr3:uid="{2A1599F0-3EE3-4113-ACDB-C3FA6ED04D4B}" name="Betrag" dataCellStyle="Komma"/>
    <tableColumn id="4" xr3:uid="{AE621606-5F00-4997-8E83-0052BEC3ED83}" name="Steuerwert" dataCellStyle="Komma"/>
    <tableColumn id="7" xr3:uid="{3DF3C477-B38A-49D8-A967-AC94A235ACAE}" name="Rendite / Zins" dataDxfId="12" dataCellStyle="Komma"/>
    <tableColumn id="8" xr3:uid="{2C4D03AA-0394-4067-9421-4C6C80130818}" name="Liegenschaftssteuer" dataDxfId="11" dataCellStyle="Komma"/>
    <tableColumn id="5" xr3:uid="{FC7BEE4F-B955-49FF-B739-EB5769F26DFE}" name="Zugehörigkeit"/>
    <tableColumn id="6" xr3:uid="{884CDE0C-FF35-4CE3-835F-5F89B96F9E8F}" name="Zugehörigkeit Bezeichnung"/>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DA61EB7-FBF2-4829-82A5-659FC4FF6EC4}" name="V_Vorsorg" displayName="V_Vorsorg" ref="AM2:AR15" totalsRowShown="0">
  <autoFilter ref="AM2:AR15" xr:uid="{3DA61EB7-FBF2-4829-82A5-659FC4FF6EC4}"/>
  <sortState xmlns:xlrd2="http://schemas.microsoft.com/office/spreadsheetml/2017/richdata2" ref="AM3:AR14">
    <sortCondition descending="1" ref="AQ2:AQ14"/>
  </sortState>
  <tableColumns count="6">
    <tableColumn id="1" xr3:uid="{3013CAAB-88A9-4D0C-8727-2BC79E7545D6}" name="Id"/>
    <tableColumn id="2" xr3:uid="{FA0645F8-4B26-4D17-9DF9-86FF510E23AE}" name="Titel"/>
    <tableColumn id="3" xr3:uid="{1EB6D248-E554-4E6A-8159-79417E5E87F8}" name="Betrag" dataCellStyle="Komma"/>
    <tableColumn id="4" xr3:uid="{032A878D-FA1E-4E15-9783-4955E5B94CA6}" name="Rendite / Zins" dataDxfId="10" dataCellStyle="Komma"/>
    <tableColumn id="10" xr3:uid="{60C235D7-1283-4A46-973C-4E5CF8B64645}" name="Zugehörigkeit"/>
    <tableColumn id="11" xr3:uid="{053A5852-1AB9-4F53-86D6-B0D495017F7A}" name="Zugehörigkeit Bezeichnung" dataDxfId="9">
      <calculatedColumnFormula array="1">IFERROR(INDIRECT("PD_Bez"&amp;V_Vorsorg[[#This Row],[Zugehörigkeit]]),"-")</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4B1AED-8E6D-4027-8DA5-C9930DD89EE1}" name="V_Hypo" displayName="V_Hypo" ref="AE2:AK7" totalsRowShown="0">
  <autoFilter ref="AE2:AK7" xr:uid="{004B1AED-8E6D-4027-8DA5-C9930DD89EE1}"/>
  <sortState xmlns:xlrd2="http://schemas.microsoft.com/office/spreadsheetml/2017/richdata2" ref="AE3:AK7">
    <sortCondition descending="1" ref="AJ2:AJ7"/>
  </sortState>
  <tableColumns count="7">
    <tableColumn id="1" xr3:uid="{FA5F0B40-B22F-4C63-8FC5-FC70B5203A6B}" name="Id"/>
    <tableColumn id="2" xr3:uid="{BC519AC1-EE07-4AF5-90F2-9A1515A88F93}" name="Titel"/>
    <tableColumn id="3" xr3:uid="{C88CCDDC-181B-4DAA-B6D5-49DD1471B7CC}" name="Betrag" dataCellStyle="Komma"/>
    <tableColumn id="4" xr3:uid="{D2B7DA6A-FCBA-488A-9FBC-8DCF15A5027E}" name="Ablauf" dataDxfId="8"/>
    <tableColumn id="5" xr3:uid="{1ACF58FB-D735-4252-9374-EAFB99920B2C}" name="Rendite / Zins" dataDxfId="7"/>
    <tableColumn id="6" xr3:uid="{346FDDE8-BCC0-4172-A6ED-5BD72D60D4AA}" name="Zugehörigkeit"/>
    <tableColumn id="7" xr3:uid="{01AE7497-3DE4-4105-95B4-51CC48E1AD46}" name="Zugehörigkeit Bezeichnung">
      <calculatedColumnFormula array="1">IFERROR(INDIRECT("PD_Bez"&amp;V_Hypo[[#This Row],[Zugehörigkeit]]),"-")</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4792E26-08D7-4CAB-AFD1-6DA83FFCE08E}" name="A_Allg" displayName="A_Allg" ref="H2:N7" totalsRowShown="0">
  <autoFilter ref="H2:N7" xr:uid="{74792E26-08D7-4CAB-AFD1-6DA83FFCE08E}"/>
  <sortState xmlns:xlrd2="http://schemas.microsoft.com/office/spreadsheetml/2017/richdata2" ref="H3:N7">
    <sortCondition descending="1" ref="M2:M7"/>
  </sortState>
  <tableColumns count="7">
    <tableColumn id="1" xr3:uid="{8CACC3CB-B238-4266-9CB6-9D1592785DE0}" name="Id"/>
    <tableColumn id="2" xr3:uid="{7BFC8840-025B-4BAA-9119-E8E3F2EE3521}" name="Titel"/>
    <tableColumn id="3" xr3:uid="{048393D1-9841-414A-BBA4-37818A93931A}" name="Betrag"/>
    <tableColumn id="4" xr3:uid="{B7BC931C-931B-4C81-9EC5-267FD0ADB1A2}" name="Rendite / Zins" dataDxfId="6"/>
    <tableColumn id="7" xr3:uid="{922185F0-D7D1-4D0C-9D87-BF54FC647BB6}" name="Abziehb" dataDxfId="5"/>
    <tableColumn id="5" xr3:uid="{EC9322FF-F561-4171-8932-FD61EC1D731C}" name="Zugehörigkeit"/>
    <tableColumn id="6" xr3:uid="{8583022D-019D-4B7F-BAFB-FF0AECF06CA1}" name="Zugehörigkeit Bezeichnung" dataDxfId="4">
      <calculatedColumnFormula array="1">IFERROR(INDIRECT("PD_Bez"&amp;A_Allg[[#This Row],[Zugehörigkeit]]),"-")</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484D9A-AC9B-4458-B53C-B6AB5BD9787A}" name="ST_Abz" displayName="ST_Abz" ref="AT2:AX16" totalsRowShown="0">
  <autoFilter ref="AT2:AX16" xr:uid="{3A484D9A-AC9B-4458-B53C-B6AB5BD9787A}"/>
  <tableColumns count="5">
    <tableColumn id="1" xr3:uid="{89DA1AEE-DA66-4D6F-9726-EABD58CE5B99}" name="Id"/>
    <tableColumn id="2" xr3:uid="{CFA70702-A573-449C-909C-9C6C69F1FC98}" name="Titel"/>
    <tableColumn id="3" xr3:uid="{9872C6D1-96EC-4AC6-9D49-91FC27A3EA86}" name="Betrag"/>
    <tableColumn id="4" xr3:uid="{F9314D00-AD49-4D28-A55D-0F11BA465F8E}" name="Zugehörigkeit"/>
    <tableColumn id="5" xr3:uid="{98B875E1-53CB-4B0E-BD80-63B63E64FC2A}" name="Zugehörigkeit Bezeichnung" dataDxfId="3">
      <calculatedColumnFormula array="1">IFERROR(INDIRECT("PD_Bez"&amp;ST_Abz[[#This Row],[Zugehörigkeit]]),"-")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fedlex.admin.ch/eli/cc/1991/1184_1184_1184/de" TargetMode="External"/><Relationship Id="rId2" Type="http://schemas.openxmlformats.org/officeDocument/2006/relationships/hyperlink" Target="https://www.estv.admin.ch/estv/de/home/direkte-bundessteuer/dbst-steuertarife.html" TargetMode="External"/><Relationship Id="rId1" Type="http://schemas.openxmlformats.org/officeDocument/2006/relationships/hyperlink" Target="https://www.taxinfo.sv.fin.be.ch/taxinfo/display/taxinfo/Tarif+Einkommenssteuer" TargetMode="External"/><Relationship Id="rId6" Type="http://schemas.openxmlformats.org/officeDocument/2006/relationships/customProperty" Target="../customProperty1.bin"/><Relationship Id="rId5" Type="http://schemas.openxmlformats.org/officeDocument/2006/relationships/printerSettings" Target="../printerSettings/printerSettings1.bin"/><Relationship Id="rId4" Type="http://schemas.openxmlformats.org/officeDocument/2006/relationships/hyperlink" Target="https://www.belex.sites.be.ch/app/de/texts_of_law/661.11" TargetMode="External"/></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5.bin"/><Relationship Id="rId1" Type="http://schemas.openxmlformats.org/officeDocument/2006/relationships/printerSettings" Target="../printerSettings/printerSettings5.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6.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8.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9.bin"/><Relationship Id="rId1" Type="http://schemas.openxmlformats.org/officeDocument/2006/relationships/printerSettings" Target="../printerSettings/printerSettings10.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0.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customProperty" Target="../customProperty12.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DF1941-06DB-4F7E-A06E-8F14A8D35DF8}">
  <sheetPr codeName="Data">
    <tabColor theme="0" tint="-0.34998626667073579"/>
  </sheetPr>
  <dimension ref="A2:AC4343"/>
  <sheetViews>
    <sheetView workbookViewId="0">
      <selection activeCell="B9" sqref="B9"/>
    </sheetView>
  </sheetViews>
  <sheetFormatPr baseColWidth="10" defaultColWidth="10.7109375" defaultRowHeight="15" x14ac:dyDescent="0.25"/>
  <cols>
    <col min="1" max="1" width="48.7109375" bestFit="1" customWidth="1"/>
    <col min="2" max="2" width="23.85546875" customWidth="1"/>
    <col min="3" max="3" width="13" customWidth="1"/>
    <col min="4" max="4" width="26" bestFit="1" customWidth="1"/>
    <col min="6" max="6" width="19.42578125" bestFit="1" customWidth="1"/>
    <col min="11" max="11" width="15.28515625" bestFit="1" customWidth="1"/>
    <col min="12" max="12" width="19.7109375" bestFit="1" customWidth="1"/>
    <col min="14" max="14" width="21.85546875" bestFit="1" customWidth="1"/>
    <col min="17" max="17" width="11.7109375" bestFit="1" customWidth="1"/>
    <col min="23" max="23" width="24.5703125" bestFit="1" customWidth="1"/>
  </cols>
  <sheetData>
    <row r="2" spans="1:29" x14ac:dyDescent="0.25">
      <c r="A2" t="s">
        <v>0</v>
      </c>
      <c r="B2" s="1">
        <v>3.0249999999999999</v>
      </c>
      <c r="C2" s="1"/>
    </row>
    <row r="3" spans="1:29" x14ac:dyDescent="0.25">
      <c r="A3" t="s">
        <v>1</v>
      </c>
      <c r="B3" s="1">
        <v>1.78</v>
      </c>
      <c r="C3" s="1"/>
    </row>
    <row r="4" spans="1:29" x14ac:dyDescent="0.25">
      <c r="A4" t="s">
        <v>2</v>
      </c>
      <c r="B4" s="1">
        <v>0.19</v>
      </c>
      <c r="C4" s="1"/>
    </row>
    <row r="5" spans="1:29" x14ac:dyDescent="0.25">
      <c r="A5" t="s">
        <v>3</v>
      </c>
      <c r="B5" s="1" t="s">
        <v>34</v>
      </c>
      <c r="C5" s="1"/>
    </row>
    <row r="7" spans="1:29" x14ac:dyDescent="0.25">
      <c r="A7" t="s">
        <v>37</v>
      </c>
    </row>
    <row r="8" spans="1:29" x14ac:dyDescent="0.25">
      <c r="A8" t="s">
        <v>122</v>
      </c>
      <c r="B8" s="2" t="s">
        <v>38</v>
      </c>
      <c r="C8" s="2"/>
    </row>
    <row r="9" spans="1:29" x14ac:dyDescent="0.25">
      <c r="A9" t="s">
        <v>123</v>
      </c>
      <c r="B9" s="2" t="s">
        <v>35</v>
      </c>
      <c r="C9" s="2"/>
    </row>
    <row r="10" spans="1:29" x14ac:dyDescent="0.25">
      <c r="A10" t="s">
        <v>124</v>
      </c>
      <c r="B10" s="2" t="s">
        <v>120</v>
      </c>
      <c r="C10" t="s">
        <v>121</v>
      </c>
    </row>
    <row r="11" spans="1:29" x14ac:dyDescent="0.25">
      <c r="A11" t="s">
        <v>125</v>
      </c>
      <c r="B11" s="2" t="s">
        <v>126</v>
      </c>
      <c r="C11" t="s">
        <v>127</v>
      </c>
    </row>
    <row r="12" spans="1:29" x14ac:dyDescent="0.25">
      <c r="B12" s="2"/>
      <c r="C12" s="2"/>
    </row>
    <row r="13" spans="1:29" x14ac:dyDescent="0.25">
      <c r="A13" s="3" t="s">
        <v>4</v>
      </c>
      <c r="D13" s="4"/>
      <c r="R13" s="3" t="s">
        <v>5</v>
      </c>
      <c r="W13" s="3" t="s">
        <v>28</v>
      </c>
    </row>
    <row r="14" spans="1:29" x14ac:dyDescent="0.25">
      <c r="A14" t="s">
        <v>6</v>
      </c>
      <c r="D14" s="4"/>
      <c r="E14" t="s">
        <v>7</v>
      </c>
      <c r="J14" t="s">
        <v>8</v>
      </c>
      <c r="N14" t="s">
        <v>9</v>
      </c>
      <c r="R14" t="s">
        <v>10</v>
      </c>
      <c r="W14" t="s">
        <v>128</v>
      </c>
      <c r="AA14" t="s">
        <v>133</v>
      </c>
    </row>
    <row r="15" spans="1:29" x14ac:dyDescent="0.25">
      <c r="A15" t="s">
        <v>16</v>
      </c>
      <c r="B15" t="s">
        <v>36</v>
      </c>
      <c r="D15" s="4"/>
      <c r="E15" t="s">
        <v>16</v>
      </c>
      <c r="F15" t="s">
        <v>36</v>
      </c>
      <c r="J15" t="s">
        <v>16</v>
      </c>
      <c r="K15" t="s">
        <v>11</v>
      </c>
      <c r="L15" t="s">
        <v>12</v>
      </c>
      <c r="N15" t="s">
        <v>16</v>
      </c>
      <c r="O15" t="s">
        <v>11</v>
      </c>
      <c r="P15" t="s">
        <v>12</v>
      </c>
      <c r="R15" t="s">
        <v>13</v>
      </c>
      <c r="S15" t="s">
        <v>14</v>
      </c>
      <c r="T15" t="s">
        <v>15</v>
      </c>
      <c r="W15" t="s">
        <v>130</v>
      </c>
      <c r="Y15" t="s">
        <v>132</v>
      </c>
      <c r="AA15" t="s">
        <v>130</v>
      </c>
      <c r="AC15" t="s">
        <v>132</v>
      </c>
    </row>
    <row r="16" spans="1:29" x14ac:dyDescent="0.25">
      <c r="A16" s="6">
        <v>100</v>
      </c>
      <c r="B16" s="6">
        <v>1.95</v>
      </c>
      <c r="D16" s="6"/>
      <c r="E16">
        <v>100</v>
      </c>
      <c r="F16">
        <v>1.55</v>
      </c>
      <c r="J16">
        <v>18300</v>
      </c>
      <c r="K16">
        <v>25.41</v>
      </c>
      <c r="L16">
        <v>0.77</v>
      </c>
      <c r="N16">
        <v>31800</v>
      </c>
      <c r="O16">
        <v>25</v>
      </c>
      <c r="P16" s="5">
        <v>1</v>
      </c>
      <c r="R16">
        <v>97000</v>
      </c>
      <c r="S16">
        <v>31.4</v>
      </c>
      <c r="T16">
        <v>0.7</v>
      </c>
      <c r="W16">
        <v>0.65</v>
      </c>
      <c r="X16" t="s">
        <v>129</v>
      </c>
      <c r="Y16">
        <v>54100</v>
      </c>
      <c r="AA16">
        <v>0.65</v>
      </c>
      <c r="AB16" t="s">
        <v>129</v>
      </c>
      <c r="AC16">
        <v>27100</v>
      </c>
    </row>
    <row r="17" spans="1:29" x14ac:dyDescent="0.25">
      <c r="A17" s="6">
        <v>3300</v>
      </c>
      <c r="B17" s="7">
        <v>1.9787999999999999</v>
      </c>
      <c r="D17" s="7"/>
      <c r="E17">
        <v>3300</v>
      </c>
      <c r="F17">
        <v>1.5529999999999999</v>
      </c>
      <c r="J17">
        <v>18500</v>
      </c>
      <c r="K17">
        <v>26.95</v>
      </c>
      <c r="L17">
        <v>0.77</v>
      </c>
      <c r="N17">
        <v>32800</v>
      </c>
      <c r="O17">
        <v>35</v>
      </c>
      <c r="P17" s="5">
        <v>1</v>
      </c>
      <c r="R17">
        <v>100000</v>
      </c>
      <c r="S17">
        <v>33.5</v>
      </c>
      <c r="T17">
        <v>0.7</v>
      </c>
      <c r="W17">
        <v>0.9</v>
      </c>
      <c r="X17" t="s">
        <v>131</v>
      </c>
      <c r="Y17">
        <v>54100</v>
      </c>
      <c r="AA17">
        <v>0.9</v>
      </c>
      <c r="AB17" t="s">
        <v>131</v>
      </c>
      <c r="AC17">
        <v>27100</v>
      </c>
    </row>
    <row r="18" spans="1:29" x14ac:dyDescent="0.25">
      <c r="A18" s="6">
        <v>3400</v>
      </c>
      <c r="B18" s="7">
        <v>2.0059</v>
      </c>
      <c r="D18" s="7"/>
      <c r="E18">
        <v>3400</v>
      </c>
      <c r="F18">
        <v>1.5559000000000001</v>
      </c>
      <c r="J18">
        <v>19000</v>
      </c>
      <c r="K18">
        <v>30.8</v>
      </c>
      <c r="L18">
        <v>0.77</v>
      </c>
      <c r="N18">
        <v>32900</v>
      </c>
      <c r="O18">
        <v>36</v>
      </c>
      <c r="P18">
        <v>1</v>
      </c>
      <c r="R18">
        <v>150000</v>
      </c>
      <c r="S18">
        <v>68.5</v>
      </c>
      <c r="T18">
        <v>0.7</v>
      </c>
      <c r="W18">
        <v>1.1499999999999999</v>
      </c>
      <c r="X18" t="s">
        <v>131</v>
      </c>
      <c r="Y18">
        <v>108300</v>
      </c>
      <c r="AA18">
        <v>1.1000000000000001</v>
      </c>
      <c r="AB18" t="s">
        <v>131</v>
      </c>
      <c r="AC18">
        <v>54100</v>
      </c>
    </row>
    <row r="19" spans="1:29" x14ac:dyDescent="0.25">
      <c r="A19" s="6">
        <v>3500</v>
      </c>
      <c r="B19" s="7">
        <v>2.0314000000000001</v>
      </c>
      <c r="D19" s="7"/>
      <c r="E19">
        <v>3500</v>
      </c>
      <c r="F19">
        <v>1.5586</v>
      </c>
      <c r="J19">
        <v>20000</v>
      </c>
      <c r="K19">
        <v>38.5</v>
      </c>
      <c r="L19">
        <v>0.77</v>
      </c>
      <c r="N19" s="8">
        <v>33500</v>
      </c>
      <c r="O19" s="8">
        <v>42</v>
      </c>
      <c r="P19" s="5">
        <v>1</v>
      </c>
      <c r="R19">
        <v>210000</v>
      </c>
      <c r="S19">
        <v>110.5</v>
      </c>
      <c r="T19">
        <v>0.8</v>
      </c>
      <c r="U19" s="8"/>
      <c r="W19">
        <v>1.3</v>
      </c>
      <c r="X19" t="s">
        <v>131</v>
      </c>
      <c r="Y19">
        <v>108300</v>
      </c>
      <c r="AA19">
        <v>1.1499999999999999</v>
      </c>
      <c r="AB19" t="s">
        <v>131</v>
      </c>
      <c r="AC19">
        <v>54100</v>
      </c>
    </row>
    <row r="20" spans="1:29" x14ac:dyDescent="0.25">
      <c r="A20" s="6">
        <v>3600</v>
      </c>
      <c r="B20" s="7">
        <v>2.0556000000000001</v>
      </c>
      <c r="D20" s="7"/>
      <c r="E20">
        <v>3600</v>
      </c>
      <c r="F20">
        <v>1.5610999999999999</v>
      </c>
      <c r="J20">
        <v>21000</v>
      </c>
      <c r="K20">
        <v>46.2</v>
      </c>
      <c r="L20">
        <v>0.77</v>
      </c>
      <c r="N20">
        <v>34000</v>
      </c>
      <c r="O20">
        <v>47</v>
      </c>
      <c r="P20">
        <v>1</v>
      </c>
      <c r="R20">
        <v>425000</v>
      </c>
      <c r="S20">
        <v>282.5</v>
      </c>
      <c r="T20">
        <v>1</v>
      </c>
      <c r="W20">
        <v>1.5</v>
      </c>
      <c r="X20" t="s">
        <v>131</v>
      </c>
      <c r="Y20">
        <v>216500</v>
      </c>
      <c r="AA20">
        <v>1.3</v>
      </c>
      <c r="AB20" t="s">
        <v>131</v>
      </c>
      <c r="AC20">
        <v>108300</v>
      </c>
    </row>
    <row r="21" spans="1:29" x14ac:dyDescent="0.25">
      <c r="A21" s="6">
        <v>3700</v>
      </c>
      <c r="B21" s="7">
        <v>2.0783999999999998</v>
      </c>
      <c r="D21" s="7"/>
      <c r="E21">
        <v>3700</v>
      </c>
      <c r="F21">
        <v>1.5634999999999999</v>
      </c>
      <c r="J21">
        <v>22000</v>
      </c>
      <c r="K21">
        <v>53.9</v>
      </c>
      <c r="L21">
        <v>0.77</v>
      </c>
      <c r="N21">
        <v>35000</v>
      </c>
      <c r="O21">
        <v>57</v>
      </c>
      <c r="P21" s="5">
        <v>1</v>
      </c>
      <c r="R21">
        <v>785000</v>
      </c>
      <c r="S21">
        <v>642.5</v>
      </c>
      <c r="T21">
        <v>1.2</v>
      </c>
      <c r="W21">
        <v>1.8</v>
      </c>
      <c r="X21" t="s">
        <v>131</v>
      </c>
      <c r="Y21">
        <v>324800</v>
      </c>
      <c r="AA21">
        <v>1.6</v>
      </c>
      <c r="AB21" t="s">
        <v>131</v>
      </c>
      <c r="AC21">
        <v>162400</v>
      </c>
    </row>
    <row r="22" spans="1:29" x14ac:dyDescent="0.25">
      <c r="A22" s="6">
        <v>3800</v>
      </c>
      <c r="B22" s="7">
        <v>2.1</v>
      </c>
      <c r="D22" s="7"/>
      <c r="E22">
        <v>3800</v>
      </c>
      <c r="F22">
        <v>1.5658000000000001</v>
      </c>
      <c r="J22">
        <v>23000</v>
      </c>
      <c r="K22">
        <v>61.6</v>
      </c>
      <c r="L22">
        <v>0.77</v>
      </c>
      <c r="N22">
        <v>36000</v>
      </c>
      <c r="O22">
        <v>67</v>
      </c>
      <c r="P22">
        <v>1</v>
      </c>
      <c r="Q22" s="5"/>
      <c r="R22">
        <v>1320000</v>
      </c>
      <c r="S22">
        <v>1284.5</v>
      </c>
      <c r="T22">
        <v>1.3</v>
      </c>
      <c r="W22">
        <v>1.9</v>
      </c>
      <c r="X22" t="s">
        <v>131</v>
      </c>
      <c r="Y22">
        <v>541400</v>
      </c>
      <c r="AA22">
        <v>1.85</v>
      </c>
      <c r="AB22" t="s">
        <v>131</v>
      </c>
      <c r="AC22">
        <v>270700</v>
      </c>
    </row>
    <row r="23" spans="1:29" x14ac:dyDescent="0.25">
      <c r="A23" s="6">
        <v>3900</v>
      </c>
      <c r="B23" s="7">
        <v>2.1204999999999998</v>
      </c>
      <c r="D23" s="7"/>
      <c r="E23">
        <v>3900</v>
      </c>
      <c r="F23">
        <v>1.5679000000000001</v>
      </c>
      <c r="J23">
        <v>24000</v>
      </c>
      <c r="K23">
        <v>69.3</v>
      </c>
      <c r="L23">
        <v>0.77</v>
      </c>
      <c r="N23">
        <v>37000</v>
      </c>
      <c r="O23">
        <v>77</v>
      </c>
      <c r="P23">
        <v>1</v>
      </c>
      <c r="R23">
        <v>1750000</v>
      </c>
      <c r="S23">
        <v>1843.5</v>
      </c>
      <c r="T23">
        <v>1.3</v>
      </c>
      <c r="V23" s="5"/>
      <c r="W23">
        <v>2</v>
      </c>
      <c r="X23" t="s">
        <v>131</v>
      </c>
      <c r="AA23">
        <v>1.9</v>
      </c>
      <c r="AB23" t="s">
        <v>131</v>
      </c>
      <c r="AC23">
        <v>541400</v>
      </c>
    </row>
    <row r="24" spans="1:29" x14ac:dyDescent="0.25">
      <c r="A24" s="6">
        <v>4000</v>
      </c>
      <c r="B24" s="7">
        <v>2.14</v>
      </c>
      <c r="D24" s="7"/>
      <c r="E24">
        <v>4000</v>
      </c>
      <c r="F24">
        <v>1.57</v>
      </c>
      <c r="J24">
        <v>25000</v>
      </c>
      <c r="K24">
        <v>77</v>
      </c>
      <c r="L24">
        <v>0.77</v>
      </c>
      <c r="N24">
        <v>38000</v>
      </c>
      <c r="O24">
        <v>87</v>
      </c>
      <c r="P24">
        <v>1</v>
      </c>
      <c r="R24">
        <v>2000000</v>
      </c>
      <c r="S24">
        <v>2168.5</v>
      </c>
      <c r="T24">
        <v>1.3</v>
      </c>
      <c r="AA24">
        <v>2</v>
      </c>
      <c r="AB24" t="s">
        <v>131</v>
      </c>
    </row>
    <row r="25" spans="1:29" x14ac:dyDescent="0.25">
      <c r="A25" s="6">
        <v>4100</v>
      </c>
      <c r="B25" s="7">
        <v>2.1585000000000001</v>
      </c>
      <c r="D25" s="7"/>
      <c r="E25">
        <v>4100</v>
      </c>
      <c r="F25">
        <v>1.5720000000000001</v>
      </c>
      <c r="J25">
        <v>26000</v>
      </c>
      <c r="K25">
        <v>84.7</v>
      </c>
      <c r="L25">
        <v>0.77</v>
      </c>
      <c r="N25">
        <v>39000</v>
      </c>
      <c r="O25">
        <v>97</v>
      </c>
      <c r="P25">
        <v>1</v>
      </c>
      <c r="R25">
        <v>2500000</v>
      </c>
      <c r="S25">
        <v>2818.5</v>
      </c>
      <c r="T25">
        <v>1.3</v>
      </c>
    </row>
    <row r="26" spans="1:29" x14ac:dyDescent="0.25">
      <c r="A26" s="6">
        <v>4200</v>
      </c>
      <c r="B26" s="7">
        <v>2.1762000000000001</v>
      </c>
      <c r="D26" s="7"/>
      <c r="E26">
        <v>4200</v>
      </c>
      <c r="F26">
        <v>1.5738000000000001</v>
      </c>
      <c r="J26">
        <v>27000</v>
      </c>
      <c r="K26">
        <v>92.4</v>
      </c>
      <c r="L26">
        <v>0.77</v>
      </c>
      <c r="N26">
        <v>40000</v>
      </c>
      <c r="O26">
        <v>107</v>
      </c>
      <c r="P26">
        <v>1</v>
      </c>
      <c r="R26">
        <v>3620000</v>
      </c>
      <c r="S26">
        <v>4274.5</v>
      </c>
      <c r="T26">
        <v>1.35</v>
      </c>
    </row>
    <row r="27" spans="1:29" x14ac:dyDescent="0.25">
      <c r="A27" s="6">
        <v>4300</v>
      </c>
      <c r="B27" s="7">
        <v>2.1930000000000001</v>
      </c>
      <c r="D27" s="7"/>
      <c r="E27">
        <v>4300</v>
      </c>
      <c r="F27">
        <v>1.5755999999999999</v>
      </c>
      <c r="J27">
        <v>28000</v>
      </c>
      <c r="K27">
        <v>100.1</v>
      </c>
      <c r="L27">
        <v>0.77</v>
      </c>
      <c r="N27">
        <v>41000</v>
      </c>
      <c r="O27">
        <v>117</v>
      </c>
      <c r="P27">
        <v>1</v>
      </c>
      <c r="R27">
        <v>4000000</v>
      </c>
      <c r="S27">
        <v>4787.5</v>
      </c>
      <c r="T27">
        <v>1.35</v>
      </c>
    </row>
    <row r="28" spans="1:29" x14ac:dyDescent="0.25">
      <c r="A28" s="6">
        <v>4400</v>
      </c>
      <c r="B28" s="7">
        <v>2.2090999999999998</v>
      </c>
      <c r="D28" s="7"/>
      <c r="E28">
        <v>4400</v>
      </c>
      <c r="F28">
        <v>1.5772999999999999</v>
      </c>
      <c r="J28">
        <v>28700</v>
      </c>
      <c r="K28">
        <v>105.49</v>
      </c>
      <c r="L28">
        <v>0.77</v>
      </c>
      <c r="N28">
        <v>42900</v>
      </c>
      <c r="O28">
        <v>136</v>
      </c>
      <c r="P28">
        <v>1</v>
      </c>
      <c r="R28">
        <v>5000000</v>
      </c>
      <c r="S28">
        <v>6137.5</v>
      </c>
      <c r="T28">
        <v>1.35</v>
      </c>
    </row>
    <row r="29" spans="1:29" x14ac:dyDescent="0.25">
      <c r="A29" s="6">
        <v>4500</v>
      </c>
      <c r="B29" s="5">
        <v>2.2244000000000002</v>
      </c>
      <c r="D29" s="5"/>
      <c r="E29">
        <v>4500</v>
      </c>
      <c r="F29">
        <v>1.5789</v>
      </c>
      <c r="J29">
        <v>29000</v>
      </c>
      <c r="K29">
        <v>107.8</v>
      </c>
      <c r="L29">
        <v>0.77</v>
      </c>
      <c r="N29">
        <v>43000</v>
      </c>
      <c r="O29">
        <v>137</v>
      </c>
      <c r="P29">
        <v>1</v>
      </c>
      <c r="R29">
        <v>6120000</v>
      </c>
      <c r="S29">
        <v>7649.5</v>
      </c>
      <c r="T29">
        <v>1.25</v>
      </c>
    </row>
    <row r="30" spans="1:29" x14ac:dyDescent="0.25">
      <c r="A30" s="7">
        <v>4600</v>
      </c>
      <c r="B30">
        <v>2.2391000000000001</v>
      </c>
      <c r="E30">
        <v>4600</v>
      </c>
      <c r="F30">
        <v>1.5804</v>
      </c>
      <c r="J30">
        <v>30600</v>
      </c>
      <c r="K30">
        <v>120.12</v>
      </c>
      <c r="L30">
        <v>0.77</v>
      </c>
      <c r="N30">
        <v>43500</v>
      </c>
      <c r="O30">
        <v>142</v>
      </c>
      <c r="P30">
        <v>1</v>
      </c>
    </row>
    <row r="31" spans="1:29" x14ac:dyDescent="0.25">
      <c r="A31" s="7">
        <v>4700</v>
      </c>
      <c r="B31">
        <v>2.2532000000000001</v>
      </c>
      <c r="E31">
        <v>4700</v>
      </c>
      <c r="F31">
        <v>1.5819000000000001</v>
      </c>
      <c r="J31">
        <v>31800</v>
      </c>
      <c r="K31">
        <v>129.36000000000001</v>
      </c>
      <c r="L31">
        <v>0.77</v>
      </c>
      <c r="N31">
        <v>44000</v>
      </c>
      <c r="O31">
        <v>147</v>
      </c>
      <c r="P31">
        <v>1</v>
      </c>
    </row>
    <row r="32" spans="1:29" x14ac:dyDescent="0.25">
      <c r="A32" s="7">
        <v>4800</v>
      </c>
      <c r="B32">
        <v>2.2667000000000002</v>
      </c>
      <c r="E32">
        <v>4800</v>
      </c>
      <c r="F32">
        <v>1.5832999999999999</v>
      </c>
      <c r="J32">
        <v>32800</v>
      </c>
      <c r="K32">
        <v>137.05000000000001</v>
      </c>
      <c r="L32">
        <v>0.77</v>
      </c>
      <c r="N32">
        <v>45000</v>
      </c>
      <c r="O32">
        <v>157</v>
      </c>
      <c r="P32">
        <v>1</v>
      </c>
    </row>
    <row r="33" spans="1:16" x14ac:dyDescent="0.25">
      <c r="A33" s="7">
        <v>4900</v>
      </c>
      <c r="B33">
        <v>2.2795999999999998</v>
      </c>
      <c r="E33">
        <v>4900</v>
      </c>
      <c r="F33">
        <v>1.5847</v>
      </c>
      <c r="J33">
        <v>32900</v>
      </c>
      <c r="K33">
        <v>137.93</v>
      </c>
      <c r="L33">
        <v>0.88</v>
      </c>
      <c r="N33">
        <v>46000</v>
      </c>
      <c r="O33">
        <v>167</v>
      </c>
      <c r="P33">
        <v>1</v>
      </c>
    </row>
    <row r="34" spans="1:16" x14ac:dyDescent="0.25">
      <c r="A34" s="7">
        <v>5000</v>
      </c>
      <c r="B34">
        <v>2.2919999999999998</v>
      </c>
      <c r="E34">
        <v>5000</v>
      </c>
      <c r="F34">
        <v>1.5860000000000001</v>
      </c>
      <c r="J34">
        <v>33500</v>
      </c>
      <c r="K34">
        <v>143.21</v>
      </c>
      <c r="L34">
        <v>0.88</v>
      </c>
      <c r="N34">
        <v>47000</v>
      </c>
      <c r="O34">
        <v>177</v>
      </c>
      <c r="P34">
        <v>1</v>
      </c>
    </row>
    <row r="35" spans="1:16" x14ac:dyDescent="0.25">
      <c r="A35" s="7">
        <v>5100</v>
      </c>
      <c r="B35">
        <v>2.3039000000000001</v>
      </c>
      <c r="E35">
        <v>5100</v>
      </c>
      <c r="F35">
        <v>1.5872999999999999</v>
      </c>
      <c r="J35">
        <v>34000</v>
      </c>
      <c r="K35">
        <v>147.61000000000001</v>
      </c>
      <c r="L35">
        <v>0.88</v>
      </c>
      <c r="N35">
        <v>48000</v>
      </c>
      <c r="O35">
        <v>187</v>
      </c>
      <c r="P35">
        <v>1</v>
      </c>
    </row>
    <row r="36" spans="1:16" x14ac:dyDescent="0.25">
      <c r="A36" s="7">
        <v>5200</v>
      </c>
      <c r="B36">
        <v>2.3153999999999999</v>
      </c>
      <c r="E36">
        <v>5200</v>
      </c>
      <c r="F36">
        <v>1.5885</v>
      </c>
      <c r="J36">
        <v>35000</v>
      </c>
      <c r="K36">
        <v>156.41</v>
      </c>
      <c r="L36">
        <v>0.88</v>
      </c>
      <c r="N36">
        <v>49000</v>
      </c>
      <c r="O36">
        <v>197</v>
      </c>
      <c r="P36">
        <v>1</v>
      </c>
    </row>
    <row r="37" spans="1:16" x14ac:dyDescent="0.25">
      <c r="A37" s="7">
        <v>5300</v>
      </c>
      <c r="B37">
        <v>2.3264</v>
      </c>
      <c r="E37">
        <v>5300</v>
      </c>
      <c r="F37">
        <v>1.5895999999999999</v>
      </c>
      <c r="J37">
        <v>36000</v>
      </c>
      <c r="K37">
        <v>165.21</v>
      </c>
      <c r="L37">
        <v>0.88</v>
      </c>
      <c r="N37">
        <v>50000</v>
      </c>
      <c r="O37">
        <v>207</v>
      </c>
      <c r="P37">
        <v>1</v>
      </c>
    </row>
    <row r="38" spans="1:16" x14ac:dyDescent="0.25">
      <c r="A38" s="7">
        <v>5400</v>
      </c>
      <c r="B38">
        <v>2.3370000000000002</v>
      </c>
      <c r="E38">
        <v>5400</v>
      </c>
      <c r="F38">
        <v>1.5907</v>
      </c>
      <c r="J38">
        <v>37000</v>
      </c>
      <c r="K38">
        <v>174.01</v>
      </c>
      <c r="L38">
        <v>0.88</v>
      </c>
      <c r="N38">
        <v>52700</v>
      </c>
      <c r="O38">
        <v>234</v>
      </c>
      <c r="P38">
        <v>1</v>
      </c>
    </row>
    <row r="39" spans="1:16" x14ac:dyDescent="0.25">
      <c r="A39" s="7">
        <v>5500</v>
      </c>
      <c r="B39">
        <v>2.3473000000000002</v>
      </c>
      <c r="E39">
        <v>5500</v>
      </c>
      <c r="F39">
        <v>1.5918000000000001</v>
      </c>
      <c r="J39">
        <v>38000</v>
      </c>
      <c r="K39">
        <v>182.81</v>
      </c>
      <c r="L39">
        <v>0.88</v>
      </c>
      <c r="N39">
        <v>52800</v>
      </c>
      <c r="O39">
        <v>236</v>
      </c>
      <c r="P39">
        <v>2</v>
      </c>
    </row>
    <row r="40" spans="1:16" x14ac:dyDescent="0.25">
      <c r="A40" s="7">
        <v>5600</v>
      </c>
      <c r="B40">
        <v>2.3571</v>
      </c>
      <c r="E40">
        <v>5600</v>
      </c>
      <c r="F40">
        <v>1.5929</v>
      </c>
      <c r="J40">
        <v>39000</v>
      </c>
      <c r="K40">
        <v>191.61</v>
      </c>
      <c r="L40">
        <v>0.88</v>
      </c>
      <c r="N40">
        <v>53000</v>
      </c>
      <c r="O40">
        <v>240</v>
      </c>
      <c r="P40">
        <v>2</v>
      </c>
    </row>
    <row r="41" spans="1:16" x14ac:dyDescent="0.25">
      <c r="A41" s="7">
        <v>5700</v>
      </c>
      <c r="B41">
        <v>2.3666999999999998</v>
      </c>
      <c r="E41">
        <v>5700</v>
      </c>
      <c r="F41">
        <v>1.5939000000000001</v>
      </c>
      <c r="J41">
        <v>40000</v>
      </c>
      <c r="K41">
        <v>200.41</v>
      </c>
      <c r="L41">
        <v>0.88</v>
      </c>
      <c r="N41">
        <v>54000</v>
      </c>
      <c r="O41">
        <v>260</v>
      </c>
      <c r="P41">
        <v>2</v>
      </c>
    </row>
    <row r="42" spans="1:16" x14ac:dyDescent="0.25">
      <c r="A42" s="6">
        <v>5800</v>
      </c>
      <c r="B42" s="6">
        <v>2.3759000000000001</v>
      </c>
      <c r="D42" s="6"/>
      <c r="E42">
        <v>5800</v>
      </c>
      <c r="F42">
        <v>1.5948</v>
      </c>
      <c r="J42">
        <v>41000</v>
      </c>
      <c r="K42">
        <v>209.21</v>
      </c>
      <c r="L42">
        <v>0.88</v>
      </c>
      <c r="N42">
        <v>55000</v>
      </c>
      <c r="O42">
        <v>280</v>
      </c>
      <c r="P42">
        <v>2</v>
      </c>
    </row>
    <row r="43" spans="1:16" x14ac:dyDescent="0.25">
      <c r="A43" s="7">
        <v>5900</v>
      </c>
      <c r="B43" s="7">
        <v>2.3847</v>
      </c>
      <c r="D43" s="7"/>
      <c r="E43">
        <v>5900</v>
      </c>
      <c r="F43">
        <v>1.5958000000000001</v>
      </c>
      <c r="J43">
        <v>42900</v>
      </c>
      <c r="K43">
        <v>225.9</v>
      </c>
      <c r="L43">
        <v>0.88</v>
      </c>
      <c r="N43" s="8">
        <v>56000</v>
      </c>
      <c r="O43" s="8">
        <v>300</v>
      </c>
      <c r="P43" s="8">
        <v>2</v>
      </c>
    </row>
    <row r="44" spans="1:16" x14ac:dyDescent="0.25">
      <c r="A44" s="7">
        <v>6000</v>
      </c>
      <c r="B44" s="7">
        <v>2.3933</v>
      </c>
      <c r="D44" s="7"/>
      <c r="E44">
        <v>6000</v>
      </c>
      <c r="F44">
        <v>1.5967</v>
      </c>
      <c r="J44">
        <v>43000</v>
      </c>
      <c r="K44">
        <v>228.54</v>
      </c>
      <c r="L44">
        <v>2.64</v>
      </c>
      <c r="N44">
        <v>57200</v>
      </c>
      <c r="O44">
        <v>324</v>
      </c>
      <c r="P44">
        <v>2</v>
      </c>
    </row>
    <row r="45" spans="1:16" x14ac:dyDescent="0.25">
      <c r="A45" s="7">
        <v>6100</v>
      </c>
      <c r="B45" s="7">
        <v>2.4016000000000002</v>
      </c>
      <c r="D45" s="7"/>
      <c r="E45">
        <v>6100</v>
      </c>
      <c r="F45">
        <v>1.5974999999999999</v>
      </c>
      <c r="J45">
        <v>43500</v>
      </c>
      <c r="K45">
        <v>241.74</v>
      </c>
      <c r="L45">
        <v>2.64</v>
      </c>
      <c r="N45">
        <v>57300</v>
      </c>
      <c r="O45">
        <v>326</v>
      </c>
      <c r="P45">
        <v>2</v>
      </c>
    </row>
    <row r="46" spans="1:16" x14ac:dyDescent="0.25">
      <c r="A46" s="7">
        <v>6200</v>
      </c>
      <c r="B46" s="7">
        <v>2.4097</v>
      </c>
      <c r="D46" s="7"/>
      <c r="E46">
        <v>6200</v>
      </c>
      <c r="F46">
        <v>1.5984</v>
      </c>
      <c r="J46">
        <v>44000</v>
      </c>
      <c r="K46">
        <v>254.94</v>
      </c>
      <c r="L46">
        <v>2.64</v>
      </c>
      <c r="N46">
        <v>57500</v>
      </c>
      <c r="O46">
        <v>330</v>
      </c>
      <c r="P46">
        <v>2</v>
      </c>
    </row>
    <row r="47" spans="1:16" x14ac:dyDescent="0.25">
      <c r="A47" s="7">
        <v>6300</v>
      </c>
      <c r="B47" s="7">
        <v>2.4175</v>
      </c>
      <c r="D47" s="7"/>
      <c r="E47">
        <v>6300</v>
      </c>
      <c r="F47">
        <v>1.5992</v>
      </c>
      <c r="J47">
        <v>45000</v>
      </c>
      <c r="K47">
        <v>281.33999999999997</v>
      </c>
      <c r="L47">
        <v>2.64</v>
      </c>
      <c r="N47">
        <v>58000</v>
      </c>
      <c r="O47">
        <v>340</v>
      </c>
      <c r="P47">
        <v>2</v>
      </c>
    </row>
    <row r="48" spans="1:16" x14ac:dyDescent="0.25">
      <c r="A48" s="7">
        <v>6400</v>
      </c>
      <c r="B48" s="7">
        <v>2.4249999999999998</v>
      </c>
      <c r="D48" s="7"/>
      <c r="E48">
        <v>6400</v>
      </c>
      <c r="F48">
        <v>1.6</v>
      </c>
      <c r="J48">
        <v>46000</v>
      </c>
      <c r="K48">
        <v>307.74</v>
      </c>
      <c r="L48">
        <v>2.64</v>
      </c>
      <c r="N48">
        <v>60500</v>
      </c>
      <c r="O48">
        <v>390</v>
      </c>
      <c r="P48">
        <v>2</v>
      </c>
    </row>
    <row r="49" spans="1:16" x14ac:dyDescent="0.25">
      <c r="A49" s="7">
        <v>6500</v>
      </c>
      <c r="B49" s="7">
        <v>2.4430999999999998</v>
      </c>
      <c r="D49" s="7"/>
      <c r="E49">
        <v>6500</v>
      </c>
      <c r="F49">
        <v>1.6192</v>
      </c>
      <c r="J49">
        <v>47000</v>
      </c>
      <c r="K49">
        <v>334.14</v>
      </c>
      <c r="L49">
        <v>2.64</v>
      </c>
      <c r="N49">
        <v>60600</v>
      </c>
      <c r="O49">
        <v>393</v>
      </c>
      <c r="P49">
        <v>3</v>
      </c>
    </row>
    <row r="50" spans="1:16" x14ac:dyDescent="0.25">
      <c r="A50" s="7">
        <v>6600</v>
      </c>
      <c r="B50" s="7">
        <v>2.4605999999999999</v>
      </c>
      <c r="D50" s="7"/>
      <c r="E50">
        <v>6600</v>
      </c>
      <c r="F50">
        <v>1.6378999999999999</v>
      </c>
      <c r="J50">
        <v>48000</v>
      </c>
      <c r="K50">
        <v>360.54</v>
      </c>
      <c r="L50">
        <v>2.64</v>
      </c>
      <c r="N50">
        <v>62000</v>
      </c>
      <c r="O50">
        <v>435</v>
      </c>
      <c r="P50">
        <v>3</v>
      </c>
    </row>
    <row r="51" spans="1:16" x14ac:dyDescent="0.25">
      <c r="A51" s="7">
        <v>6700</v>
      </c>
      <c r="B51" s="7">
        <v>2.4775999999999998</v>
      </c>
      <c r="D51" s="7"/>
      <c r="E51">
        <v>6700</v>
      </c>
      <c r="F51">
        <v>1.6559999999999999</v>
      </c>
      <c r="J51">
        <v>49000</v>
      </c>
      <c r="K51">
        <v>386.94</v>
      </c>
      <c r="L51">
        <v>2.64</v>
      </c>
      <c r="N51">
        <v>65000</v>
      </c>
      <c r="O51">
        <v>525</v>
      </c>
      <c r="P51">
        <v>3</v>
      </c>
    </row>
    <row r="52" spans="1:16" x14ac:dyDescent="0.25">
      <c r="A52" s="7">
        <v>6800</v>
      </c>
      <c r="B52" s="7">
        <v>2.4941</v>
      </c>
      <c r="D52" s="7"/>
      <c r="E52">
        <v>6800</v>
      </c>
      <c r="F52">
        <v>1.6735</v>
      </c>
      <c r="J52">
        <v>50000</v>
      </c>
      <c r="K52">
        <v>413.34</v>
      </c>
      <c r="L52">
        <v>2.64</v>
      </c>
      <c r="N52">
        <v>70000</v>
      </c>
      <c r="O52">
        <v>675</v>
      </c>
      <c r="P52">
        <v>3</v>
      </c>
    </row>
    <row r="53" spans="1:16" x14ac:dyDescent="0.25">
      <c r="A53" s="7">
        <v>6900</v>
      </c>
      <c r="B53" s="7">
        <v>2.5101</v>
      </c>
      <c r="D53" s="7"/>
      <c r="E53">
        <v>6900</v>
      </c>
      <c r="F53">
        <v>1.6906000000000001</v>
      </c>
      <c r="J53">
        <v>52700</v>
      </c>
      <c r="K53">
        <v>484.62</v>
      </c>
      <c r="L53">
        <v>2.64</v>
      </c>
      <c r="N53">
        <v>75200</v>
      </c>
      <c r="O53">
        <v>831</v>
      </c>
      <c r="P53">
        <v>3</v>
      </c>
    </row>
    <row r="54" spans="1:16" x14ac:dyDescent="0.25">
      <c r="A54" s="7">
        <v>7000</v>
      </c>
      <c r="B54" s="7">
        <v>2.5257000000000001</v>
      </c>
      <c r="D54" s="7"/>
      <c r="E54">
        <v>7000</v>
      </c>
      <c r="F54">
        <v>1.7071000000000001</v>
      </c>
      <c r="J54">
        <v>52800</v>
      </c>
      <c r="K54">
        <v>487.26</v>
      </c>
      <c r="L54">
        <v>5.94</v>
      </c>
      <c r="N54">
        <v>75300</v>
      </c>
      <c r="O54">
        <v>834</v>
      </c>
      <c r="P54">
        <v>3</v>
      </c>
    </row>
    <row r="55" spans="1:16" x14ac:dyDescent="0.25">
      <c r="A55">
        <v>7100</v>
      </c>
      <c r="B55">
        <v>2.5407999999999999</v>
      </c>
      <c r="E55">
        <v>7100</v>
      </c>
      <c r="F55">
        <v>1.7232000000000001</v>
      </c>
      <c r="J55">
        <v>53000</v>
      </c>
      <c r="K55">
        <v>492.54</v>
      </c>
      <c r="L55">
        <v>5.94</v>
      </c>
      <c r="N55">
        <v>76000</v>
      </c>
      <c r="O55">
        <v>855</v>
      </c>
      <c r="P55">
        <v>3</v>
      </c>
    </row>
    <row r="56" spans="1:16" x14ac:dyDescent="0.25">
      <c r="A56">
        <v>7200</v>
      </c>
      <c r="B56">
        <v>2.5556000000000001</v>
      </c>
      <c r="E56">
        <v>7200</v>
      </c>
      <c r="F56">
        <v>1.7388999999999999</v>
      </c>
      <c r="J56">
        <v>54000</v>
      </c>
      <c r="K56">
        <v>518.94000000000005</v>
      </c>
      <c r="L56">
        <v>5.94</v>
      </c>
      <c r="N56">
        <v>78100</v>
      </c>
      <c r="O56">
        <v>918</v>
      </c>
      <c r="P56">
        <v>3</v>
      </c>
    </row>
    <row r="57" spans="1:16" x14ac:dyDescent="0.25">
      <c r="A57">
        <v>7300</v>
      </c>
      <c r="B57">
        <v>2.5699000000000001</v>
      </c>
      <c r="E57">
        <v>7300</v>
      </c>
      <c r="F57">
        <v>1.7541</v>
      </c>
      <c r="J57">
        <v>55000</v>
      </c>
      <c r="K57">
        <v>545.34</v>
      </c>
      <c r="L57">
        <v>5.94</v>
      </c>
      <c r="N57">
        <v>78200</v>
      </c>
      <c r="O57">
        <v>922</v>
      </c>
      <c r="P57">
        <v>4</v>
      </c>
    </row>
    <row r="58" spans="1:16" x14ac:dyDescent="0.25">
      <c r="A58">
        <v>7400</v>
      </c>
      <c r="B58">
        <v>2.5838000000000001</v>
      </c>
      <c r="E58">
        <v>7400</v>
      </c>
      <c r="F58">
        <v>1.7688999999999999</v>
      </c>
      <c r="J58">
        <v>56000</v>
      </c>
      <c r="K58">
        <v>571.74</v>
      </c>
      <c r="L58">
        <v>5.94</v>
      </c>
      <c r="N58">
        <v>81000</v>
      </c>
      <c r="O58">
        <v>1034</v>
      </c>
      <c r="P58">
        <v>4</v>
      </c>
    </row>
    <row r="59" spans="1:16" x14ac:dyDescent="0.25">
      <c r="A59">
        <v>7500</v>
      </c>
      <c r="B59">
        <v>2.5973000000000002</v>
      </c>
      <c r="E59">
        <v>7500</v>
      </c>
      <c r="F59">
        <v>1.7833000000000001</v>
      </c>
      <c r="J59">
        <v>57200</v>
      </c>
      <c r="K59">
        <v>603.4</v>
      </c>
      <c r="L59">
        <v>5.94</v>
      </c>
      <c r="N59">
        <v>81100</v>
      </c>
      <c r="O59">
        <v>1038</v>
      </c>
      <c r="P59">
        <v>4</v>
      </c>
    </row>
    <row r="60" spans="1:16" x14ac:dyDescent="0.25">
      <c r="A60">
        <v>7600</v>
      </c>
      <c r="B60">
        <v>2.6105</v>
      </c>
      <c r="E60">
        <v>7600</v>
      </c>
      <c r="F60">
        <v>1.7974000000000001</v>
      </c>
      <c r="J60">
        <v>57300</v>
      </c>
      <c r="K60">
        <v>606.37</v>
      </c>
      <c r="L60">
        <v>5.94</v>
      </c>
      <c r="N60">
        <v>85000</v>
      </c>
      <c r="O60">
        <v>1194</v>
      </c>
      <c r="P60">
        <v>4</v>
      </c>
    </row>
    <row r="61" spans="1:16" x14ac:dyDescent="0.25">
      <c r="A61">
        <v>7700</v>
      </c>
      <c r="B61">
        <v>2.6234000000000002</v>
      </c>
      <c r="E61">
        <v>7700</v>
      </c>
      <c r="F61">
        <v>1.8109999999999999</v>
      </c>
      <c r="J61">
        <v>57500</v>
      </c>
      <c r="K61">
        <v>612.30999999999995</v>
      </c>
      <c r="L61">
        <v>5.94</v>
      </c>
      <c r="N61">
        <v>90000</v>
      </c>
      <c r="O61">
        <v>1394</v>
      </c>
      <c r="P61">
        <v>4</v>
      </c>
    </row>
    <row r="62" spans="1:16" x14ac:dyDescent="0.25">
      <c r="A62">
        <v>7800</v>
      </c>
      <c r="B62">
        <v>2.6358999999999999</v>
      </c>
      <c r="E62">
        <v>7800</v>
      </c>
      <c r="F62">
        <v>1.8244</v>
      </c>
      <c r="J62">
        <v>58000</v>
      </c>
      <c r="K62">
        <v>627.16</v>
      </c>
      <c r="L62">
        <v>5.94</v>
      </c>
      <c r="N62">
        <v>93600</v>
      </c>
      <c r="O62">
        <v>1538</v>
      </c>
      <c r="P62">
        <v>4</v>
      </c>
    </row>
    <row r="63" spans="1:16" x14ac:dyDescent="0.25">
      <c r="A63">
        <v>7900</v>
      </c>
      <c r="B63">
        <v>2.6480999999999999</v>
      </c>
      <c r="E63">
        <v>7900</v>
      </c>
      <c r="F63">
        <v>1.8372999999999999</v>
      </c>
      <c r="J63">
        <v>60500</v>
      </c>
      <c r="K63">
        <v>701.41</v>
      </c>
      <c r="L63">
        <v>5.94</v>
      </c>
      <c r="N63">
        <v>93700</v>
      </c>
      <c r="O63">
        <v>1543</v>
      </c>
      <c r="P63">
        <v>5</v>
      </c>
    </row>
    <row r="64" spans="1:16" x14ac:dyDescent="0.25">
      <c r="A64">
        <v>8000</v>
      </c>
      <c r="B64">
        <v>2.66</v>
      </c>
      <c r="E64">
        <v>8000</v>
      </c>
      <c r="F64">
        <v>1.85</v>
      </c>
      <c r="J64">
        <v>60600</v>
      </c>
      <c r="K64">
        <v>704.38</v>
      </c>
      <c r="L64">
        <v>5.94</v>
      </c>
      <c r="N64">
        <v>95000</v>
      </c>
      <c r="O64">
        <v>1608</v>
      </c>
      <c r="P64">
        <v>5</v>
      </c>
    </row>
    <row r="65" spans="1:16" x14ac:dyDescent="0.25">
      <c r="A65">
        <v>8100</v>
      </c>
      <c r="B65">
        <v>2.6716000000000002</v>
      </c>
      <c r="E65">
        <v>8100</v>
      </c>
      <c r="F65">
        <v>1.8623000000000001</v>
      </c>
      <c r="J65">
        <v>62000</v>
      </c>
      <c r="K65">
        <v>745.96</v>
      </c>
      <c r="L65">
        <v>5.94</v>
      </c>
      <c r="N65">
        <v>100000</v>
      </c>
      <c r="O65">
        <v>1858</v>
      </c>
      <c r="P65">
        <v>5</v>
      </c>
    </row>
    <row r="66" spans="1:16" x14ac:dyDescent="0.25">
      <c r="A66">
        <v>8200</v>
      </c>
      <c r="B66">
        <v>2.6829000000000001</v>
      </c>
      <c r="E66">
        <v>8200</v>
      </c>
      <c r="F66">
        <v>1.8744000000000001</v>
      </c>
      <c r="J66">
        <v>65000</v>
      </c>
      <c r="K66">
        <v>835.06</v>
      </c>
      <c r="L66">
        <v>5.94</v>
      </c>
      <c r="N66">
        <v>107200</v>
      </c>
      <c r="O66">
        <v>2218</v>
      </c>
      <c r="P66">
        <v>5</v>
      </c>
    </row>
    <row r="67" spans="1:16" x14ac:dyDescent="0.25">
      <c r="A67">
        <v>8300</v>
      </c>
      <c r="B67">
        <v>2.694</v>
      </c>
      <c r="E67">
        <v>8300</v>
      </c>
      <c r="F67">
        <v>1.8861000000000001</v>
      </c>
      <c r="J67">
        <v>70000</v>
      </c>
      <c r="K67">
        <v>983.56</v>
      </c>
      <c r="L67">
        <v>5.94</v>
      </c>
      <c r="N67" s="8">
        <v>107300</v>
      </c>
      <c r="O67" s="8">
        <v>2224</v>
      </c>
      <c r="P67">
        <v>6</v>
      </c>
    </row>
    <row r="68" spans="1:16" x14ac:dyDescent="0.25">
      <c r="A68">
        <v>8400</v>
      </c>
      <c r="B68">
        <v>2.7048000000000001</v>
      </c>
      <c r="E68">
        <v>8400</v>
      </c>
      <c r="F68">
        <v>1.8976</v>
      </c>
      <c r="J68">
        <v>75200</v>
      </c>
      <c r="K68">
        <v>1138</v>
      </c>
      <c r="L68">
        <v>5.94</v>
      </c>
      <c r="N68">
        <v>107400</v>
      </c>
      <c r="O68">
        <v>2230</v>
      </c>
      <c r="P68">
        <v>6</v>
      </c>
    </row>
    <row r="69" spans="1:16" x14ac:dyDescent="0.25">
      <c r="A69">
        <v>8500</v>
      </c>
      <c r="B69">
        <v>2.7153</v>
      </c>
      <c r="E69">
        <v>8500</v>
      </c>
      <c r="F69">
        <v>1.9088000000000001</v>
      </c>
      <c r="J69">
        <v>75300</v>
      </c>
      <c r="K69">
        <v>1143.94</v>
      </c>
      <c r="L69">
        <v>6.6</v>
      </c>
      <c r="N69">
        <v>107500</v>
      </c>
      <c r="O69">
        <v>2236</v>
      </c>
      <c r="P69">
        <v>6</v>
      </c>
    </row>
    <row r="70" spans="1:16" x14ac:dyDescent="0.25">
      <c r="A70">
        <v>8600</v>
      </c>
      <c r="B70">
        <v>2.7256</v>
      </c>
      <c r="E70">
        <v>8600</v>
      </c>
      <c r="F70">
        <v>1.9198</v>
      </c>
      <c r="J70">
        <v>76000</v>
      </c>
      <c r="K70">
        <v>1185.52</v>
      </c>
      <c r="L70">
        <v>6.6</v>
      </c>
      <c r="N70">
        <v>110000</v>
      </c>
      <c r="O70">
        <v>2386</v>
      </c>
      <c r="P70">
        <v>6</v>
      </c>
    </row>
    <row r="71" spans="1:16" x14ac:dyDescent="0.25">
      <c r="A71">
        <v>8700</v>
      </c>
      <c r="B71">
        <v>2.7355999999999998</v>
      </c>
      <c r="E71">
        <v>8700</v>
      </c>
      <c r="F71">
        <v>1.9305000000000001</v>
      </c>
      <c r="J71">
        <v>78100</v>
      </c>
      <c r="K71">
        <v>1310.26</v>
      </c>
      <c r="L71">
        <v>6.6</v>
      </c>
      <c r="N71">
        <v>115000</v>
      </c>
      <c r="O71">
        <v>2686</v>
      </c>
      <c r="P71">
        <v>6</v>
      </c>
    </row>
    <row r="72" spans="1:16" x14ac:dyDescent="0.25">
      <c r="A72">
        <v>8800</v>
      </c>
      <c r="B72">
        <v>2.7454999999999998</v>
      </c>
      <c r="E72">
        <v>8800</v>
      </c>
      <c r="F72">
        <v>1.9409000000000001</v>
      </c>
      <c r="J72">
        <v>78200</v>
      </c>
      <c r="K72">
        <v>1316.2</v>
      </c>
      <c r="L72">
        <v>6.6</v>
      </c>
      <c r="N72">
        <v>119000</v>
      </c>
      <c r="O72">
        <v>2926</v>
      </c>
      <c r="P72">
        <v>6</v>
      </c>
    </row>
    <row r="73" spans="1:16" x14ac:dyDescent="0.25">
      <c r="A73">
        <v>8900</v>
      </c>
      <c r="B73">
        <v>2.7551000000000001</v>
      </c>
      <c r="E73">
        <v>8900</v>
      </c>
      <c r="F73">
        <v>1.9511000000000001</v>
      </c>
      <c r="J73">
        <v>81000</v>
      </c>
      <c r="K73">
        <v>1482.5</v>
      </c>
      <c r="L73">
        <v>6.6</v>
      </c>
      <c r="N73">
        <v>119100</v>
      </c>
      <c r="O73">
        <v>2933</v>
      </c>
      <c r="P73">
        <v>7</v>
      </c>
    </row>
    <row r="74" spans="1:16" x14ac:dyDescent="0.25">
      <c r="A74">
        <v>9000</v>
      </c>
      <c r="B74">
        <v>2.7644000000000002</v>
      </c>
      <c r="E74">
        <v>9000</v>
      </c>
      <c r="F74">
        <v>1.9611000000000001</v>
      </c>
      <c r="J74">
        <v>81100</v>
      </c>
      <c r="K74">
        <v>1489.1</v>
      </c>
      <c r="L74">
        <v>6.6</v>
      </c>
      <c r="N74">
        <v>120000</v>
      </c>
      <c r="O74">
        <v>2996</v>
      </c>
      <c r="P74">
        <v>7</v>
      </c>
    </row>
    <row r="75" spans="1:16" x14ac:dyDescent="0.25">
      <c r="A75">
        <v>9100</v>
      </c>
      <c r="B75">
        <v>2.7736000000000001</v>
      </c>
      <c r="E75">
        <v>9100</v>
      </c>
      <c r="F75">
        <v>1.9709000000000001</v>
      </c>
      <c r="J75">
        <v>85000</v>
      </c>
      <c r="K75">
        <v>1746.5</v>
      </c>
      <c r="L75">
        <v>6.6</v>
      </c>
      <c r="N75">
        <v>125000</v>
      </c>
      <c r="O75">
        <v>3346</v>
      </c>
      <c r="P75">
        <v>7</v>
      </c>
    </row>
    <row r="76" spans="1:16" x14ac:dyDescent="0.25">
      <c r="A76">
        <v>9200</v>
      </c>
      <c r="B76">
        <v>2.7826</v>
      </c>
      <c r="E76">
        <v>9200</v>
      </c>
      <c r="F76">
        <v>1.9803999999999999</v>
      </c>
      <c r="J76">
        <v>90000</v>
      </c>
      <c r="K76">
        <v>2076.5</v>
      </c>
      <c r="L76">
        <v>6.6</v>
      </c>
      <c r="N76">
        <v>128800</v>
      </c>
      <c r="O76">
        <v>3612</v>
      </c>
      <c r="P76">
        <v>7</v>
      </c>
    </row>
    <row r="77" spans="1:16" x14ac:dyDescent="0.25">
      <c r="A77">
        <v>9300</v>
      </c>
      <c r="B77">
        <v>2.7913999999999999</v>
      </c>
      <c r="E77">
        <v>9300</v>
      </c>
      <c r="F77">
        <v>1.9898</v>
      </c>
      <c r="J77">
        <v>93600</v>
      </c>
      <c r="K77">
        <v>2314.1</v>
      </c>
      <c r="L77">
        <v>6.6</v>
      </c>
      <c r="N77">
        <v>128900</v>
      </c>
      <c r="O77">
        <v>3620</v>
      </c>
      <c r="P77">
        <v>8</v>
      </c>
    </row>
    <row r="78" spans="1:16" x14ac:dyDescent="0.25">
      <c r="A78">
        <v>9400</v>
      </c>
      <c r="B78">
        <v>2.8</v>
      </c>
      <c r="E78">
        <v>9400</v>
      </c>
      <c r="F78">
        <v>1.9988999999999999</v>
      </c>
      <c r="J78">
        <v>93700</v>
      </c>
      <c r="K78">
        <v>2320.6999999999998</v>
      </c>
      <c r="L78">
        <v>6.6</v>
      </c>
      <c r="N78">
        <v>130000</v>
      </c>
      <c r="O78">
        <v>3708</v>
      </c>
      <c r="P78">
        <v>8</v>
      </c>
    </row>
    <row r="79" spans="1:16" x14ac:dyDescent="0.25">
      <c r="A79">
        <v>9500</v>
      </c>
      <c r="B79">
        <v>2.8083999999999998</v>
      </c>
      <c r="E79">
        <v>9500</v>
      </c>
      <c r="F79">
        <v>2.0078999999999998</v>
      </c>
      <c r="J79">
        <v>95000</v>
      </c>
      <c r="K79">
        <v>2406.5</v>
      </c>
      <c r="L79">
        <v>6.6</v>
      </c>
      <c r="N79">
        <v>136600</v>
      </c>
      <c r="O79">
        <v>4236</v>
      </c>
      <c r="P79">
        <v>8</v>
      </c>
    </row>
    <row r="80" spans="1:16" x14ac:dyDescent="0.25">
      <c r="A80">
        <v>9600</v>
      </c>
      <c r="B80">
        <v>2.8167</v>
      </c>
      <c r="E80">
        <v>9600</v>
      </c>
      <c r="F80">
        <v>2.0167000000000002</v>
      </c>
      <c r="J80">
        <v>100000</v>
      </c>
      <c r="K80">
        <v>2736.5</v>
      </c>
      <c r="L80">
        <v>6.6</v>
      </c>
      <c r="N80">
        <v>136700</v>
      </c>
      <c r="O80">
        <v>4245</v>
      </c>
      <c r="P80">
        <v>9</v>
      </c>
    </row>
    <row r="81" spans="1:16" x14ac:dyDescent="0.25">
      <c r="A81">
        <v>9700</v>
      </c>
      <c r="B81">
        <v>2.8247</v>
      </c>
      <c r="E81">
        <v>9700</v>
      </c>
      <c r="F81">
        <v>2.0253000000000001</v>
      </c>
      <c r="J81">
        <v>107200</v>
      </c>
      <c r="K81">
        <v>3211.7</v>
      </c>
      <c r="L81">
        <v>6.6</v>
      </c>
      <c r="N81">
        <v>139600</v>
      </c>
      <c r="O81">
        <v>4506</v>
      </c>
      <c r="P81">
        <v>9</v>
      </c>
    </row>
    <row r="82" spans="1:16" x14ac:dyDescent="0.25">
      <c r="A82">
        <v>9800</v>
      </c>
      <c r="B82">
        <v>2.8327</v>
      </c>
      <c r="E82">
        <v>9800</v>
      </c>
      <c r="F82">
        <v>2.0337000000000001</v>
      </c>
      <c r="J82">
        <v>107300</v>
      </c>
      <c r="K82">
        <v>3218.3</v>
      </c>
      <c r="L82">
        <v>6.6</v>
      </c>
      <c r="N82">
        <v>139700</v>
      </c>
      <c r="O82">
        <v>4515</v>
      </c>
      <c r="P82">
        <v>9</v>
      </c>
    </row>
    <row r="83" spans="1:16" x14ac:dyDescent="0.25">
      <c r="A83">
        <v>9900</v>
      </c>
      <c r="B83">
        <v>2.8403999999999998</v>
      </c>
      <c r="E83">
        <v>9900</v>
      </c>
      <c r="F83">
        <v>2.0419</v>
      </c>
      <c r="J83">
        <v>107400</v>
      </c>
      <c r="K83">
        <v>3224.9</v>
      </c>
      <c r="L83">
        <v>6.6</v>
      </c>
      <c r="N83">
        <v>142300</v>
      </c>
      <c r="O83">
        <v>4749</v>
      </c>
      <c r="P83">
        <v>9</v>
      </c>
    </row>
    <row r="84" spans="1:16" x14ac:dyDescent="0.25">
      <c r="A84">
        <v>10000</v>
      </c>
      <c r="B84">
        <v>2.8479999999999999</v>
      </c>
      <c r="E84">
        <v>10000</v>
      </c>
      <c r="F84">
        <v>2.0499999999999998</v>
      </c>
      <c r="J84">
        <v>107500</v>
      </c>
      <c r="K84">
        <v>3233.7</v>
      </c>
      <c r="L84">
        <v>8.8000000000000007</v>
      </c>
      <c r="N84">
        <v>142400</v>
      </c>
      <c r="O84">
        <v>4759</v>
      </c>
      <c r="P84">
        <v>10</v>
      </c>
    </row>
    <row r="85" spans="1:16" x14ac:dyDescent="0.25">
      <c r="A85">
        <v>10100</v>
      </c>
      <c r="B85">
        <v>2.8553999999999999</v>
      </c>
      <c r="E85">
        <v>10100</v>
      </c>
      <c r="F85">
        <v>2.0579000000000001</v>
      </c>
      <c r="J85">
        <v>110000</v>
      </c>
      <c r="K85">
        <v>3453.7</v>
      </c>
      <c r="L85">
        <v>8.8000000000000007</v>
      </c>
      <c r="N85">
        <v>146300</v>
      </c>
      <c r="O85">
        <v>5149</v>
      </c>
      <c r="P85">
        <v>10</v>
      </c>
    </row>
    <row r="86" spans="1:16" x14ac:dyDescent="0.25">
      <c r="A86">
        <v>10200</v>
      </c>
      <c r="B86">
        <v>2.8626999999999998</v>
      </c>
      <c r="E86">
        <v>10200</v>
      </c>
      <c r="F86">
        <v>2.0657000000000001</v>
      </c>
      <c r="J86">
        <v>115000</v>
      </c>
      <c r="K86">
        <v>3893.7</v>
      </c>
      <c r="L86">
        <v>8.8000000000000007</v>
      </c>
      <c r="N86">
        <v>146400</v>
      </c>
      <c r="O86">
        <v>5160</v>
      </c>
      <c r="P86">
        <v>11</v>
      </c>
    </row>
    <row r="87" spans="1:16" x14ac:dyDescent="0.25">
      <c r="A87">
        <v>10300</v>
      </c>
      <c r="B87">
        <v>2.8698999999999999</v>
      </c>
      <c r="E87">
        <v>10300</v>
      </c>
      <c r="F87">
        <v>2.0733000000000001</v>
      </c>
      <c r="J87">
        <v>119000</v>
      </c>
      <c r="K87">
        <v>4245.7</v>
      </c>
      <c r="L87">
        <v>8.8000000000000007</v>
      </c>
      <c r="N87">
        <v>148300</v>
      </c>
      <c r="O87">
        <v>5369</v>
      </c>
      <c r="P87">
        <v>11</v>
      </c>
    </row>
    <row r="88" spans="1:16" x14ac:dyDescent="0.25">
      <c r="A88">
        <v>10400</v>
      </c>
      <c r="B88">
        <v>2.8769</v>
      </c>
      <c r="E88">
        <v>10400</v>
      </c>
      <c r="F88">
        <v>2.0808</v>
      </c>
      <c r="J88">
        <v>119100</v>
      </c>
      <c r="K88">
        <v>4254.5</v>
      </c>
      <c r="L88">
        <v>8.8000000000000007</v>
      </c>
      <c r="N88">
        <v>148400</v>
      </c>
      <c r="O88">
        <v>5381</v>
      </c>
      <c r="P88">
        <v>12</v>
      </c>
    </row>
    <row r="89" spans="1:16" x14ac:dyDescent="0.25">
      <c r="A89">
        <v>10500</v>
      </c>
      <c r="B89">
        <v>2.8837999999999999</v>
      </c>
      <c r="E89">
        <v>10500</v>
      </c>
      <c r="F89">
        <v>2.0880999999999998</v>
      </c>
      <c r="J89">
        <v>120000</v>
      </c>
      <c r="K89">
        <v>4333.7</v>
      </c>
      <c r="L89">
        <v>8.8000000000000007</v>
      </c>
      <c r="N89">
        <v>149500</v>
      </c>
      <c r="O89">
        <v>5513</v>
      </c>
      <c r="P89">
        <v>12</v>
      </c>
    </row>
    <row r="90" spans="1:16" x14ac:dyDescent="0.25">
      <c r="A90">
        <v>10600</v>
      </c>
      <c r="B90">
        <v>2.8906000000000001</v>
      </c>
      <c r="E90">
        <v>10600</v>
      </c>
      <c r="F90">
        <v>2.0952999999999999</v>
      </c>
      <c r="J90">
        <v>125000</v>
      </c>
      <c r="K90">
        <v>4773.7</v>
      </c>
      <c r="L90">
        <v>8.8000000000000007</v>
      </c>
      <c r="N90">
        <v>150300</v>
      </c>
      <c r="O90">
        <v>5609</v>
      </c>
      <c r="P90">
        <v>12</v>
      </c>
    </row>
    <row r="91" spans="1:16" x14ac:dyDescent="0.25">
      <c r="A91">
        <v>10700</v>
      </c>
      <c r="B91">
        <v>2.8972000000000002</v>
      </c>
      <c r="E91">
        <v>10700</v>
      </c>
      <c r="F91">
        <v>2.1023000000000001</v>
      </c>
      <c r="J91">
        <v>128800</v>
      </c>
      <c r="K91">
        <v>5108.1000000000004</v>
      </c>
      <c r="L91">
        <v>8.8000000000000007</v>
      </c>
      <c r="N91" s="8">
        <v>150400</v>
      </c>
      <c r="O91" s="8">
        <v>5622</v>
      </c>
      <c r="P91">
        <v>13</v>
      </c>
    </row>
    <row r="92" spans="1:16" x14ac:dyDescent="0.25">
      <c r="A92">
        <v>10800</v>
      </c>
      <c r="B92">
        <v>2.9037000000000002</v>
      </c>
      <c r="E92">
        <v>10800</v>
      </c>
      <c r="F92">
        <v>2.1093000000000002</v>
      </c>
      <c r="J92">
        <v>128900</v>
      </c>
      <c r="K92">
        <v>5116.8999999999996</v>
      </c>
      <c r="L92">
        <v>8.8000000000000007</v>
      </c>
      <c r="N92">
        <v>155000</v>
      </c>
      <c r="O92">
        <v>6220</v>
      </c>
      <c r="P92">
        <v>13</v>
      </c>
    </row>
    <row r="93" spans="1:16" x14ac:dyDescent="0.25">
      <c r="A93">
        <v>10900</v>
      </c>
      <c r="B93">
        <v>2.9100999999999999</v>
      </c>
      <c r="E93">
        <v>10900</v>
      </c>
      <c r="F93">
        <v>2.1160999999999999</v>
      </c>
      <c r="J93">
        <v>130000</v>
      </c>
      <c r="K93">
        <v>5213.7</v>
      </c>
      <c r="L93">
        <v>8.8000000000000007</v>
      </c>
      <c r="N93">
        <v>160000</v>
      </c>
      <c r="O93">
        <v>6870</v>
      </c>
      <c r="P93">
        <v>13</v>
      </c>
    </row>
    <row r="94" spans="1:16" x14ac:dyDescent="0.25">
      <c r="A94">
        <v>11000</v>
      </c>
      <c r="B94">
        <v>2.9163999999999999</v>
      </c>
      <c r="E94">
        <v>11000</v>
      </c>
      <c r="F94">
        <v>2.1227</v>
      </c>
      <c r="J94">
        <v>136600</v>
      </c>
      <c r="K94">
        <v>5794.5</v>
      </c>
      <c r="L94">
        <v>8.8000000000000007</v>
      </c>
      <c r="N94">
        <v>170000</v>
      </c>
      <c r="O94">
        <v>8170</v>
      </c>
      <c r="P94">
        <v>13</v>
      </c>
    </row>
    <row r="95" spans="1:16" x14ac:dyDescent="0.25">
      <c r="A95">
        <v>11100</v>
      </c>
      <c r="B95">
        <v>2.9224999999999999</v>
      </c>
      <c r="E95">
        <v>11100</v>
      </c>
      <c r="F95">
        <v>2.1293000000000002</v>
      </c>
      <c r="J95">
        <v>136700</v>
      </c>
      <c r="K95">
        <v>5803.3</v>
      </c>
      <c r="L95">
        <v>8.8000000000000007</v>
      </c>
      <c r="N95">
        <v>182600</v>
      </c>
      <c r="O95">
        <v>9808</v>
      </c>
      <c r="P95">
        <v>13</v>
      </c>
    </row>
    <row r="96" spans="1:16" x14ac:dyDescent="0.25">
      <c r="A96">
        <v>11200</v>
      </c>
      <c r="B96">
        <v>2.9285999999999999</v>
      </c>
      <c r="E96">
        <v>11200</v>
      </c>
      <c r="F96">
        <v>2.1356999999999999</v>
      </c>
      <c r="J96">
        <v>139600</v>
      </c>
      <c r="K96">
        <v>6058.5</v>
      </c>
      <c r="L96">
        <v>8.8000000000000007</v>
      </c>
      <c r="N96">
        <v>182700</v>
      </c>
      <c r="O96">
        <v>9821</v>
      </c>
      <c r="P96">
        <v>13</v>
      </c>
    </row>
    <row r="97" spans="1:16" x14ac:dyDescent="0.25">
      <c r="A97">
        <v>11300</v>
      </c>
      <c r="B97">
        <v>2.9344999999999999</v>
      </c>
      <c r="E97">
        <v>11300</v>
      </c>
      <c r="F97">
        <v>2.1419999999999999</v>
      </c>
      <c r="J97">
        <v>139700</v>
      </c>
      <c r="K97">
        <v>6069.5</v>
      </c>
      <c r="L97">
        <v>11</v>
      </c>
      <c r="N97">
        <v>185000</v>
      </c>
      <c r="O97">
        <v>10120</v>
      </c>
      <c r="P97">
        <v>13</v>
      </c>
    </row>
    <row r="98" spans="1:16" x14ac:dyDescent="0.25">
      <c r="A98">
        <v>11400</v>
      </c>
      <c r="B98">
        <v>2.9403999999999999</v>
      </c>
      <c r="E98">
        <v>11400</v>
      </c>
      <c r="F98">
        <v>2.1482000000000001</v>
      </c>
      <c r="J98">
        <v>142300</v>
      </c>
      <c r="K98">
        <v>6355.5</v>
      </c>
      <c r="L98">
        <v>11</v>
      </c>
      <c r="N98">
        <v>190000</v>
      </c>
      <c r="O98">
        <v>10770</v>
      </c>
      <c r="P98">
        <v>13</v>
      </c>
    </row>
    <row r="99" spans="1:16" x14ac:dyDescent="0.25">
      <c r="A99">
        <v>11500</v>
      </c>
      <c r="B99">
        <v>2.9460999999999999</v>
      </c>
      <c r="E99">
        <v>11500</v>
      </c>
      <c r="F99">
        <v>2.1543000000000001</v>
      </c>
      <c r="J99">
        <v>142400</v>
      </c>
      <c r="K99">
        <v>6366.5</v>
      </c>
      <c r="L99">
        <v>11</v>
      </c>
      <c r="N99">
        <v>200000</v>
      </c>
      <c r="O99">
        <v>12070</v>
      </c>
      <c r="P99">
        <v>13</v>
      </c>
    </row>
    <row r="100" spans="1:16" x14ac:dyDescent="0.25">
      <c r="A100">
        <v>11600</v>
      </c>
      <c r="B100">
        <v>2.9517000000000002</v>
      </c>
      <c r="E100">
        <v>11600</v>
      </c>
      <c r="F100">
        <v>2.1602999999999999</v>
      </c>
      <c r="J100">
        <v>146300</v>
      </c>
      <c r="K100">
        <v>6795.5</v>
      </c>
      <c r="L100">
        <v>11</v>
      </c>
      <c r="N100">
        <v>250000</v>
      </c>
      <c r="O100">
        <v>18570</v>
      </c>
      <c r="P100">
        <v>13</v>
      </c>
    </row>
    <row r="101" spans="1:16" x14ac:dyDescent="0.25">
      <c r="A101">
        <v>11700</v>
      </c>
      <c r="B101">
        <v>2.9573</v>
      </c>
      <c r="E101">
        <v>11700</v>
      </c>
      <c r="F101">
        <v>2.1661999999999999</v>
      </c>
      <c r="J101">
        <v>146400</v>
      </c>
      <c r="K101">
        <v>6806.5</v>
      </c>
      <c r="L101">
        <v>11</v>
      </c>
      <c r="N101">
        <v>300000</v>
      </c>
      <c r="O101">
        <v>25070</v>
      </c>
      <c r="P101">
        <v>13</v>
      </c>
    </row>
    <row r="102" spans="1:16" x14ac:dyDescent="0.25">
      <c r="A102">
        <v>11800</v>
      </c>
      <c r="B102">
        <v>2.9626999999999999</v>
      </c>
      <c r="E102">
        <v>11800</v>
      </c>
      <c r="F102">
        <v>2.1720000000000002</v>
      </c>
      <c r="J102">
        <v>148300</v>
      </c>
      <c r="K102">
        <v>7015.5</v>
      </c>
      <c r="L102">
        <v>11</v>
      </c>
      <c r="N102">
        <v>350000</v>
      </c>
      <c r="O102">
        <v>31570</v>
      </c>
      <c r="P102">
        <v>13</v>
      </c>
    </row>
    <row r="103" spans="1:16" x14ac:dyDescent="0.25">
      <c r="A103">
        <v>11900</v>
      </c>
      <c r="B103">
        <v>2.9681000000000002</v>
      </c>
      <c r="E103">
        <v>11900</v>
      </c>
      <c r="F103">
        <v>2.1777000000000002</v>
      </c>
      <c r="J103">
        <v>148400</v>
      </c>
      <c r="K103">
        <v>7026.5</v>
      </c>
      <c r="L103">
        <v>11</v>
      </c>
      <c r="N103">
        <v>400000</v>
      </c>
      <c r="O103">
        <v>38070</v>
      </c>
      <c r="P103">
        <v>13</v>
      </c>
    </row>
    <row r="104" spans="1:16" x14ac:dyDescent="0.25">
      <c r="A104">
        <v>12000</v>
      </c>
      <c r="B104">
        <v>2.9733000000000001</v>
      </c>
      <c r="E104">
        <v>12000</v>
      </c>
      <c r="F104">
        <v>2.1833</v>
      </c>
      <c r="J104">
        <v>149500</v>
      </c>
      <c r="K104">
        <v>7147.5</v>
      </c>
      <c r="L104">
        <v>11</v>
      </c>
      <c r="N104" s="8">
        <v>500000</v>
      </c>
      <c r="O104">
        <v>51070</v>
      </c>
      <c r="P104">
        <v>13</v>
      </c>
    </row>
    <row r="105" spans="1:16" x14ac:dyDescent="0.25">
      <c r="A105">
        <v>12100</v>
      </c>
      <c r="B105">
        <v>2.9784999999999999</v>
      </c>
      <c r="E105">
        <v>12100</v>
      </c>
      <c r="F105">
        <v>2.1888000000000001</v>
      </c>
      <c r="J105">
        <v>150300</v>
      </c>
      <c r="K105">
        <v>7235.5</v>
      </c>
      <c r="L105">
        <v>11</v>
      </c>
      <c r="N105">
        <v>650000</v>
      </c>
      <c r="O105">
        <v>70570</v>
      </c>
      <c r="P105">
        <v>13</v>
      </c>
    </row>
    <row r="106" spans="1:16" x14ac:dyDescent="0.25">
      <c r="A106">
        <v>12200</v>
      </c>
      <c r="B106">
        <v>2.9836</v>
      </c>
      <c r="E106">
        <v>12200</v>
      </c>
      <c r="F106">
        <v>2.1943000000000001</v>
      </c>
      <c r="J106">
        <v>150400</v>
      </c>
      <c r="K106">
        <v>7246.5</v>
      </c>
      <c r="L106">
        <v>11</v>
      </c>
      <c r="N106">
        <v>700000</v>
      </c>
      <c r="O106">
        <v>77070</v>
      </c>
      <c r="P106">
        <v>13</v>
      </c>
    </row>
    <row r="107" spans="1:16" x14ac:dyDescent="0.25">
      <c r="A107">
        <v>12300</v>
      </c>
      <c r="B107">
        <v>2.9885999999999999</v>
      </c>
      <c r="E107">
        <v>12300</v>
      </c>
      <c r="F107">
        <v>2.1996000000000002</v>
      </c>
      <c r="J107">
        <v>155000</v>
      </c>
      <c r="K107">
        <v>7752.5</v>
      </c>
      <c r="L107">
        <v>11</v>
      </c>
      <c r="N107">
        <v>783200</v>
      </c>
      <c r="O107">
        <v>87886</v>
      </c>
      <c r="P107">
        <v>13</v>
      </c>
    </row>
    <row r="108" spans="1:16" x14ac:dyDescent="0.25">
      <c r="A108">
        <v>12400</v>
      </c>
      <c r="B108">
        <v>2.9935</v>
      </c>
      <c r="E108">
        <v>12400</v>
      </c>
      <c r="F108">
        <v>2.2048000000000001</v>
      </c>
      <c r="J108">
        <v>160000</v>
      </c>
      <c r="K108">
        <v>8302.5</v>
      </c>
      <c r="L108">
        <v>11</v>
      </c>
      <c r="N108">
        <v>783300</v>
      </c>
      <c r="O108">
        <v>87899</v>
      </c>
      <c r="P108">
        <v>13</v>
      </c>
    </row>
    <row r="109" spans="1:16" x14ac:dyDescent="0.25">
      <c r="A109">
        <v>12500</v>
      </c>
      <c r="B109">
        <v>2.9984000000000002</v>
      </c>
      <c r="E109">
        <v>12500</v>
      </c>
      <c r="F109">
        <v>2.21</v>
      </c>
      <c r="J109">
        <v>170000</v>
      </c>
      <c r="K109">
        <v>9402.5</v>
      </c>
      <c r="L109">
        <v>11</v>
      </c>
      <c r="N109">
        <v>800000</v>
      </c>
      <c r="O109">
        <v>90070</v>
      </c>
      <c r="P109">
        <v>13</v>
      </c>
    </row>
    <row r="110" spans="1:16" x14ac:dyDescent="0.25">
      <c r="A110">
        <v>12600</v>
      </c>
      <c r="B110">
        <v>3.0032000000000001</v>
      </c>
      <c r="E110">
        <v>12600</v>
      </c>
      <c r="F110">
        <v>2.2151000000000001</v>
      </c>
      <c r="J110">
        <v>182600</v>
      </c>
      <c r="K110">
        <v>10788.5</v>
      </c>
      <c r="L110">
        <v>11</v>
      </c>
      <c r="N110">
        <v>928600</v>
      </c>
      <c r="O110">
        <v>106788</v>
      </c>
      <c r="P110">
        <v>13</v>
      </c>
    </row>
    <row r="111" spans="1:16" x14ac:dyDescent="0.25">
      <c r="A111">
        <v>12700</v>
      </c>
      <c r="B111">
        <v>3.0078999999999998</v>
      </c>
      <c r="E111">
        <v>12700</v>
      </c>
      <c r="F111">
        <v>2.2201</v>
      </c>
      <c r="J111">
        <v>182700</v>
      </c>
      <c r="K111">
        <v>10801.7</v>
      </c>
      <c r="L111">
        <v>13.2</v>
      </c>
      <c r="N111">
        <v>928700</v>
      </c>
      <c r="O111">
        <v>106800.5</v>
      </c>
      <c r="P111">
        <v>11.5</v>
      </c>
    </row>
    <row r="112" spans="1:16" x14ac:dyDescent="0.25">
      <c r="A112">
        <v>12800</v>
      </c>
      <c r="B112">
        <v>3.0125000000000002</v>
      </c>
      <c r="E112">
        <v>12800</v>
      </c>
      <c r="F112">
        <v>2.2250000000000001</v>
      </c>
      <c r="J112">
        <v>185000</v>
      </c>
      <c r="K112">
        <v>11105.3</v>
      </c>
      <c r="L112">
        <v>13.2</v>
      </c>
      <c r="N112">
        <v>950000</v>
      </c>
      <c r="O112">
        <v>109250</v>
      </c>
      <c r="P112">
        <v>11.5</v>
      </c>
    </row>
    <row r="113" spans="1:12" x14ac:dyDescent="0.25">
      <c r="A113">
        <v>12900</v>
      </c>
      <c r="B113">
        <v>3.0171000000000001</v>
      </c>
      <c r="E113">
        <v>12900</v>
      </c>
      <c r="F113">
        <v>2.2298</v>
      </c>
      <c r="J113">
        <v>190000</v>
      </c>
      <c r="K113">
        <v>11765.3</v>
      </c>
      <c r="L113">
        <v>13.2</v>
      </c>
    </row>
    <row r="114" spans="1:12" x14ac:dyDescent="0.25">
      <c r="A114">
        <v>13000</v>
      </c>
      <c r="B114">
        <v>3.0215000000000001</v>
      </c>
      <c r="E114">
        <v>13000</v>
      </c>
      <c r="F114">
        <v>2.2345999999999999</v>
      </c>
      <c r="J114">
        <v>200000</v>
      </c>
      <c r="K114">
        <v>13085.3</v>
      </c>
      <c r="L114">
        <v>13.2</v>
      </c>
    </row>
    <row r="115" spans="1:12" x14ac:dyDescent="0.25">
      <c r="A115">
        <v>13100</v>
      </c>
      <c r="B115">
        <v>3.0259999999999998</v>
      </c>
      <c r="E115">
        <v>13100</v>
      </c>
      <c r="F115">
        <v>2.2393000000000001</v>
      </c>
      <c r="J115">
        <v>250000</v>
      </c>
      <c r="K115">
        <v>19685.3</v>
      </c>
      <c r="L115">
        <v>13.2</v>
      </c>
    </row>
    <row r="116" spans="1:12" x14ac:dyDescent="0.25">
      <c r="A116">
        <v>13200</v>
      </c>
      <c r="B116">
        <v>3.0303</v>
      </c>
      <c r="E116">
        <v>13200</v>
      </c>
      <c r="F116">
        <v>2.2439</v>
      </c>
      <c r="J116">
        <v>300000</v>
      </c>
      <c r="K116">
        <v>26285.3</v>
      </c>
      <c r="L116">
        <v>13.2</v>
      </c>
    </row>
    <row r="117" spans="1:12" x14ac:dyDescent="0.25">
      <c r="A117">
        <v>13300</v>
      </c>
      <c r="B117">
        <v>3.0346000000000002</v>
      </c>
      <c r="E117">
        <v>13300</v>
      </c>
      <c r="F117">
        <v>2.2484999999999999</v>
      </c>
      <c r="J117">
        <v>350000</v>
      </c>
      <c r="K117">
        <v>32885.300000000003</v>
      </c>
      <c r="L117">
        <v>13.2</v>
      </c>
    </row>
    <row r="118" spans="1:12" x14ac:dyDescent="0.25">
      <c r="A118">
        <v>13400</v>
      </c>
      <c r="B118">
        <v>3.0388000000000002</v>
      </c>
      <c r="E118">
        <v>13400</v>
      </c>
      <c r="F118">
        <v>2.2530000000000001</v>
      </c>
      <c r="J118">
        <v>400000</v>
      </c>
      <c r="K118">
        <v>39485.300000000003</v>
      </c>
      <c r="L118">
        <v>13.2</v>
      </c>
    </row>
    <row r="119" spans="1:12" x14ac:dyDescent="0.25">
      <c r="A119">
        <v>13500</v>
      </c>
      <c r="B119">
        <v>3.0430000000000001</v>
      </c>
      <c r="E119">
        <v>13500</v>
      </c>
      <c r="F119">
        <v>2.2574000000000001</v>
      </c>
      <c r="J119">
        <v>500000</v>
      </c>
      <c r="K119">
        <v>52685.3</v>
      </c>
      <c r="L119">
        <v>13.2</v>
      </c>
    </row>
    <row r="120" spans="1:12" x14ac:dyDescent="0.25">
      <c r="A120">
        <v>13600</v>
      </c>
      <c r="B120">
        <v>3.0470999999999999</v>
      </c>
      <c r="E120">
        <v>13600</v>
      </c>
      <c r="F120">
        <v>2.2618</v>
      </c>
      <c r="J120">
        <v>650000</v>
      </c>
      <c r="K120">
        <v>72485.3</v>
      </c>
      <c r="L120">
        <v>13.2</v>
      </c>
    </row>
    <row r="121" spans="1:12" x14ac:dyDescent="0.25">
      <c r="A121">
        <v>13700</v>
      </c>
      <c r="B121">
        <v>3.0510999999999999</v>
      </c>
      <c r="E121">
        <v>13700</v>
      </c>
      <c r="F121">
        <v>2.2660999999999998</v>
      </c>
      <c r="J121">
        <v>700000</v>
      </c>
      <c r="K121">
        <v>79085.3</v>
      </c>
      <c r="L121">
        <v>13.2</v>
      </c>
    </row>
    <row r="122" spans="1:12" x14ac:dyDescent="0.25">
      <c r="A122">
        <v>13800</v>
      </c>
      <c r="B122">
        <v>3.0550999999999999</v>
      </c>
      <c r="E122">
        <v>13800</v>
      </c>
      <c r="F122">
        <v>2.2703000000000002</v>
      </c>
      <c r="J122">
        <v>783200</v>
      </c>
      <c r="K122">
        <v>90067.7</v>
      </c>
      <c r="L122">
        <v>13.2</v>
      </c>
    </row>
    <row r="123" spans="1:12" x14ac:dyDescent="0.25">
      <c r="A123">
        <v>13900</v>
      </c>
      <c r="B123">
        <v>3.0590000000000002</v>
      </c>
      <c r="E123">
        <v>13900</v>
      </c>
      <c r="F123">
        <v>2.2745000000000002</v>
      </c>
      <c r="J123">
        <v>783300</v>
      </c>
      <c r="K123">
        <v>90079.5</v>
      </c>
      <c r="L123">
        <v>11.5</v>
      </c>
    </row>
    <row r="124" spans="1:12" x14ac:dyDescent="0.25">
      <c r="A124">
        <v>14000</v>
      </c>
      <c r="B124">
        <v>3.0629</v>
      </c>
      <c r="E124">
        <v>14000</v>
      </c>
      <c r="F124">
        <v>2.2786</v>
      </c>
      <c r="J124">
        <v>800000</v>
      </c>
      <c r="K124">
        <v>92000</v>
      </c>
      <c r="L124">
        <v>11.5</v>
      </c>
    </row>
    <row r="125" spans="1:12" x14ac:dyDescent="0.25">
      <c r="A125">
        <v>14100</v>
      </c>
      <c r="B125">
        <v>3.0667</v>
      </c>
      <c r="E125">
        <v>14100</v>
      </c>
      <c r="F125">
        <v>2.2826</v>
      </c>
      <c r="J125">
        <v>928600</v>
      </c>
      <c r="K125">
        <v>106789</v>
      </c>
      <c r="L125">
        <v>11.5</v>
      </c>
    </row>
    <row r="126" spans="1:12" x14ac:dyDescent="0.25">
      <c r="A126">
        <v>14200</v>
      </c>
      <c r="B126">
        <v>3.0703999999999998</v>
      </c>
      <c r="E126">
        <v>14200</v>
      </c>
      <c r="F126">
        <v>2.2866</v>
      </c>
      <c r="J126">
        <v>928700</v>
      </c>
      <c r="K126">
        <v>106800.5</v>
      </c>
      <c r="L126">
        <v>11.5</v>
      </c>
    </row>
    <row r="127" spans="1:12" x14ac:dyDescent="0.25">
      <c r="A127">
        <v>14300</v>
      </c>
      <c r="B127">
        <v>3.0741000000000001</v>
      </c>
      <c r="E127">
        <v>14300</v>
      </c>
      <c r="F127">
        <v>2.2906</v>
      </c>
      <c r="J127">
        <v>950000</v>
      </c>
      <c r="K127">
        <v>109250</v>
      </c>
      <c r="L127">
        <v>11.5</v>
      </c>
    </row>
    <row r="128" spans="1:12" x14ac:dyDescent="0.25">
      <c r="A128">
        <v>14400</v>
      </c>
      <c r="B128">
        <v>3.0777999999999999</v>
      </c>
      <c r="E128">
        <v>14400</v>
      </c>
      <c r="F128">
        <v>2.2944</v>
      </c>
    </row>
    <row r="129" spans="1:6" x14ac:dyDescent="0.25">
      <c r="A129">
        <v>14500</v>
      </c>
      <c r="B129">
        <v>3.0813999999999999</v>
      </c>
      <c r="E129">
        <v>14500</v>
      </c>
      <c r="F129">
        <v>2.2982999999999998</v>
      </c>
    </row>
    <row r="130" spans="1:6" x14ac:dyDescent="0.25">
      <c r="A130">
        <v>14600</v>
      </c>
      <c r="B130">
        <v>3.0849000000000002</v>
      </c>
      <c r="E130">
        <v>14600</v>
      </c>
      <c r="F130">
        <v>2.3020999999999998</v>
      </c>
    </row>
    <row r="131" spans="1:6" x14ac:dyDescent="0.25">
      <c r="A131">
        <v>14700</v>
      </c>
      <c r="B131">
        <v>3.0884</v>
      </c>
      <c r="E131">
        <v>14700</v>
      </c>
      <c r="F131">
        <v>2.3058000000000001</v>
      </c>
    </row>
    <row r="132" spans="1:6" x14ac:dyDescent="0.25">
      <c r="A132">
        <v>14800</v>
      </c>
      <c r="B132">
        <v>3.0918999999999999</v>
      </c>
      <c r="E132">
        <v>14800</v>
      </c>
      <c r="F132">
        <v>2.3094999999999999</v>
      </c>
    </row>
    <row r="133" spans="1:6" x14ac:dyDescent="0.25">
      <c r="A133">
        <v>14900</v>
      </c>
      <c r="B133">
        <v>3.0952999999999999</v>
      </c>
      <c r="E133">
        <v>14900</v>
      </c>
      <c r="F133">
        <v>2.3130999999999999</v>
      </c>
    </row>
    <row r="134" spans="1:6" x14ac:dyDescent="0.25">
      <c r="A134">
        <v>15000</v>
      </c>
      <c r="B134">
        <v>3.0987</v>
      </c>
      <c r="E134">
        <v>15000</v>
      </c>
      <c r="F134">
        <v>2.3167</v>
      </c>
    </row>
    <row r="135" spans="1:6" x14ac:dyDescent="0.25">
      <c r="A135">
        <v>15100</v>
      </c>
      <c r="B135">
        <v>3.1019999999999999</v>
      </c>
      <c r="E135">
        <v>15100</v>
      </c>
      <c r="F135">
        <v>2.3201999999999998</v>
      </c>
    </row>
    <row r="136" spans="1:6" x14ac:dyDescent="0.25">
      <c r="A136">
        <v>15200</v>
      </c>
      <c r="B136">
        <v>3.1053000000000002</v>
      </c>
      <c r="E136">
        <v>15200</v>
      </c>
      <c r="F136">
        <v>2.3237000000000001</v>
      </c>
    </row>
    <row r="137" spans="1:6" x14ac:dyDescent="0.25">
      <c r="A137">
        <v>15300</v>
      </c>
      <c r="B137">
        <v>3.1084999999999998</v>
      </c>
      <c r="E137">
        <v>15300</v>
      </c>
      <c r="F137">
        <v>2.3271000000000002</v>
      </c>
    </row>
    <row r="138" spans="1:6" x14ac:dyDescent="0.25">
      <c r="A138">
        <v>15400</v>
      </c>
      <c r="B138">
        <v>3.1116999999999999</v>
      </c>
      <c r="E138">
        <v>15400</v>
      </c>
      <c r="F138">
        <v>2.3304999999999998</v>
      </c>
    </row>
    <row r="139" spans="1:6" x14ac:dyDescent="0.25">
      <c r="A139">
        <v>15500</v>
      </c>
      <c r="B139">
        <v>3.1147999999999998</v>
      </c>
      <c r="E139">
        <v>15500</v>
      </c>
      <c r="F139">
        <v>2.3338999999999999</v>
      </c>
    </row>
    <row r="140" spans="1:6" x14ac:dyDescent="0.25">
      <c r="A140">
        <v>15600</v>
      </c>
      <c r="B140">
        <v>3.1179000000000001</v>
      </c>
      <c r="E140">
        <v>15600</v>
      </c>
      <c r="F140">
        <v>2.3372000000000002</v>
      </c>
    </row>
    <row r="141" spans="1:6" x14ac:dyDescent="0.25">
      <c r="A141">
        <v>15700</v>
      </c>
      <c r="B141">
        <v>3.121</v>
      </c>
      <c r="E141">
        <v>15700</v>
      </c>
      <c r="F141">
        <v>2.3403999999999998</v>
      </c>
    </row>
    <row r="142" spans="1:6" x14ac:dyDescent="0.25">
      <c r="A142">
        <v>15800</v>
      </c>
      <c r="B142">
        <v>3.1240999999999999</v>
      </c>
      <c r="E142">
        <v>15800</v>
      </c>
      <c r="F142">
        <v>2.3437000000000001</v>
      </c>
    </row>
    <row r="143" spans="1:6" x14ac:dyDescent="0.25">
      <c r="A143">
        <v>15900</v>
      </c>
      <c r="B143">
        <v>3.1269999999999998</v>
      </c>
      <c r="E143">
        <v>15900</v>
      </c>
      <c r="F143">
        <v>2.3469000000000002</v>
      </c>
    </row>
    <row r="144" spans="1:6" x14ac:dyDescent="0.25">
      <c r="A144">
        <v>16000</v>
      </c>
      <c r="B144">
        <v>3.13</v>
      </c>
      <c r="E144">
        <v>16000</v>
      </c>
      <c r="F144">
        <v>2.35</v>
      </c>
    </row>
    <row r="145" spans="1:6" x14ac:dyDescent="0.25">
      <c r="A145">
        <v>16100</v>
      </c>
      <c r="B145">
        <v>3.1362999999999999</v>
      </c>
      <c r="E145">
        <v>16100</v>
      </c>
      <c r="F145">
        <v>2.3580999999999999</v>
      </c>
    </row>
    <row r="146" spans="1:6" x14ac:dyDescent="0.25">
      <c r="A146">
        <v>16200</v>
      </c>
      <c r="B146">
        <v>3.1425999999999998</v>
      </c>
      <c r="E146">
        <v>16200</v>
      </c>
      <c r="F146">
        <v>2.3660000000000001</v>
      </c>
    </row>
    <row r="147" spans="1:6" x14ac:dyDescent="0.25">
      <c r="A147">
        <v>16300</v>
      </c>
      <c r="B147">
        <v>3.1488</v>
      </c>
      <c r="E147">
        <v>16300</v>
      </c>
      <c r="F147">
        <v>2.3738999999999999</v>
      </c>
    </row>
    <row r="148" spans="1:6" x14ac:dyDescent="0.25">
      <c r="A148">
        <v>16400</v>
      </c>
      <c r="B148">
        <v>3.1549</v>
      </c>
      <c r="E148">
        <v>16400</v>
      </c>
      <c r="F148">
        <v>2.3816999999999999</v>
      </c>
    </row>
    <row r="149" spans="1:6" x14ac:dyDescent="0.25">
      <c r="A149">
        <v>16500</v>
      </c>
      <c r="B149">
        <v>3.1608999999999998</v>
      </c>
      <c r="E149">
        <v>16500</v>
      </c>
      <c r="F149">
        <v>2.3894000000000002</v>
      </c>
    </row>
    <row r="150" spans="1:6" x14ac:dyDescent="0.25">
      <c r="A150">
        <v>16600</v>
      </c>
      <c r="B150">
        <v>3.1669</v>
      </c>
      <c r="E150">
        <v>16600</v>
      </c>
      <c r="F150">
        <v>2.3969999999999998</v>
      </c>
    </row>
    <row r="151" spans="1:6" x14ac:dyDescent="0.25">
      <c r="A151">
        <v>16700</v>
      </c>
      <c r="B151">
        <v>3.1728000000000001</v>
      </c>
      <c r="E151">
        <v>16700</v>
      </c>
      <c r="F151">
        <v>2.4045000000000001</v>
      </c>
    </row>
    <row r="152" spans="1:6" x14ac:dyDescent="0.25">
      <c r="A152">
        <v>16800</v>
      </c>
      <c r="B152">
        <v>3.1785999999999999</v>
      </c>
      <c r="E152">
        <v>16800</v>
      </c>
      <c r="F152">
        <v>2.4119000000000002</v>
      </c>
    </row>
    <row r="153" spans="1:6" x14ac:dyDescent="0.25">
      <c r="A153">
        <v>16900</v>
      </c>
      <c r="B153">
        <v>3.1842999999999999</v>
      </c>
      <c r="E153">
        <v>16900</v>
      </c>
      <c r="F153">
        <v>2.4192</v>
      </c>
    </row>
    <row r="154" spans="1:6" x14ac:dyDescent="0.25">
      <c r="A154">
        <v>17000</v>
      </c>
      <c r="B154">
        <v>3.19</v>
      </c>
      <c r="E154">
        <v>17000</v>
      </c>
      <c r="F154">
        <v>2.4264999999999999</v>
      </c>
    </row>
    <row r="155" spans="1:6" x14ac:dyDescent="0.25">
      <c r="A155">
        <v>17100</v>
      </c>
      <c r="B155">
        <v>3.1956000000000002</v>
      </c>
      <c r="E155">
        <v>17100</v>
      </c>
      <c r="F155">
        <v>2.4336000000000002</v>
      </c>
    </row>
    <row r="156" spans="1:6" x14ac:dyDescent="0.25">
      <c r="A156">
        <v>17200</v>
      </c>
      <c r="B156">
        <v>3.2012</v>
      </c>
      <c r="E156">
        <v>17200</v>
      </c>
      <c r="F156">
        <v>2.4407000000000001</v>
      </c>
    </row>
    <row r="157" spans="1:6" x14ac:dyDescent="0.25">
      <c r="A157">
        <v>17300</v>
      </c>
      <c r="B157">
        <v>3.2065999999999999</v>
      </c>
      <c r="E157">
        <v>17300</v>
      </c>
      <c r="F157">
        <v>2.4477000000000002</v>
      </c>
    </row>
    <row r="158" spans="1:6" x14ac:dyDescent="0.25">
      <c r="A158">
        <v>17400</v>
      </c>
      <c r="B158">
        <v>3.2121</v>
      </c>
      <c r="E158">
        <v>17400</v>
      </c>
      <c r="F158">
        <v>2.4546000000000001</v>
      </c>
    </row>
    <row r="159" spans="1:6" x14ac:dyDescent="0.25">
      <c r="A159">
        <v>17500</v>
      </c>
      <c r="B159">
        <v>3.2174</v>
      </c>
      <c r="E159">
        <v>17500</v>
      </c>
      <c r="F159">
        <v>2.4613999999999998</v>
      </c>
    </row>
    <row r="160" spans="1:6" x14ac:dyDescent="0.25">
      <c r="A160">
        <v>17600</v>
      </c>
      <c r="B160">
        <v>3.2227000000000001</v>
      </c>
      <c r="E160">
        <v>17600</v>
      </c>
      <c r="F160">
        <v>2.4681999999999999</v>
      </c>
    </row>
    <row r="161" spans="1:6" x14ac:dyDescent="0.25">
      <c r="A161">
        <v>17700</v>
      </c>
      <c r="B161">
        <v>3.2280000000000002</v>
      </c>
      <c r="E161">
        <v>17700</v>
      </c>
      <c r="F161">
        <v>2.4748999999999999</v>
      </c>
    </row>
    <row r="162" spans="1:6" x14ac:dyDescent="0.25">
      <c r="A162">
        <v>17800</v>
      </c>
      <c r="B162">
        <v>3.2330999999999999</v>
      </c>
      <c r="E162">
        <v>17800</v>
      </c>
      <c r="F162">
        <v>2.4815</v>
      </c>
    </row>
    <row r="163" spans="1:6" x14ac:dyDescent="0.25">
      <c r="A163">
        <v>17900</v>
      </c>
      <c r="B163">
        <v>3.2383000000000002</v>
      </c>
      <c r="E163">
        <v>17900</v>
      </c>
      <c r="F163">
        <v>2.488</v>
      </c>
    </row>
    <row r="164" spans="1:6" x14ac:dyDescent="0.25">
      <c r="A164">
        <v>18000</v>
      </c>
      <c r="B164">
        <v>3.2433000000000001</v>
      </c>
      <c r="E164">
        <v>18000</v>
      </c>
      <c r="F164">
        <v>2.4944000000000002</v>
      </c>
    </row>
    <row r="165" spans="1:6" x14ac:dyDescent="0.25">
      <c r="A165">
        <v>18100</v>
      </c>
      <c r="B165">
        <v>3.2483</v>
      </c>
      <c r="E165">
        <v>18100</v>
      </c>
      <c r="F165">
        <v>2.5007999999999999</v>
      </c>
    </row>
    <row r="166" spans="1:6" x14ac:dyDescent="0.25">
      <c r="A166">
        <v>18200</v>
      </c>
      <c r="B166">
        <v>3.2532999999999999</v>
      </c>
      <c r="E166">
        <v>18200</v>
      </c>
      <c r="F166">
        <v>2.5070999999999999</v>
      </c>
    </row>
    <row r="167" spans="1:6" x14ac:dyDescent="0.25">
      <c r="A167">
        <v>18300</v>
      </c>
      <c r="B167">
        <v>3.2582</v>
      </c>
      <c r="E167">
        <v>18300</v>
      </c>
      <c r="F167">
        <v>2.5133999999999999</v>
      </c>
    </row>
    <row r="168" spans="1:6" x14ac:dyDescent="0.25">
      <c r="A168">
        <v>18400</v>
      </c>
      <c r="B168">
        <v>3.2629999999999999</v>
      </c>
      <c r="E168">
        <v>18400</v>
      </c>
      <c r="F168">
        <v>2.5196000000000001</v>
      </c>
    </row>
    <row r="169" spans="1:6" x14ac:dyDescent="0.25">
      <c r="A169">
        <v>18500</v>
      </c>
      <c r="B169">
        <v>3.2677999999999998</v>
      </c>
      <c r="E169">
        <v>18500</v>
      </c>
      <c r="F169">
        <v>2.5257000000000001</v>
      </c>
    </row>
    <row r="170" spans="1:6" x14ac:dyDescent="0.25">
      <c r="A170">
        <v>18600</v>
      </c>
      <c r="B170">
        <v>3.2726000000000002</v>
      </c>
      <c r="E170">
        <v>18600</v>
      </c>
      <c r="F170">
        <v>2.5316999999999998</v>
      </c>
    </row>
    <row r="171" spans="1:6" x14ac:dyDescent="0.25">
      <c r="A171">
        <v>18700</v>
      </c>
      <c r="B171">
        <v>3.2772999999999999</v>
      </c>
      <c r="E171">
        <v>18700</v>
      </c>
      <c r="F171">
        <v>2.5377000000000001</v>
      </c>
    </row>
    <row r="172" spans="1:6" x14ac:dyDescent="0.25">
      <c r="A172">
        <v>18800</v>
      </c>
      <c r="B172">
        <v>3.2818999999999998</v>
      </c>
      <c r="E172">
        <v>18800</v>
      </c>
      <c r="F172">
        <v>2.5436000000000001</v>
      </c>
    </row>
    <row r="173" spans="1:6" x14ac:dyDescent="0.25">
      <c r="A173">
        <v>18900</v>
      </c>
      <c r="B173">
        <v>3.2865000000000002</v>
      </c>
      <c r="E173">
        <v>18900</v>
      </c>
      <c r="F173">
        <v>2.5495000000000001</v>
      </c>
    </row>
    <row r="174" spans="1:6" x14ac:dyDescent="0.25">
      <c r="A174">
        <v>19000</v>
      </c>
      <c r="B174">
        <v>3.2911000000000001</v>
      </c>
      <c r="E174">
        <v>19000</v>
      </c>
      <c r="F174">
        <v>2.5552999999999999</v>
      </c>
    </row>
    <row r="175" spans="1:6" x14ac:dyDescent="0.25">
      <c r="A175">
        <v>19100</v>
      </c>
      <c r="B175">
        <v>3.2955000000000001</v>
      </c>
      <c r="E175">
        <v>19100</v>
      </c>
      <c r="F175">
        <v>2.5609999999999999</v>
      </c>
    </row>
    <row r="176" spans="1:6" x14ac:dyDescent="0.25">
      <c r="A176">
        <v>19200</v>
      </c>
      <c r="B176">
        <v>3.3</v>
      </c>
      <c r="E176">
        <v>19200</v>
      </c>
      <c r="F176">
        <v>2.5667</v>
      </c>
    </row>
    <row r="177" spans="1:6" x14ac:dyDescent="0.25">
      <c r="A177">
        <v>19300</v>
      </c>
      <c r="B177">
        <v>3.3043999999999998</v>
      </c>
      <c r="E177">
        <v>19300</v>
      </c>
      <c r="F177">
        <v>2.5722999999999998</v>
      </c>
    </row>
    <row r="178" spans="1:6" x14ac:dyDescent="0.25">
      <c r="A178">
        <v>19400</v>
      </c>
      <c r="B178">
        <v>3.3088000000000002</v>
      </c>
      <c r="E178">
        <v>19400</v>
      </c>
      <c r="F178">
        <v>2.5777999999999999</v>
      </c>
    </row>
    <row r="179" spans="1:6" x14ac:dyDescent="0.25">
      <c r="A179">
        <v>19500</v>
      </c>
      <c r="B179">
        <v>3.3130999999999999</v>
      </c>
      <c r="E179">
        <v>19500</v>
      </c>
      <c r="F179">
        <v>2.5832999999999999</v>
      </c>
    </row>
    <row r="180" spans="1:6" x14ac:dyDescent="0.25">
      <c r="A180">
        <v>19600</v>
      </c>
      <c r="B180">
        <v>3.3172999999999999</v>
      </c>
      <c r="E180">
        <v>19600</v>
      </c>
      <c r="F180">
        <v>2.5888</v>
      </c>
    </row>
    <row r="181" spans="1:6" x14ac:dyDescent="0.25">
      <c r="A181">
        <v>19700</v>
      </c>
      <c r="B181">
        <v>3.3216000000000001</v>
      </c>
      <c r="E181">
        <v>19700</v>
      </c>
      <c r="F181">
        <v>2.5941999999999998</v>
      </c>
    </row>
    <row r="182" spans="1:6" x14ac:dyDescent="0.25">
      <c r="A182">
        <v>19800</v>
      </c>
      <c r="B182">
        <v>3.3258000000000001</v>
      </c>
      <c r="E182">
        <v>19800</v>
      </c>
      <c r="F182">
        <v>2.5994999999999999</v>
      </c>
    </row>
    <row r="183" spans="1:6" x14ac:dyDescent="0.25">
      <c r="A183">
        <v>19900</v>
      </c>
      <c r="B183">
        <v>3.3298999999999999</v>
      </c>
      <c r="E183">
        <v>19900</v>
      </c>
      <c r="F183">
        <v>2.6048</v>
      </c>
    </row>
    <row r="184" spans="1:6" x14ac:dyDescent="0.25">
      <c r="A184">
        <v>20000</v>
      </c>
      <c r="B184">
        <v>3.3340000000000001</v>
      </c>
      <c r="E184">
        <v>20000</v>
      </c>
      <c r="F184">
        <v>2.61</v>
      </c>
    </row>
    <row r="185" spans="1:6" x14ac:dyDescent="0.25">
      <c r="A185">
        <v>20100</v>
      </c>
      <c r="B185">
        <v>3.3380999999999998</v>
      </c>
      <c r="E185">
        <v>20100</v>
      </c>
      <c r="F185">
        <v>2.6152000000000002</v>
      </c>
    </row>
    <row r="186" spans="1:6" x14ac:dyDescent="0.25">
      <c r="A186">
        <v>20200</v>
      </c>
      <c r="B186">
        <v>3.3420999999999998</v>
      </c>
      <c r="E186">
        <v>20200</v>
      </c>
      <c r="F186">
        <v>2.6202999999999999</v>
      </c>
    </row>
    <row r="187" spans="1:6" x14ac:dyDescent="0.25">
      <c r="A187">
        <v>20300</v>
      </c>
      <c r="B187">
        <v>3.3460999999999999</v>
      </c>
      <c r="E187">
        <v>20300</v>
      </c>
      <c r="F187">
        <v>2.6254</v>
      </c>
    </row>
    <row r="188" spans="1:6" x14ac:dyDescent="0.25">
      <c r="A188">
        <v>20400</v>
      </c>
      <c r="B188">
        <v>3.35</v>
      </c>
      <c r="E188">
        <v>20400</v>
      </c>
      <c r="F188">
        <v>2.6303999999999998</v>
      </c>
    </row>
    <row r="189" spans="1:6" x14ac:dyDescent="0.25">
      <c r="A189">
        <v>20500</v>
      </c>
      <c r="B189">
        <v>3.3538999999999999</v>
      </c>
      <c r="E189">
        <v>20500</v>
      </c>
      <c r="F189">
        <v>2.6354000000000002</v>
      </c>
    </row>
    <row r="190" spans="1:6" x14ac:dyDescent="0.25">
      <c r="A190">
        <v>20600</v>
      </c>
      <c r="B190">
        <v>3.3578000000000001</v>
      </c>
      <c r="E190">
        <v>20600</v>
      </c>
      <c r="F190">
        <v>2.6402999999999999</v>
      </c>
    </row>
    <row r="191" spans="1:6" x14ac:dyDescent="0.25">
      <c r="A191">
        <v>20700</v>
      </c>
      <c r="B191">
        <v>3.3616000000000001</v>
      </c>
      <c r="E191">
        <v>20700</v>
      </c>
      <c r="F191">
        <v>2.6452</v>
      </c>
    </row>
    <row r="192" spans="1:6" x14ac:dyDescent="0.25">
      <c r="A192">
        <v>20800</v>
      </c>
      <c r="B192">
        <v>3.3654000000000002</v>
      </c>
      <c r="E192">
        <v>20800</v>
      </c>
      <c r="F192">
        <v>2.65</v>
      </c>
    </row>
    <row r="193" spans="1:6" x14ac:dyDescent="0.25">
      <c r="A193">
        <v>20900</v>
      </c>
      <c r="B193">
        <v>3.3691</v>
      </c>
      <c r="E193">
        <v>20900</v>
      </c>
      <c r="F193">
        <v>2.6547999999999998</v>
      </c>
    </row>
    <row r="194" spans="1:6" x14ac:dyDescent="0.25">
      <c r="A194">
        <v>21000</v>
      </c>
      <c r="B194">
        <v>3.3729</v>
      </c>
      <c r="E194">
        <v>21000</v>
      </c>
      <c r="F194">
        <v>2.6595</v>
      </c>
    </row>
    <row r="195" spans="1:6" x14ac:dyDescent="0.25">
      <c r="A195">
        <v>21100</v>
      </c>
      <c r="B195">
        <v>3.3765000000000001</v>
      </c>
      <c r="E195">
        <v>21100</v>
      </c>
      <c r="F195">
        <v>2.6642000000000001</v>
      </c>
    </row>
    <row r="196" spans="1:6" x14ac:dyDescent="0.25">
      <c r="A196">
        <v>21200</v>
      </c>
      <c r="B196">
        <v>3.3801999999999999</v>
      </c>
      <c r="E196">
        <v>21200</v>
      </c>
      <c r="F196">
        <v>2.6688999999999998</v>
      </c>
    </row>
    <row r="197" spans="1:6" x14ac:dyDescent="0.25">
      <c r="A197">
        <v>21300</v>
      </c>
      <c r="B197">
        <v>3.3837999999999999</v>
      </c>
      <c r="E197">
        <v>21300</v>
      </c>
      <c r="F197">
        <v>2.6735000000000002</v>
      </c>
    </row>
    <row r="198" spans="1:6" x14ac:dyDescent="0.25">
      <c r="A198">
        <v>21400</v>
      </c>
      <c r="B198">
        <v>3.3874</v>
      </c>
      <c r="E198">
        <v>21400</v>
      </c>
      <c r="F198">
        <v>2.6779999999999999</v>
      </c>
    </row>
    <row r="199" spans="1:6" x14ac:dyDescent="0.25">
      <c r="A199">
        <v>21500</v>
      </c>
      <c r="B199">
        <v>3.3908999999999998</v>
      </c>
      <c r="E199">
        <v>21500</v>
      </c>
      <c r="F199">
        <v>2.6825999999999999</v>
      </c>
    </row>
    <row r="200" spans="1:6" x14ac:dyDescent="0.25">
      <c r="A200">
        <v>21600</v>
      </c>
      <c r="B200">
        <v>3.3944000000000001</v>
      </c>
      <c r="E200">
        <v>21600</v>
      </c>
      <c r="F200">
        <v>2.6869999999999998</v>
      </c>
    </row>
    <row r="201" spans="1:6" x14ac:dyDescent="0.25">
      <c r="A201">
        <v>21700</v>
      </c>
      <c r="B201">
        <v>3.3978999999999999</v>
      </c>
      <c r="E201">
        <v>21700</v>
      </c>
      <c r="F201">
        <v>2.6915</v>
      </c>
    </row>
    <row r="202" spans="1:6" x14ac:dyDescent="0.25">
      <c r="A202">
        <v>21800</v>
      </c>
      <c r="B202">
        <v>3.4014000000000002</v>
      </c>
      <c r="E202">
        <v>21800</v>
      </c>
      <c r="F202">
        <v>2.6959</v>
      </c>
    </row>
    <row r="203" spans="1:6" x14ac:dyDescent="0.25">
      <c r="A203">
        <v>21900</v>
      </c>
      <c r="B203">
        <v>3.4047999999999998</v>
      </c>
      <c r="E203">
        <v>21900</v>
      </c>
      <c r="F203">
        <v>2.7002000000000002</v>
      </c>
    </row>
    <row r="204" spans="1:6" x14ac:dyDescent="0.25">
      <c r="A204">
        <v>22000</v>
      </c>
      <c r="B204">
        <v>3.4081999999999999</v>
      </c>
      <c r="E204">
        <v>22000</v>
      </c>
      <c r="F204">
        <v>2.7044999999999999</v>
      </c>
    </row>
    <row r="205" spans="1:6" x14ac:dyDescent="0.25">
      <c r="A205">
        <v>22100</v>
      </c>
      <c r="B205">
        <v>3.4115000000000002</v>
      </c>
      <c r="E205">
        <v>22100</v>
      </c>
      <c r="F205">
        <v>2.7088000000000001</v>
      </c>
    </row>
    <row r="206" spans="1:6" x14ac:dyDescent="0.25">
      <c r="A206">
        <v>22200</v>
      </c>
      <c r="B206">
        <v>3.4148999999999998</v>
      </c>
      <c r="E206">
        <v>22200</v>
      </c>
      <c r="F206">
        <v>2.7130999999999998</v>
      </c>
    </row>
    <row r="207" spans="1:6" x14ac:dyDescent="0.25">
      <c r="A207">
        <v>22300</v>
      </c>
      <c r="B207">
        <v>3.4182000000000001</v>
      </c>
      <c r="E207">
        <v>22300</v>
      </c>
      <c r="F207">
        <v>2.7172999999999998</v>
      </c>
    </row>
    <row r="208" spans="1:6" x14ac:dyDescent="0.25">
      <c r="A208">
        <v>22400</v>
      </c>
      <c r="B208">
        <v>3.4214000000000002</v>
      </c>
      <c r="E208">
        <v>22400</v>
      </c>
      <c r="F208">
        <v>2.7214</v>
      </c>
    </row>
    <row r="209" spans="1:6" x14ac:dyDescent="0.25">
      <c r="A209">
        <v>22500</v>
      </c>
      <c r="B209">
        <v>3.4247000000000001</v>
      </c>
      <c r="E209">
        <v>22500</v>
      </c>
      <c r="F209">
        <v>2.7256</v>
      </c>
    </row>
    <row r="210" spans="1:6" x14ac:dyDescent="0.25">
      <c r="A210">
        <v>22600</v>
      </c>
      <c r="B210">
        <v>3.4279000000000002</v>
      </c>
      <c r="E210">
        <v>22600</v>
      </c>
      <c r="F210">
        <v>2.7296</v>
      </c>
    </row>
    <row r="211" spans="1:6" x14ac:dyDescent="0.25">
      <c r="A211">
        <v>22700</v>
      </c>
      <c r="B211">
        <v>3.4310999999999998</v>
      </c>
      <c r="E211">
        <v>22700</v>
      </c>
      <c r="F211">
        <v>2.7336999999999998</v>
      </c>
    </row>
    <row r="212" spans="1:6" x14ac:dyDescent="0.25">
      <c r="A212">
        <v>22800</v>
      </c>
      <c r="B212">
        <v>3.4342000000000001</v>
      </c>
      <c r="E212">
        <v>22800</v>
      </c>
      <c r="F212">
        <v>2.7376999999999998</v>
      </c>
    </row>
    <row r="213" spans="1:6" x14ac:dyDescent="0.25">
      <c r="A213">
        <v>22900</v>
      </c>
      <c r="B213">
        <v>3.4373</v>
      </c>
      <c r="E213">
        <v>22900</v>
      </c>
      <c r="F213">
        <v>2.7416999999999998</v>
      </c>
    </row>
    <row r="214" spans="1:6" x14ac:dyDescent="0.25">
      <c r="A214">
        <v>23000</v>
      </c>
      <c r="B214">
        <v>3.4403999999999999</v>
      </c>
      <c r="E214">
        <v>23000</v>
      </c>
      <c r="F214">
        <v>2.7456999999999998</v>
      </c>
    </row>
    <row r="215" spans="1:6" x14ac:dyDescent="0.25">
      <c r="A215">
        <v>23100</v>
      </c>
      <c r="B215">
        <v>3.4434999999999998</v>
      </c>
      <c r="E215">
        <v>23100</v>
      </c>
      <c r="F215">
        <v>2.7496</v>
      </c>
    </row>
    <row r="216" spans="1:6" x14ac:dyDescent="0.25">
      <c r="A216">
        <v>23200</v>
      </c>
      <c r="B216">
        <v>3.4466000000000001</v>
      </c>
      <c r="E216">
        <v>23200</v>
      </c>
      <c r="F216">
        <v>2.7534000000000001</v>
      </c>
    </row>
    <row r="217" spans="1:6" x14ac:dyDescent="0.25">
      <c r="A217">
        <v>23300</v>
      </c>
      <c r="B217">
        <v>3.4496000000000002</v>
      </c>
      <c r="E217">
        <v>23300</v>
      </c>
      <c r="F217">
        <v>2.7572999999999999</v>
      </c>
    </row>
    <row r="218" spans="1:6" x14ac:dyDescent="0.25">
      <c r="A218">
        <v>23400</v>
      </c>
      <c r="B218">
        <v>3.4525999999999999</v>
      </c>
      <c r="E218">
        <v>23400</v>
      </c>
      <c r="F218">
        <v>2.7610999999999999</v>
      </c>
    </row>
    <row r="219" spans="1:6" x14ac:dyDescent="0.25">
      <c r="A219">
        <v>23500</v>
      </c>
      <c r="B219">
        <v>3.4554999999999998</v>
      </c>
      <c r="E219">
        <v>23500</v>
      </c>
      <c r="F219">
        <v>2.7648999999999999</v>
      </c>
    </row>
    <row r="220" spans="1:6" x14ac:dyDescent="0.25">
      <c r="A220">
        <v>23600</v>
      </c>
      <c r="B220">
        <v>3.4584999999999999</v>
      </c>
      <c r="E220">
        <v>23600</v>
      </c>
      <c r="F220">
        <v>2.7686000000000002</v>
      </c>
    </row>
    <row r="221" spans="1:6" x14ac:dyDescent="0.25">
      <c r="A221">
        <v>23700</v>
      </c>
      <c r="B221">
        <v>3.4613999999999998</v>
      </c>
      <c r="E221">
        <v>23700</v>
      </c>
      <c r="F221">
        <v>2.7724000000000002</v>
      </c>
    </row>
    <row r="222" spans="1:6" x14ac:dyDescent="0.25">
      <c r="A222">
        <v>23800</v>
      </c>
      <c r="B222">
        <v>3.4643000000000002</v>
      </c>
      <c r="E222">
        <v>23800</v>
      </c>
      <c r="F222">
        <v>2.7761</v>
      </c>
    </row>
    <row r="223" spans="1:6" x14ac:dyDescent="0.25">
      <c r="A223">
        <v>23900</v>
      </c>
      <c r="B223">
        <v>3.4672000000000001</v>
      </c>
      <c r="E223">
        <v>23900</v>
      </c>
      <c r="F223">
        <v>2.7797000000000001</v>
      </c>
    </row>
    <row r="224" spans="1:6" x14ac:dyDescent="0.25">
      <c r="A224">
        <v>24000</v>
      </c>
      <c r="B224">
        <v>3.47</v>
      </c>
      <c r="E224">
        <v>24000</v>
      </c>
      <c r="F224">
        <v>2.7833000000000001</v>
      </c>
    </row>
    <row r="225" spans="1:6" x14ac:dyDescent="0.25">
      <c r="A225">
        <v>24100</v>
      </c>
      <c r="B225">
        <v>3.4727999999999999</v>
      </c>
      <c r="E225">
        <v>24100</v>
      </c>
      <c r="F225">
        <v>2.7869000000000002</v>
      </c>
    </row>
    <row r="226" spans="1:6" x14ac:dyDescent="0.25">
      <c r="A226">
        <v>24200</v>
      </c>
      <c r="B226">
        <v>3.4756</v>
      </c>
      <c r="E226">
        <v>24200</v>
      </c>
      <c r="F226">
        <v>2.7905000000000002</v>
      </c>
    </row>
    <row r="227" spans="1:6" x14ac:dyDescent="0.25">
      <c r="A227">
        <v>24300</v>
      </c>
      <c r="B227">
        <v>3.4784000000000002</v>
      </c>
      <c r="E227">
        <v>24300</v>
      </c>
      <c r="F227">
        <v>2.794</v>
      </c>
    </row>
    <row r="228" spans="1:6" x14ac:dyDescent="0.25">
      <c r="A228">
        <v>24400</v>
      </c>
      <c r="B228">
        <v>3.4811000000000001</v>
      </c>
      <c r="E228">
        <v>24400</v>
      </c>
      <c r="F228">
        <v>2.7974999999999999</v>
      </c>
    </row>
    <row r="229" spans="1:6" x14ac:dyDescent="0.25">
      <c r="A229">
        <v>24500</v>
      </c>
      <c r="B229">
        <v>3.4839000000000002</v>
      </c>
      <c r="E229">
        <v>24500</v>
      </c>
      <c r="F229">
        <v>2.8010000000000002</v>
      </c>
    </row>
    <row r="230" spans="1:6" x14ac:dyDescent="0.25">
      <c r="A230">
        <v>24600</v>
      </c>
      <c r="B230">
        <v>3.4866000000000001</v>
      </c>
      <c r="E230">
        <v>24600</v>
      </c>
      <c r="F230">
        <v>2.8045</v>
      </c>
    </row>
    <row r="231" spans="1:6" x14ac:dyDescent="0.25">
      <c r="A231">
        <v>24700</v>
      </c>
      <c r="B231">
        <v>3.4893000000000001</v>
      </c>
      <c r="E231">
        <v>24700</v>
      </c>
      <c r="F231">
        <v>2.8079000000000001</v>
      </c>
    </row>
    <row r="232" spans="1:6" x14ac:dyDescent="0.25">
      <c r="A232">
        <v>24800</v>
      </c>
      <c r="B232">
        <v>3.4918999999999998</v>
      </c>
      <c r="E232">
        <v>24800</v>
      </c>
      <c r="F232">
        <v>2.8113000000000001</v>
      </c>
    </row>
    <row r="233" spans="1:6" x14ac:dyDescent="0.25">
      <c r="A233">
        <v>24900</v>
      </c>
      <c r="B233">
        <v>3.4946000000000002</v>
      </c>
      <c r="E233">
        <v>24900</v>
      </c>
      <c r="F233">
        <v>2.8147000000000002</v>
      </c>
    </row>
    <row r="234" spans="1:6" x14ac:dyDescent="0.25">
      <c r="A234">
        <v>25000</v>
      </c>
      <c r="B234">
        <v>3.4971999999999999</v>
      </c>
      <c r="E234">
        <v>25000</v>
      </c>
      <c r="F234">
        <v>2.8180000000000001</v>
      </c>
    </row>
    <row r="235" spans="1:6" x14ac:dyDescent="0.25">
      <c r="A235">
        <v>25100</v>
      </c>
      <c r="B235">
        <v>3.4998</v>
      </c>
      <c r="E235">
        <v>25100</v>
      </c>
      <c r="F235">
        <v>2.8212999999999999</v>
      </c>
    </row>
    <row r="236" spans="1:6" x14ac:dyDescent="0.25">
      <c r="A236">
        <v>25200</v>
      </c>
      <c r="B236">
        <v>3.5024000000000002</v>
      </c>
      <c r="E236">
        <v>25200</v>
      </c>
      <c r="F236">
        <v>2.8246000000000002</v>
      </c>
    </row>
    <row r="237" spans="1:6" x14ac:dyDescent="0.25">
      <c r="A237">
        <v>25300</v>
      </c>
      <c r="B237">
        <v>3.5049000000000001</v>
      </c>
      <c r="E237">
        <v>25300</v>
      </c>
      <c r="F237">
        <v>2.8279000000000001</v>
      </c>
    </row>
    <row r="238" spans="1:6" x14ac:dyDescent="0.25">
      <c r="A238">
        <v>25400</v>
      </c>
      <c r="B238">
        <v>3.5074999999999998</v>
      </c>
      <c r="E238">
        <v>25400</v>
      </c>
      <c r="F238">
        <v>2.8311000000000002</v>
      </c>
    </row>
    <row r="239" spans="1:6" x14ac:dyDescent="0.25">
      <c r="A239">
        <v>25500</v>
      </c>
      <c r="B239">
        <v>3.51</v>
      </c>
      <c r="E239">
        <v>25500</v>
      </c>
      <c r="F239">
        <v>2.8342999999999998</v>
      </c>
    </row>
    <row r="240" spans="1:6" x14ac:dyDescent="0.25">
      <c r="A240">
        <v>25600</v>
      </c>
      <c r="B240">
        <v>3.5125000000000002</v>
      </c>
      <c r="E240">
        <v>25600</v>
      </c>
      <c r="F240">
        <v>2.8374999999999999</v>
      </c>
    </row>
    <row r="241" spans="1:6" x14ac:dyDescent="0.25">
      <c r="A241">
        <v>25700</v>
      </c>
      <c r="B241">
        <v>3.5150000000000001</v>
      </c>
      <c r="E241">
        <v>25700</v>
      </c>
      <c r="F241">
        <v>2.8407</v>
      </c>
    </row>
    <row r="242" spans="1:6" x14ac:dyDescent="0.25">
      <c r="A242">
        <v>25800</v>
      </c>
      <c r="B242">
        <v>3.5173999999999999</v>
      </c>
      <c r="E242">
        <v>25800</v>
      </c>
      <c r="F242">
        <v>2.8437999999999999</v>
      </c>
    </row>
    <row r="243" spans="1:6" x14ac:dyDescent="0.25">
      <c r="A243">
        <v>25900</v>
      </c>
      <c r="B243">
        <v>3.5198999999999998</v>
      </c>
      <c r="E243">
        <v>25900</v>
      </c>
      <c r="F243">
        <v>2.8469000000000002</v>
      </c>
    </row>
    <row r="244" spans="1:6" x14ac:dyDescent="0.25">
      <c r="A244">
        <v>26000</v>
      </c>
      <c r="B244">
        <v>3.5223</v>
      </c>
      <c r="E244">
        <v>26000</v>
      </c>
      <c r="F244">
        <v>2.85</v>
      </c>
    </row>
    <row r="245" spans="1:6" x14ac:dyDescent="0.25">
      <c r="A245">
        <v>26100</v>
      </c>
      <c r="B245">
        <v>3.5247000000000002</v>
      </c>
      <c r="E245">
        <v>26100</v>
      </c>
      <c r="F245">
        <v>2.8531</v>
      </c>
    </row>
    <row r="246" spans="1:6" x14ac:dyDescent="0.25">
      <c r="A246">
        <v>26200</v>
      </c>
      <c r="B246">
        <v>3.5270999999999999</v>
      </c>
      <c r="E246">
        <v>26200</v>
      </c>
      <c r="F246">
        <v>2.8561000000000001</v>
      </c>
    </row>
    <row r="247" spans="1:6" x14ac:dyDescent="0.25">
      <c r="A247">
        <v>26300</v>
      </c>
      <c r="B247">
        <v>3.5295000000000001</v>
      </c>
      <c r="E247">
        <v>26300</v>
      </c>
      <c r="F247">
        <v>2.8591000000000002</v>
      </c>
    </row>
    <row r="248" spans="1:6" x14ac:dyDescent="0.25">
      <c r="A248">
        <v>26400</v>
      </c>
      <c r="B248">
        <v>3.5318000000000001</v>
      </c>
      <c r="E248">
        <v>26400</v>
      </c>
      <c r="F248">
        <v>2.8620999999999999</v>
      </c>
    </row>
    <row r="249" spans="1:6" x14ac:dyDescent="0.25">
      <c r="A249">
        <v>26500</v>
      </c>
      <c r="B249">
        <v>3.5341999999999998</v>
      </c>
      <c r="E249">
        <v>26500</v>
      </c>
      <c r="F249">
        <v>2.8651</v>
      </c>
    </row>
    <row r="250" spans="1:6" x14ac:dyDescent="0.25">
      <c r="A250">
        <v>26600</v>
      </c>
      <c r="B250">
        <v>3.5365000000000002</v>
      </c>
      <c r="E250">
        <v>26600</v>
      </c>
      <c r="F250">
        <v>2.8679999999999999</v>
      </c>
    </row>
    <row r="251" spans="1:6" x14ac:dyDescent="0.25">
      <c r="A251">
        <v>26700</v>
      </c>
      <c r="B251">
        <v>3.5388000000000002</v>
      </c>
      <c r="E251">
        <v>26700</v>
      </c>
      <c r="F251">
        <v>2.871</v>
      </c>
    </row>
    <row r="252" spans="1:6" x14ac:dyDescent="0.25">
      <c r="A252">
        <v>26800</v>
      </c>
      <c r="B252">
        <v>3.5409999999999999</v>
      </c>
      <c r="E252">
        <v>26800</v>
      </c>
      <c r="F252">
        <v>2.8738999999999999</v>
      </c>
    </row>
    <row r="253" spans="1:6" x14ac:dyDescent="0.25">
      <c r="A253">
        <v>26900</v>
      </c>
      <c r="B253">
        <v>3.5432999999999999</v>
      </c>
      <c r="E253">
        <v>26900</v>
      </c>
      <c r="F253">
        <v>2.8767999999999998</v>
      </c>
    </row>
    <row r="254" spans="1:6" x14ac:dyDescent="0.25">
      <c r="A254">
        <v>27000</v>
      </c>
      <c r="B254">
        <v>3.5455999999999999</v>
      </c>
      <c r="E254">
        <v>27000</v>
      </c>
      <c r="F254">
        <v>2.8795999999999999</v>
      </c>
    </row>
    <row r="255" spans="1:6" x14ac:dyDescent="0.25">
      <c r="A255">
        <v>27100</v>
      </c>
      <c r="B255">
        <v>3.5478000000000001</v>
      </c>
      <c r="E255">
        <v>27100</v>
      </c>
      <c r="F255">
        <v>2.8824999999999998</v>
      </c>
    </row>
    <row r="256" spans="1:6" x14ac:dyDescent="0.25">
      <c r="A256">
        <v>27200</v>
      </c>
      <c r="B256">
        <v>3.55</v>
      </c>
      <c r="E256">
        <v>27200</v>
      </c>
      <c r="F256">
        <v>2.8853</v>
      </c>
    </row>
    <row r="257" spans="1:6" x14ac:dyDescent="0.25">
      <c r="A257">
        <v>27300</v>
      </c>
      <c r="B257">
        <v>3.5522</v>
      </c>
      <c r="E257">
        <v>27300</v>
      </c>
      <c r="F257">
        <v>2.8881000000000001</v>
      </c>
    </row>
    <row r="258" spans="1:6" x14ac:dyDescent="0.25">
      <c r="A258">
        <v>27400</v>
      </c>
      <c r="B258">
        <v>3.5543999999999998</v>
      </c>
      <c r="E258">
        <v>27400</v>
      </c>
      <c r="F258">
        <v>2.8908999999999998</v>
      </c>
    </row>
    <row r="259" spans="1:6" x14ac:dyDescent="0.25">
      <c r="A259">
        <v>27500</v>
      </c>
      <c r="B259">
        <v>3.5565000000000002</v>
      </c>
      <c r="E259">
        <v>27500</v>
      </c>
      <c r="F259">
        <v>2.8936000000000002</v>
      </c>
    </row>
    <row r="260" spans="1:6" x14ac:dyDescent="0.25">
      <c r="A260">
        <v>27600</v>
      </c>
      <c r="B260">
        <v>3.5587</v>
      </c>
      <c r="E260">
        <v>27600</v>
      </c>
      <c r="F260">
        <v>2.8963999999999999</v>
      </c>
    </row>
    <row r="261" spans="1:6" x14ac:dyDescent="0.25">
      <c r="A261">
        <v>27700</v>
      </c>
      <c r="B261">
        <v>3.5608</v>
      </c>
      <c r="E261">
        <v>27700</v>
      </c>
      <c r="F261">
        <v>2.8990999999999998</v>
      </c>
    </row>
    <row r="262" spans="1:6" x14ac:dyDescent="0.25">
      <c r="A262">
        <v>27800</v>
      </c>
      <c r="B262">
        <v>3.5629</v>
      </c>
      <c r="E262">
        <v>27800</v>
      </c>
      <c r="F262">
        <v>2.9018000000000002</v>
      </c>
    </row>
    <row r="263" spans="1:6" x14ac:dyDescent="0.25">
      <c r="A263">
        <v>27900</v>
      </c>
      <c r="B263">
        <v>3.5651000000000002</v>
      </c>
      <c r="E263">
        <v>27900</v>
      </c>
      <c r="F263">
        <v>2.9045000000000001</v>
      </c>
    </row>
    <row r="264" spans="1:6" x14ac:dyDescent="0.25">
      <c r="A264">
        <v>28000</v>
      </c>
      <c r="B264">
        <v>3.5670999999999999</v>
      </c>
      <c r="E264">
        <v>28000</v>
      </c>
      <c r="F264">
        <v>2.9070999999999998</v>
      </c>
    </row>
    <row r="265" spans="1:6" x14ac:dyDescent="0.25">
      <c r="A265">
        <v>28100</v>
      </c>
      <c r="B265">
        <v>3.5691999999999999</v>
      </c>
      <c r="E265">
        <v>28100</v>
      </c>
      <c r="F265">
        <v>2.9098000000000002</v>
      </c>
    </row>
    <row r="266" spans="1:6" x14ac:dyDescent="0.25">
      <c r="A266">
        <v>28200</v>
      </c>
      <c r="B266">
        <v>3.5712999999999999</v>
      </c>
      <c r="E266">
        <v>28200</v>
      </c>
      <c r="F266">
        <v>2.9123999999999999</v>
      </c>
    </row>
    <row r="267" spans="1:6" x14ac:dyDescent="0.25">
      <c r="A267">
        <v>28300</v>
      </c>
      <c r="B267">
        <v>3.5733000000000001</v>
      </c>
      <c r="E267">
        <v>28300</v>
      </c>
      <c r="F267">
        <v>2.915</v>
      </c>
    </row>
    <row r="268" spans="1:6" x14ac:dyDescent="0.25">
      <c r="A268">
        <v>28400</v>
      </c>
      <c r="B268">
        <v>3.5754000000000001</v>
      </c>
      <c r="E268">
        <v>28400</v>
      </c>
      <c r="F268">
        <v>2.9176000000000002</v>
      </c>
    </row>
    <row r="269" spans="1:6" x14ac:dyDescent="0.25">
      <c r="A269">
        <v>28500</v>
      </c>
      <c r="B269">
        <v>3.5773999999999999</v>
      </c>
      <c r="E269">
        <v>28500</v>
      </c>
      <c r="F269">
        <v>2.9201999999999999</v>
      </c>
    </row>
    <row r="270" spans="1:6" x14ac:dyDescent="0.25">
      <c r="A270">
        <v>28600</v>
      </c>
      <c r="B270">
        <v>3.5794000000000001</v>
      </c>
      <c r="E270">
        <v>28600</v>
      </c>
      <c r="F270">
        <v>2.9226999999999999</v>
      </c>
    </row>
    <row r="271" spans="1:6" x14ac:dyDescent="0.25">
      <c r="A271">
        <v>28700</v>
      </c>
      <c r="B271">
        <v>3.5813999999999999</v>
      </c>
      <c r="E271">
        <v>28700</v>
      </c>
      <c r="F271">
        <v>2.9253</v>
      </c>
    </row>
    <row r="272" spans="1:6" x14ac:dyDescent="0.25">
      <c r="A272">
        <v>28800</v>
      </c>
      <c r="B272">
        <v>3.5832999999999999</v>
      </c>
      <c r="E272">
        <v>28800</v>
      </c>
      <c r="F272">
        <v>2.9278</v>
      </c>
    </row>
    <row r="273" spans="1:6" x14ac:dyDescent="0.25">
      <c r="A273">
        <v>28900</v>
      </c>
      <c r="B273">
        <v>3.5853000000000002</v>
      </c>
      <c r="E273">
        <v>28900</v>
      </c>
      <c r="F273">
        <v>2.9302999999999999</v>
      </c>
    </row>
    <row r="274" spans="1:6" x14ac:dyDescent="0.25">
      <c r="A274">
        <v>29000</v>
      </c>
      <c r="B274">
        <v>3.5872000000000002</v>
      </c>
      <c r="E274">
        <v>29000</v>
      </c>
      <c r="F274">
        <v>2.9327999999999999</v>
      </c>
    </row>
    <row r="275" spans="1:6" x14ac:dyDescent="0.25">
      <c r="A275">
        <v>29100</v>
      </c>
      <c r="B275">
        <v>3.5891999999999999</v>
      </c>
      <c r="E275">
        <v>29100</v>
      </c>
      <c r="F275">
        <v>2.9352</v>
      </c>
    </row>
    <row r="276" spans="1:6" x14ac:dyDescent="0.25">
      <c r="A276">
        <v>29200</v>
      </c>
      <c r="B276">
        <v>3.5911</v>
      </c>
      <c r="E276">
        <v>29200</v>
      </c>
      <c r="F276">
        <v>2.9377</v>
      </c>
    </row>
    <row r="277" spans="1:6" x14ac:dyDescent="0.25">
      <c r="A277">
        <v>29300</v>
      </c>
      <c r="B277">
        <v>3.593</v>
      </c>
      <c r="E277">
        <v>29300</v>
      </c>
      <c r="F277">
        <v>2.9401000000000002</v>
      </c>
    </row>
    <row r="278" spans="1:6" x14ac:dyDescent="0.25">
      <c r="A278">
        <v>29400</v>
      </c>
      <c r="B278">
        <v>3.5949</v>
      </c>
      <c r="E278">
        <v>29400</v>
      </c>
      <c r="F278">
        <v>2.9424999999999999</v>
      </c>
    </row>
    <row r="279" spans="1:6" x14ac:dyDescent="0.25">
      <c r="A279">
        <v>29500</v>
      </c>
      <c r="B279">
        <v>3.5968</v>
      </c>
      <c r="E279">
        <v>29500</v>
      </c>
      <c r="F279">
        <v>2.9449000000000001</v>
      </c>
    </row>
    <row r="280" spans="1:6" x14ac:dyDescent="0.25">
      <c r="A280">
        <v>29600</v>
      </c>
      <c r="B280">
        <v>3.5985999999999998</v>
      </c>
      <c r="E280">
        <v>29600</v>
      </c>
      <c r="F280">
        <v>2.9472999999999998</v>
      </c>
    </row>
    <row r="281" spans="1:6" x14ac:dyDescent="0.25">
      <c r="A281">
        <v>29700</v>
      </c>
      <c r="B281">
        <v>3.6004999999999998</v>
      </c>
      <c r="E281">
        <v>29700</v>
      </c>
      <c r="F281">
        <v>2.9497</v>
      </c>
    </row>
    <row r="282" spans="1:6" x14ac:dyDescent="0.25">
      <c r="A282">
        <v>29800</v>
      </c>
      <c r="B282">
        <v>3.6023000000000001</v>
      </c>
      <c r="E282">
        <v>29800</v>
      </c>
      <c r="F282">
        <v>2.952</v>
      </c>
    </row>
    <row r="283" spans="1:6" x14ac:dyDescent="0.25">
      <c r="A283">
        <v>29900</v>
      </c>
      <c r="B283">
        <v>3.6042000000000001</v>
      </c>
      <c r="E283">
        <v>29900</v>
      </c>
      <c r="F283">
        <v>2.9542999999999999</v>
      </c>
    </row>
    <row r="284" spans="1:6" x14ac:dyDescent="0.25">
      <c r="A284">
        <v>30000</v>
      </c>
      <c r="B284">
        <v>3.6059999999999999</v>
      </c>
      <c r="E284">
        <v>30000</v>
      </c>
      <c r="F284">
        <v>2.9567000000000001</v>
      </c>
    </row>
    <row r="285" spans="1:6" x14ac:dyDescent="0.25">
      <c r="A285">
        <v>30100</v>
      </c>
      <c r="B285">
        <v>3.6078000000000001</v>
      </c>
      <c r="E285">
        <v>30100</v>
      </c>
      <c r="F285">
        <v>2.9590000000000001</v>
      </c>
    </row>
    <row r="286" spans="1:6" x14ac:dyDescent="0.25">
      <c r="A286">
        <v>30200</v>
      </c>
      <c r="B286">
        <v>3.6095999999999999</v>
      </c>
      <c r="E286">
        <v>30200</v>
      </c>
      <c r="F286">
        <v>2.9613</v>
      </c>
    </row>
    <row r="287" spans="1:6" x14ac:dyDescent="0.25">
      <c r="A287">
        <v>30300</v>
      </c>
      <c r="B287">
        <v>3.6114000000000002</v>
      </c>
      <c r="E287">
        <v>30300</v>
      </c>
      <c r="F287">
        <v>2.9634999999999998</v>
      </c>
    </row>
    <row r="288" spans="1:6" x14ac:dyDescent="0.25">
      <c r="A288">
        <v>30400</v>
      </c>
      <c r="B288">
        <v>3.6132</v>
      </c>
      <c r="E288">
        <v>30400</v>
      </c>
      <c r="F288">
        <v>2.9658000000000002</v>
      </c>
    </row>
    <row r="289" spans="1:6" x14ac:dyDescent="0.25">
      <c r="A289">
        <v>30500</v>
      </c>
      <c r="B289">
        <v>3.6149</v>
      </c>
      <c r="E289">
        <v>30500</v>
      </c>
      <c r="F289">
        <v>2.968</v>
      </c>
    </row>
    <row r="290" spans="1:6" x14ac:dyDescent="0.25">
      <c r="A290">
        <v>30600</v>
      </c>
      <c r="B290">
        <v>3.6166999999999998</v>
      </c>
      <c r="E290">
        <v>30600</v>
      </c>
      <c r="F290">
        <v>2.9702999999999999</v>
      </c>
    </row>
    <row r="291" spans="1:6" x14ac:dyDescent="0.25">
      <c r="A291">
        <v>30700</v>
      </c>
      <c r="B291">
        <v>3.6183999999999998</v>
      </c>
      <c r="E291">
        <v>30700</v>
      </c>
      <c r="F291">
        <v>2.9725000000000001</v>
      </c>
    </row>
    <row r="292" spans="1:6" x14ac:dyDescent="0.25">
      <c r="A292">
        <v>30800</v>
      </c>
      <c r="B292">
        <v>3.6200999999999999</v>
      </c>
      <c r="E292">
        <v>30800</v>
      </c>
      <c r="F292">
        <v>2.9746999999999999</v>
      </c>
    </row>
    <row r="293" spans="1:6" x14ac:dyDescent="0.25">
      <c r="A293">
        <v>30900</v>
      </c>
      <c r="B293">
        <v>3.6217999999999999</v>
      </c>
      <c r="E293">
        <v>30900</v>
      </c>
      <c r="F293">
        <v>2.9769000000000001</v>
      </c>
    </row>
    <row r="294" spans="1:6" x14ac:dyDescent="0.25">
      <c r="A294">
        <v>31000</v>
      </c>
      <c r="B294">
        <v>3.6234999999999999</v>
      </c>
      <c r="E294">
        <v>31000</v>
      </c>
      <c r="F294">
        <v>2.9790000000000001</v>
      </c>
    </row>
    <row r="295" spans="1:6" x14ac:dyDescent="0.25">
      <c r="A295">
        <v>31100</v>
      </c>
      <c r="B295">
        <v>3.6252</v>
      </c>
      <c r="E295">
        <v>31100</v>
      </c>
      <c r="F295">
        <v>2.9811999999999999</v>
      </c>
    </row>
    <row r="296" spans="1:6" x14ac:dyDescent="0.25">
      <c r="A296">
        <v>31200</v>
      </c>
      <c r="B296">
        <v>3.6269</v>
      </c>
      <c r="E296">
        <v>31200</v>
      </c>
      <c r="F296">
        <v>2.9832999999999998</v>
      </c>
    </row>
    <row r="297" spans="1:6" x14ac:dyDescent="0.25">
      <c r="A297">
        <v>31300</v>
      </c>
      <c r="B297">
        <v>3.6286</v>
      </c>
      <c r="E297">
        <v>31300</v>
      </c>
      <c r="F297">
        <v>2.9855</v>
      </c>
    </row>
    <row r="298" spans="1:6" x14ac:dyDescent="0.25">
      <c r="A298">
        <v>31400</v>
      </c>
      <c r="B298">
        <v>3.6303000000000001</v>
      </c>
      <c r="E298">
        <v>31400</v>
      </c>
      <c r="F298">
        <v>2.9876</v>
      </c>
    </row>
    <row r="299" spans="1:6" x14ac:dyDescent="0.25">
      <c r="A299">
        <v>31500</v>
      </c>
      <c r="B299">
        <v>3.6318999999999999</v>
      </c>
      <c r="E299">
        <v>31500</v>
      </c>
      <c r="F299">
        <v>2.9897</v>
      </c>
    </row>
    <row r="300" spans="1:6" x14ac:dyDescent="0.25">
      <c r="A300">
        <v>31600</v>
      </c>
      <c r="B300">
        <v>3.6335000000000002</v>
      </c>
      <c r="E300">
        <v>31600</v>
      </c>
      <c r="F300">
        <v>2.9918</v>
      </c>
    </row>
    <row r="301" spans="1:6" x14ac:dyDescent="0.25">
      <c r="A301">
        <v>31700</v>
      </c>
      <c r="B301">
        <v>3.6352000000000002</v>
      </c>
      <c r="E301">
        <v>31700</v>
      </c>
      <c r="F301">
        <v>2.9937999999999998</v>
      </c>
    </row>
    <row r="302" spans="1:6" x14ac:dyDescent="0.25">
      <c r="A302">
        <v>31800</v>
      </c>
      <c r="B302">
        <v>3.6368</v>
      </c>
      <c r="E302">
        <v>31800</v>
      </c>
      <c r="F302">
        <v>2.9958999999999998</v>
      </c>
    </row>
    <row r="303" spans="1:6" x14ac:dyDescent="0.25">
      <c r="A303">
        <v>31900</v>
      </c>
      <c r="B303">
        <v>3.6393</v>
      </c>
      <c r="E303">
        <v>31900</v>
      </c>
      <c r="F303">
        <v>2.9984000000000002</v>
      </c>
    </row>
    <row r="304" spans="1:6" x14ac:dyDescent="0.25">
      <c r="A304">
        <v>32000</v>
      </c>
      <c r="B304">
        <v>3.6419000000000001</v>
      </c>
      <c r="E304">
        <v>32000</v>
      </c>
      <c r="F304">
        <v>3.0009000000000001</v>
      </c>
    </row>
    <row r="305" spans="1:6" x14ac:dyDescent="0.25">
      <c r="A305">
        <v>32100</v>
      </c>
      <c r="B305">
        <v>3.6444000000000001</v>
      </c>
      <c r="E305">
        <v>32100</v>
      </c>
      <c r="F305">
        <v>3.0034000000000001</v>
      </c>
    </row>
    <row r="306" spans="1:6" x14ac:dyDescent="0.25">
      <c r="A306">
        <v>32200</v>
      </c>
      <c r="B306">
        <v>3.6469</v>
      </c>
      <c r="E306">
        <v>32200</v>
      </c>
      <c r="F306">
        <v>3.0059</v>
      </c>
    </row>
    <row r="307" spans="1:6" x14ac:dyDescent="0.25">
      <c r="A307">
        <v>32300</v>
      </c>
      <c r="B307">
        <v>3.6494</v>
      </c>
      <c r="E307">
        <v>32300</v>
      </c>
      <c r="F307">
        <v>3.0084</v>
      </c>
    </row>
    <row r="308" spans="1:6" x14ac:dyDescent="0.25">
      <c r="A308">
        <v>32400</v>
      </c>
      <c r="B308">
        <v>3.6518999999999999</v>
      </c>
      <c r="E308">
        <v>32400</v>
      </c>
      <c r="F308">
        <v>3.0108000000000001</v>
      </c>
    </row>
    <row r="309" spans="1:6" x14ac:dyDescent="0.25">
      <c r="A309">
        <v>32500</v>
      </c>
      <c r="B309">
        <v>3.6543000000000001</v>
      </c>
      <c r="E309">
        <v>32500</v>
      </c>
      <c r="F309">
        <v>3.0131999999999999</v>
      </c>
    </row>
    <row r="310" spans="1:6" x14ac:dyDescent="0.25">
      <c r="A310">
        <v>32600</v>
      </c>
      <c r="B310">
        <v>3.6566999999999998</v>
      </c>
      <c r="E310">
        <v>32600</v>
      </c>
      <c r="F310">
        <v>3.0156000000000001</v>
      </c>
    </row>
    <row r="311" spans="1:6" x14ac:dyDescent="0.25">
      <c r="A311">
        <v>32700</v>
      </c>
      <c r="B311">
        <v>3.6591999999999998</v>
      </c>
      <c r="E311">
        <v>32700</v>
      </c>
      <c r="F311">
        <v>3.0179999999999998</v>
      </c>
    </row>
    <row r="312" spans="1:6" x14ac:dyDescent="0.25">
      <c r="A312">
        <v>32800</v>
      </c>
      <c r="B312">
        <v>3.6616</v>
      </c>
      <c r="E312">
        <v>32800</v>
      </c>
      <c r="F312">
        <v>3.0204</v>
      </c>
    </row>
    <row r="313" spans="1:6" x14ac:dyDescent="0.25">
      <c r="A313">
        <v>32900</v>
      </c>
      <c r="B313">
        <v>3.6640000000000001</v>
      </c>
      <c r="E313">
        <v>32900</v>
      </c>
      <c r="F313">
        <v>3.0228000000000002</v>
      </c>
    </row>
    <row r="314" spans="1:6" x14ac:dyDescent="0.25">
      <c r="A314">
        <v>33000</v>
      </c>
      <c r="B314">
        <v>3.6663999999999999</v>
      </c>
      <c r="E314">
        <v>33000</v>
      </c>
      <c r="F314">
        <v>3.0251999999999999</v>
      </c>
    </row>
    <row r="315" spans="1:6" x14ac:dyDescent="0.25">
      <c r="A315">
        <v>33100</v>
      </c>
      <c r="B315">
        <v>3.6686999999999999</v>
      </c>
      <c r="E315">
        <v>33100</v>
      </c>
      <c r="F315">
        <v>3.0274999999999999</v>
      </c>
    </row>
    <row r="316" spans="1:6" x14ac:dyDescent="0.25">
      <c r="A316">
        <v>33200</v>
      </c>
      <c r="B316">
        <v>3.6711</v>
      </c>
      <c r="E316">
        <v>33200</v>
      </c>
      <c r="F316">
        <v>3.0297999999999998</v>
      </c>
    </row>
    <row r="317" spans="1:6" x14ac:dyDescent="0.25">
      <c r="A317">
        <v>33300</v>
      </c>
      <c r="B317">
        <v>3.6734</v>
      </c>
      <c r="E317">
        <v>33300</v>
      </c>
      <c r="F317">
        <v>3.0320999999999998</v>
      </c>
    </row>
    <row r="318" spans="1:6" x14ac:dyDescent="0.25">
      <c r="A318">
        <v>33400</v>
      </c>
      <c r="B318">
        <v>3.6757</v>
      </c>
      <c r="E318">
        <v>33400</v>
      </c>
      <c r="F318">
        <v>3.0344000000000002</v>
      </c>
    </row>
    <row r="319" spans="1:6" x14ac:dyDescent="0.25">
      <c r="A319">
        <v>33500</v>
      </c>
      <c r="B319">
        <v>3.6781000000000001</v>
      </c>
      <c r="E319">
        <v>33500</v>
      </c>
      <c r="F319">
        <v>3.0367000000000002</v>
      </c>
    </row>
    <row r="320" spans="1:6" x14ac:dyDescent="0.25">
      <c r="A320">
        <v>33600</v>
      </c>
      <c r="B320">
        <v>3.6804000000000001</v>
      </c>
      <c r="E320">
        <v>33600</v>
      </c>
      <c r="F320">
        <v>3.0390000000000001</v>
      </c>
    </row>
    <row r="321" spans="1:6" x14ac:dyDescent="0.25">
      <c r="A321">
        <v>33700</v>
      </c>
      <c r="B321">
        <v>3.6825999999999999</v>
      </c>
      <c r="E321">
        <v>33700</v>
      </c>
      <c r="F321">
        <v>3.0411999999999999</v>
      </c>
    </row>
    <row r="322" spans="1:6" x14ac:dyDescent="0.25">
      <c r="A322">
        <v>33800</v>
      </c>
      <c r="B322">
        <v>3.6848999999999998</v>
      </c>
      <c r="E322">
        <v>33800</v>
      </c>
      <c r="F322">
        <v>3.0434999999999999</v>
      </c>
    </row>
    <row r="323" spans="1:6" x14ac:dyDescent="0.25">
      <c r="A323">
        <v>33900</v>
      </c>
      <c r="B323">
        <v>3.6871999999999998</v>
      </c>
      <c r="E323">
        <v>33900</v>
      </c>
      <c r="F323">
        <v>3.0457000000000001</v>
      </c>
    </row>
    <row r="324" spans="1:6" x14ac:dyDescent="0.25">
      <c r="A324">
        <v>34000</v>
      </c>
      <c r="B324">
        <v>3.6894</v>
      </c>
      <c r="E324">
        <v>34000</v>
      </c>
      <c r="F324">
        <v>3.0478999999999998</v>
      </c>
    </row>
    <row r="325" spans="1:6" x14ac:dyDescent="0.25">
      <c r="A325">
        <v>34100</v>
      </c>
      <c r="B325">
        <v>3.6916000000000002</v>
      </c>
      <c r="E325">
        <v>34100</v>
      </c>
      <c r="F325">
        <v>3.0501</v>
      </c>
    </row>
    <row r="326" spans="1:6" x14ac:dyDescent="0.25">
      <c r="A326">
        <v>34200</v>
      </c>
      <c r="B326">
        <v>3.6939000000000002</v>
      </c>
      <c r="E326">
        <v>34200</v>
      </c>
      <c r="F326">
        <v>3.0522999999999998</v>
      </c>
    </row>
    <row r="327" spans="1:6" x14ac:dyDescent="0.25">
      <c r="A327">
        <v>34300</v>
      </c>
      <c r="B327">
        <v>3.6960999999999999</v>
      </c>
      <c r="E327">
        <v>34300</v>
      </c>
      <c r="F327">
        <v>3.0545</v>
      </c>
    </row>
    <row r="328" spans="1:6" x14ac:dyDescent="0.25">
      <c r="A328">
        <v>34400</v>
      </c>
      <c r="B328">
        <v>3.6983000000000001</v>
      </c>
      <c r="E328">
        <v>34400</v>
      </c>
      <c r="F328">
        <v>3.0567000000000002</v>
      </c>
    </row>
    <row r="329" spans="1:6" x14ac:dyDescent="0.25">
      <c r="A329">
        <v>34500</v>
      </c>
      <c r="B329">
        <v>3.7004000000000001</v>
      </c>
      <c r="E329">
        <v>34500</v>
      </c>
      <c r="F329">
        <v>3.0588000000000002</v>
      </c>
    </row>
    <row r="330" spans="1:6" x14ac:dyDescent="0.25">
      <c r="A330">
        <v>34600</v>
      </c>
      <c r="B330">
        <v>3.7025999999999999</v>
      </c>
      <c r="E330">
        <v>34600</v>
      </c>
      <c r="F330">
        <v>3.0609999999999999</v>
      </c>
    </row>
    <row r="331" spans="1:6" x14ac:dyDescent="0.25">
      <c r="A331">
        <v>34700</v>
      </c>
      <c r="B331">
        <v>3.7048000000000001</v>
      </c>
      <c r="E331">
        <v>34700</v>
      </c>
      <c r="F331">
        <v>3.0630999999999999</v>
      </c>
    </row>
    <row r="332" spans="1:6" x14ac:dyDescent="0.25">
      <c r="A332">
        <v>34800</v>
      </c>
      <c r="B332">
        <v>3.7069000000000001</v>
      </c>
      <c r="E332">
        <v>34800</v>
      </c>
      <c r="F332">
        <v>3.0651999999999999</v>
      </c>
    </row>
    <row r="333" spans="1:6" x14ac:dyDescent="0.25">
      <c r="A333">
        <v>34900</v>
      </c>
      <c r="B333">
        <v>3.7090000000000001</v>
      </c>
      <c r="E333">
        <v>34900</v>
      </c>
      <c r="F333">
        <v>3.0672999999999999</v>
      </c>
    </row>
    <row r="334" spans="1:6" x14ac:dyDescent="0.25">
      <c r="A334">
        <v>35000</v>
      </c>
      <c r="B334">
        <v>3.7111000000000001</v>
      </c>
      <c r="E334">
        <v>35000</v>
      </c>
      <c r="F334">
        <v>3.0693999999999999</v>
      </c>
    </row>
    <row r="335" spans="1:6" x14ac:dyDescent="0.25">
      <c r="A335">
        <v>35100</v>
      </c>
      <c r="B335">
        <v>3.7132000000000001</v>
      </c>
      <c r="E335">
        <v>35100</v>
      </c>
      <c r="F335">
        <v>3.0714999999999999</v>
      </c>
    </row>
    <row r="336" spans="1:6" x14ac:dyDescent="0.25">
      <c r="A336">
        <v>35200</v>
      </c>
      <c r="B336">
        <v>3.7153</v>
      </c>
      <c r="E336">
        <v>35200</v>
      </c>
      <c r="F336">
        <v>3.0735999999999999</v>
      </c>
    </row>
    <row r="337" spans="1:6" x14ac:dyDescent="0.25">
      <c r="A337">
        <v>35300</v>
      </c>
      <c r="B337">
        <v>3.7174</v>
      </c>
      <c r="E337">
        <v>35300</v>
      </c>
      <c r="F337">
        <v>3.0756000000000001</v>
      </c>
    </row>
    <row r="338" spans="1:6" x14ac:dyDescent="0.25">
      <c r="A338">
        <v>35400</v>
      </c>
      <c r="B338">
        <v>3.7195</v>
      </c>
      <c r="E338">
        <v>35400</v>
      </c>
      <c r="F338">
        <v>3.0777000000000001</v>
      </c>
    </row>
    <row r="339" spans="1:6" x14ac:dyDescent="0.25">
      <c r="A339">
        <v>35500</v>
      </c>
      <c r="B339">
        <v>3.7214999999999998</v>
      </c>
      <c r="E339">
        <v>35500</v>
      </c>
      <c r="F339">
        <v>3.0796999999999999</v>
      </c>
    </row>
    <row r="340" spans="1:6" x14ac:dyDescent="0.25">
      <c r="A340">
        <v>35600</v>
      </c>
      <c r="B340">
        <v>3.7235999999999998</v>
      </c>
      <c r="E340">
        <v>35600</v>
      </c>
      <c r="F340">
        <v>3.0817000000000001</v>
      </c>
    </row>
    <row r="341" spans="1:6" x14ac:dyDescent="0.25">
      <c r="A341">
        <v>35700</v>
      </c>
      <c r="B341">
        <v>3.7256</v>
      </c>
      <c r="E341">
        <v>35700</v>
      </c>
      <c r="F341">
        <v>3.0838000000000001</v>
      </c>
    </row>
    <row r="342" spans="1:6" x14ac:dyDescent="0.25">
      <c r="A342">
        <v>35800</v>
      </c>
      <c r="B342">
        <v>3.7277</v>
      </c>
      <c r="E342">
        <v>35800</v>
      </c>
      <c r="F342">
        <v>3.0857999999999999</v>
      </c>
    </row>
    <row r="343" spans="1:6" x14ac:dyDescent="0.25">
      <c r="A343">
        <v>35900</v>
      </c>
      <c r="B343">
        <v>3.7296999999999998</v>
      </c>
      <c r="E343">
        <v>35900</v>
      </c>
      <c r="F343">
        <v>3.0876999999999999</v>
      </c>
    </row>
    <row r="344" spans="1:6" x14ac:dyDescent="0.25">
      <c r="A344">
        <v>36000</v>
      </c>
      <c r="B344">
        <v>3.7317</v>
      </c>
      <c r="E344">
        <v>36000</v>
      </c>
      <c r="F344">
        <v>3.0897000000000001</v>
      </c>
    </row>
    <row r="345" spans="1:6" x14ac:dyDescent="0.25">
      <c r="A345">
        <v>36100</v>
      </c>
      <c r="B345">
        <v>3.7336999999999998</v>
      </c>
      <c r="E345">
        <v>36100</v>
      </c>
      <c r="F345">
        <v>3.0916999999999999</v>
      </c>
    </row>
    <row r="346" spans="1:6" x14ac:dyDescent="0.25">
      <c r="A346">
        <v>36200</v>
      </c>
      <c r="B346">
        <v>3.7355999999999998</v>
      </c>
      <c r="E346">
        <v>36200</v>
      </c>
      <c r="F346">
        <v>3.0935999999999999</v>
      </c>
    </row>
    <row r="347" spans="1:6" x14ac:dyDescent="0.25">
      <c r="A347">
        <v>36300</v>
      </c>
      <c r="B347">
        <v>3.7376</v>
      </c>
      <c r="E347">
        <v>36300</v>
      </c>
      <c r="F347">
        <v>3.0956000000000001</v>
      </c>
    </row>
    <row r="348" spans="1:6" x14ac:dyDescent="0.25">
      <c r="A348">
        <v>36400</v>
      </c>
      <c r="B348">
        <v>3.7395999999999998</v>
      </c>
      <c r="E348">
        <v>36400</v>
      </c>
      <c r="F348">
        <v>3.0975000000000001</v>
      </c>
    </row>
    <row r="349" spans="1:6" x14ac:dyDescent="0.25">
      <c r="A349">
        <v>36500</v>
      </c>
      <c r="B349">
        <v>3.7414999999999998</v>
      </c>
      <c r="E349">
        <v>36500</v>
      </c>
      <c r="F349">
        <v>3.0994999999999999</v>
      </c>
    </row>
    <row r="350" spans="1:6" x14ac:dyDescent="0.25">
      <c r="A350">
        <v>36600</v>
      </c>
      <c r="B350">
        <v>3.7433999999999998</v>
      </c>
      <c r="E350">
        <v>36600</v>
      </c>
      <c r="F350">
        <v>3.1013999999999999</v>
      </c>
    </row>
    <row r="351" spans="1:6" x14ac:dyDescent="0.25">
      <c r="A351">
        <v>36700</v>
      </c>
      <c r="B351">
        <v>3.7454000000000001</v>
      </c>
      <c r="E351">
        <v>36700</v>
      </c>
      <c r="F351">
        <v>3.1032999999999999</v>
      </c>
    </row>
    <row r="352" spans="1:6" x14ac:dyDescent="0.25">
      <c r="A352">
        <v>36800</v>
      </c>
      <c r="B352">
        <v>3.7473000000000001</v>
      </c>
      <c r="E352">
        <v>36800</v>
      </c>
      <c r="F352">
        <v>3.1052</v>
      </c>
    </row>
    <row r="353" spans="1:6" x14ac:dyDescent="0.25">
      <c r="A353">
        <v>36900</v>
      </c>
      <c r="B353">
        <v>3.7492000000000001</v>
      </c>
      <c r="E353">
        <v>36900</v>
      </c>
      <c r="F353">
        <v>3.1070000000000002</v>
      </c>
    </row>
    <row r="354" spans="1:6" x14ac:dyDescent="0.25">
      <c r="A354">
        <v>37000</v>
      </c>
      <c r="B354">
        <v>3.7511000000000001</v>
      </c>
      <c r="E354">
        <v>37000</v>
      </c>
      <c r="F354">
        <v>3.1089000000000002</v>
      </c>
    </row>
    <row r="355" spans="1:6" x14ac:dyDescent="0.25">
      <c r="A355">
        <v>37100</v>
      </c>
      <c r="B355">
        <v>3.7530000000000001</v>
      </c>
      <c r="E355">
        <v>37100</v>
      </c>
      <c r="F355">
        <v>3.1107999999999998</v>
      </c>
    </row>
    <row r="356" spans="1:6" x14ac:dyDescent="0.25">
      <c r="A356">
        <v>37200</v>
      </c>
      <c r="B356">
        <v>3.7547999999999999</v>
      </c>
      <c r="E356">
        <v>37200</v>
      </c>
      <c r="F356">
        <v>3.1126</v>
      </c>
    </row>
    <row r="357" spans="1:6" x14ac:dyDescent="0.25">
      <c r="A357">
        <v>37300</v>
      </c>
      <c r="B357">
        <v>3.7566999999999999</v>
      </c>
      <c r="E357">
        <v>37300</v>
      </c>
      <c r="F357">
        <v>3.1145</v>
      </c>
    </row>
    <row r="358" spans="1:6" x14ac:dyDescent="0.25">
      <c r="A358">
        <v>37400</v>
      </c>
      <c r="B358">
        <v>3.7585999999999999</v>
      </c>
      <c r="E358">
        <v>37400</v>
      </c>
      <c r="F358">
        <v>3.1162999999999998</v>
      </c>
    </row>
    <row r="359" spans="1:6" x14ac:dyDescent="0.25">
      <c r="A359">
        <v>37500</v>
      </c>
      <c r="B359">
        <v>3.7604000000000002</v>
      </c>
      <c r="E359">
        <v>37500</v>
      </c>
      <c r="F359">
        <v>3.1181000000000001</v>
      </c>
    </row>
    <row r="360" spans="1:6" x14ac:dyDescent="0.25">
      <c r="A360">
        <v>37600</v>
      </c>
      <c r="B360">
        <v>3.7622</v>
      </c>
      <c r="E360">
        <v>37600</v>
      </c>
      <c r="F360">
        <v>3.1198999999999999</v>
      </c>
    </row>
    <row r="361" spans="1:6" x14ac:dyDescent="0.25">
      <c r="A361">
        <v>37700</v>
      </c>
      <c r="B361">
        <v>3.7641</v>
      </c>
      <c r="E361">
        <v>37700</v>
      </c>
      <c r="F361">
        <v>3.1217999999999999</v>
      </c>
    </row>
    <row r="362" spans="1:6" x14ac:dyDescent="0.25">
      <c r="A362">
        <v>37800</v>
      </c>
      <c r="B362">
        <v>3.7658999999999998</v>
      </c>
      <c r="E362">
        <v>37800</v>
      </c>
      <c r="F362">
        <v>3.1234999999999999</v>
      </c>
    </row>
    <row r="363" spans="1:6" x14ac:dyDescent="0.25">
      <c r="A363">
        <v>37900</v>
      </c>
      <c r="B363">
        <v>3.7677</v>
      </c>
      <c r="E363">
        <v>37900</v>
      </c>
      <c r="F363">
        <v>3.1253000000000002</v>
      </c>
    </row>
    <row r="364" spans="1:6" x14ac:dyDescent="0.25">
      <c r="A364">
        <v>38000</v>
      </c>
      <c r="B364">
        <v>3.7694999999999999</v>
      </c>
      <c r="E364">
        <v>38000</v>
      </c>
      <c r="F364">
        <v>3.1271</v>
      </c>
    </row>
    <row r="365" spans="1:6" x14ac:dyDescent="0.25">
      <c r="A365">
        <v>38100</v>
      </c>
      <c r="B365">
        <v>3.7713000000000001</v>
      </c>
      <c r="E365">
        <v>38100</v>
      </c>
      <c r="F365">
        <v>3.1288999999999998</v>
      </c>
    </row>
    <row r="366" spans="1:6" x14ac:dyDescent="0.25">
      <c r="A366">
        <v>38200</v>
      </c>
      <c r="B366">
        <v>3.7730000000000001</v>
      </c>
      <c r="E366">
        <v>38200</v>
      </c>
      <c r="F366">
        <v>3.1305999999999998</v>
      </c>
    </row>
    <row r="367" spans="1:6" x14ac:dyDescent="0.25">
      <c r="A367">
        <v>38300</v>
      </c>
      <c r="B367">
        <v>3.7747999999999999</v>
      </c>
      <c r="E367">
        <v>38300</v>
      </c>
      <c r="F367">
        <v>3.1324000000000001</v>
      </c>
    </row>
    <row r="368" spans="1:6" x14ac:dyDescent="0.25">
      <c r="A368">
        <v>38400</v>
      </c>
      <c r="B368">
        <v>3.7766000000000002</v>
      </c>
      <c r="E368">
        <v>38400</v>
      </c>
      <c r="F368">
        <v>3.1341000000000001</v>
      </c>
    </row>
    <row r="369" spans="1:6" x14ac:dyDescent="0.25">
      <c r="A369">
        <v>38500</v>
      </c>
      <c r="B369">
        <v>3.7783000000000002</v>
      </c>
      <c r="E369">
        <v>38500</v>
      </c>
      <c r="F369">
        <v>3.1358000000000001</v>
      </c>
    </row>
    <row r="370" spans="1:6" x14ac:dyDescent="0.25">
      <c r="A370">
        <v>38600</v>
      </c>
      <c r="B370">
        <v>3.7801</v>
      </c>
      <c r="E370">
        <v>38600</v>
      </c>
      <c r="F370">
        <v>3.1375999999999999</v>
      </c>
    </row>
    <row r="371" spans="1:6" x14ac:dyDescent="0.25">
      <c r="A371">
        <v>38700</v>
      </c>
      <c r="B371">
        <v>3.7818000000000001</v>
      </c>
      <c r="E371">
        <v>38700</v>
      </c>
      <c r="F371">
        <v>3.1393</v>
      </c>
    </row>
    <row r="372" spans="1:6" x14ac:dyDescent="0.25">
      <c r="A372">
        <v>38800</v>
      </c>
      <c r="B372">
        <v>3.7835000000000001</v>
      </c>
      <c r="E372">
        <v>38800</v>
      </c>
      <c r="F372">
        <v>3.141</v>
      </c>
    </row>
    <row r="373" spans="1:6" x14ac:dyDescent="0.25">
      <c r="A373">
        <v>38900</v>
      </c>
      <c r="B373">
        <v>3.7852000000000001</v>
      </c>
      <c r="E373">
        <v>38900</v>
      </c>
      <c r="F373">
        <v>3.1427</v>
      </c>
    </row>
    <row r="374" spans="1:6" x14ac:dyDescent="0.25">
      <c r="A374">
        <v>39000</v>
      </c>
      <c r="B374">
        <v>3.7869000000000002</v>
      </c>
      <c r="E374">
        <v>39000</v>
      </c>
      <c r="F374">
        <v>3.1444000000000001</v>
      </c>
    </row>
    <row r="375" spans="1:6" x14ac:dyDescent="0.25">
      <c r="A375">
        <v>39100</v>
      </c>
      <c r="B375">
        <v>3.7886000000000002</v>
      </c>
      <c r="E375">
        <v>39100</v>
      </c>
      <c r="F375">
        <v>3.1459999999999999</v>
      </c>
    </row>
    <row r="376" spans="1:6" x14ac:dyDescent="0.25">
      <c r="A376">
        <v>39200</v>
      </c>
      <c r="B376">
        <v>3.7902999999999998</v>
      </c>
      <c r="E376">
        <v>39200</v>
      </c>
      <c r="F376">
        <v>3.1476999999999999</v>
      </c>
    </row>
    <row r="377" spans="1:6" x14ac:dyDescent="0.25">
      <c r="A377">
        <v>39300</v>
      </c>
      <c r="B377">
        <v>3.7919999999999998</v>
      </c>
      <c r="E377">
        <v>39300</v>
      </c>
      <c r="F377">
        <v>3.1494</v>
      </c>
    </row>
    <row r="378" spans="1:6" x14ac:dyDescent="0.25">
      <c r="A378">
        <v>39400</v>
      </c>
      <c r="B378">
        <v>3.7936999999999999</v>
      </c>
      <c r="E378">
        <v>39400</v>
      </c>
      <c r="F378">
        <v>3.1509999999999998</v>
      </c>
    </row>
    <row r="379" spans="1:6" x14ac:dyDescent="0.25">
      <c r="A379">
        <v>39500</v>
      </c>
      <c r="B379">
        <v>3.7953000000000001</v>
      </c>
      <c r="E379">
        <v>39500</v>
      </c>
      <c r="F379">
        <v>3.1526999999999998</v>
      </c>
    </row>
    <row r="380" spans="1:6" x14ac:dyDescent="0.25">
      <c r="A380">
        <v>39600</v>
      </c>
      <c r="B380">
        <v>3.7970000000000002</v>
      </c>
      <c r="E380">
        <v>39600</v>
      </c>
      <c r="F380">
        <v>3.1543000000000001</v>
      </c>
    </row>
    <row r="381" spans="1:6" x14ac:dyDescent="0.25">
      <c r="A381">
        <v>39700</v>
      </c>
      <c r="B381">
        <v>3.7986</v>
      </c>
      <c r="E381">
        <v>39700</v>
      </c>
      <c r="F381">
        <v>3.1558999999999999</v>
      </c>
    </row>
    <row r="382" spans="1:6" x14ac:dyDescent="0.25">
      <c r="A382">
        <v>39800</v>
      </c>
      <c r="B382">
        <v>3.8003</v>
      </c>
      <c r="E382">
        <v>39800</v>
      </c>
      <c r="F382">
        <v>3.1575000000000002</v>
      </c>
    </row>
    <row r="383" spans="1:6" x14ac:dyDescent="0.25">
      <c r="A383">
        <v>39900</v>
      </c>
      <c r="B383">
        <v>3.8018999999999998</v>
      </c>
      <c r="E383">
        <v>39900</v>
      </c>
      <c r="F383">
        <v>3.1591</v>
      </c>
    </row>
    <row r="384" spans="1:6" x14ac:dyDescent="0.25">
      <c r="A384">
        <v>40000</v>
      </c>
      <c r="B384">
        <v>3.8035000000000001</v>
      </c>
      <c r="E384">
        <v>40000</v>
      </c>
      <c r="F384">
        <v>3.1608000000000001</v>
      </c>
    </row>
    <row r="385" spans="1:6" x14ac:dyDescent="0.25">
      <c r="A385">
        <v>40100</v>
      </c>
      <c r="B385">
        <v>3.8050999999999999</v>
      </c>
      <c r="E385">
        <v>40100</v>
      </c>
      <c r="F385">
        <v>3.1623000000000001</v>
      </c>
    </row>
    <row r="386" spans="1:6" x14ac:dyDescent="0.25">
      <c r="A386">
        <v>40200</v>
      </c>
      <c r="B386">
        <v>3.8067000000000002</v>
      </c>
      <c r="E386">
        <v>40200</v>
      </c>
      <c r="F386">
        <v>3.1638999999999999</v>
      </c>
    </row>
    <row r="387" spans="1:6" x14ac:dyDescent="0.25">
      <c r="A387">
        <v>40300</v>
      </c>
      <c r="B387">
        <v>3.8083</v>
      </c>
      <c r="E387">
        <v>40300</v>
      </c>
      <c r="F387">
        <v>3.1655000000000002</v>
      </c>
    </row>
    <row r="388" spans="1:6" x14ac:dyDescent="0.25">
      <c r="A388">
        <v>40400</v>
      </c>
      <c r="B388">
        <v>3.8098999999999998</v>
      </c>
      <c r="E388">
        <v>40400</v>
      </c>
      <c r="F388">
        <v>3.1671</v>
      </c>
    </row>
    <row r="389" spans="1:6" x14ac:dyDescent="0.25">
      <c r="A389">
        <v>40500</v>
      </c>
      <c r="B389">
        <v>3.8115000000000001</v>
      </c>
      <c r="E389">
        <v>40500</v>
      </c>
      <c r="F389">
        <v>3.1686000000000001</v>
      </c>
    </row>
    <row r="390" spans="1:6" x14ac:dyDescent="0.25">
      <c r="A390">
        <v>40600</v>
      </c>
      <c r="B390">
        <v>3.8130999999999999</v>
      </c>
      <c r="E390">
        <v>40600</v>
      </c>
      <c r="F390">
        <v>3.1701999999999999</v>
      </c>
    </row>
    <row r="391" spans="1:6" x14ac:dyDescent="0.25">
      <c r="A391">
        <v>40700</v>
      </c>
      <c r="B391">
        <v>3.8146</v>
      </c>
      <c r="E391">
        <v>40700</v>
      </c>
      <c r="F391">
        <v>3.1717</v>
      </c>
    </row>
    <row r="392" spans="1:6" x14ac:dyDescent="0.25">
      <c r="A392">
        <v>40800</v>
      </c>
      <c r="B392">
        <v>3.8161999999999998</v>
      </c>
      <c r="E392">
        <v>40800</v>
      </c>
      <c r="F392">
        <v>3.1732999999999998</v>
      </c>
    </row>
    <row r="393" spans="1:6" x14ac:dyDescent="0.25">
      <c r="A393">
        <v>40900</v>
      </c>
      <c r="B393">
        <v>3.8176999999999999</v>
      </c>
      <c r="E393">
        <v>40900</v>
      </c>
      <c r="F393">
        <v>3.1747999999999998</v>
      </c>
    </row>
    <row r="394" spans="1:6" x14ac:dyDescent="0.25">
      <c r="A394">
        <v>41000</v>
      </c>
      <c r="B394">
        <v>3.8193000000000001</v>
      </c>
      <c r="E394">
        <v>41000</v>
      </c>
      <c r="F394">
        <v>3.1762999999999999</v>
      </c>
    </row>
    <row r="395" spans="1:6" x14ac:dyDescent="0.25">
      <c r="A395">
        <v>41100</v>
      </c>
      <c r="B395">
        <v>3.8208000000000002</v>
      </c>
      <c r="E395">
        <v>41100</v>
      </c>
      <c r="F395">
        <v>3.1779000000000002</v>
      </c>
    </row>
    <row r="396" spans="1:6" x14ac:dyDescent="0.25">
      <c r="A396">
        <v>41200</v>
      </c>
      <c r="B396">
        <v>3.8222999999999998</v>
      </c>
      <c r="E396">
        <v>41200</v>
      </c>
      <c r="F396">
        <v>3.1793999999999998</v>
      </c>
    </row>
    <row r="397" spans="1:6" x14ac:dyDescent="0.25">
      <c r="A397">
        <v>41300</v>
      </c>
      <c r="B397">
        <v>3.8237999999999999</v>
      </c>
      <c r="E397">
        <v>41300</v>
      </c>
      <c r="F397">
        <v>3.1808999999999998</v>
      </c>
    </row>
    <row r="398" spans="1:6" x14ac:dyDescent="0.25">
      <c r="A398">
        <v>41400</v>
      </c>
      <c r="B398">
        <v>3.8254000000000001</v>
      </c>
      <c r="E398">
        <v>41400</v>
      </c>
      <c r="F398">
        <v>3.1823999999999999</v>
      </c>
    </row>
    <row r="399" spans="1:6" x14ac:dyDescent="0.25">
      <c r="A399">
        <v>41500</v>
      </c>
      <c r="B399">
        <v>3.8269000000000002</v>
      </c>
      <c r="E399">
        <v>41500</v>
      </c>
      <c r="F399">
        <v>3.1839</v>
      </c>
    </row>
    <row r="400" spans="1:6" x14ac:dyDescent="0.25">
      <c r="A400">
        <v>41600</v>
      </c>
      <c r="B400">
        <v>3.8283999999999998</v>
      </c>
      <c r="E400">
        <v>41600</v>
      </c>
      <c r="F400">
        <v>3.1852999999999998</v>
      </c>
    </row>
    <row r="401" spans="1:6" x14ac:dyDescent="0.25">
      <c r="A401">
        <v>41700</v>
      </c>
      <c r="B401">
        <v>3.8298999999999999</v>
      </c>
      <c r="E401">
        <v>41700</v>
      </c>
      <c r="F401">
        <v>3.1867999999999999</v>
      </c>
    </row>
    <row r="402" spans="1:6" x14ac:dyDescent="0.25">
      <c r="A402">
        <v>41800</v>
      </c>
      <c r="B402">
        <v>3.8313000000000001</v>
      </c>
      <c r="E402">
        <v>41800</v>
      </c>
      <c r="F402">
        <v>3.1882999999999999</v>
      </c>
    </row>
    <row r="403" spans="1:6" x14ac:dyDescent="0.25">
      <c r="A403">
        <v>41900</v>
      </c>
      <c r="B403">
        <v>3.8328000000000002</v>
      </c>
      <c r="E403">
        <v>41900</v>
      </c>
      <c r="F403">
        <v>3.1897000000000002</v>
      </c>
    </row>
    <row r="404" spans="1:6" x14ac:dyDescent="0.25">
      <c r="A404">
        <v>42000</v>
      </c>
      <c r="B404">
        <v>3.8342999999999998</v>
      </c>
      <c r="E404">
        <v>42000</v>
      </c>
      <c r="F404">
        <v>3.1911999999999998</v>
      </c>
    </row>
    <row r="405" spans="1:6" x14ac:dyDescent="0.25">
      <c r="A405">
        <v>42100</v>
      </c>
      <c r="B405">
        <v>3.8357000000000001</v>
      </c>
      <c r="E405">
        <v>42100</v>
      </c>
      <c r="F405">
        <v>3.1926000000000001</v>
      </c>
    </row>
    <row r="406" spans="1:6" x14ac:dyDescent="0.25">
      <c r="A406">
        <v>42200</v>
      </c>
      <c r="B406">
        <v>3.8372000000000002</v>
      </c>
      <c r="E406">
        <v>42200</v>
      </c>
      <c r="F406">
        <v>3.1941000000000002</v>
      </c>
    </row>
    <row r="407" spans="1:6" x14ac:dyDescent="0.25">
      <c r="A407">
        <v>42300</v>
      </c>
      <c r="B407">
        <v>3.8386999999999998</v>
      </c>
      <c r="E407">
        <v>42300</v>
      </c>
      <c r="F407">
        <v>3.1955</v>
      </c>
    </row>
    <row r="408" spans="1:6" x14ac:dyDescent="0.25">
      <c r="A408">
        <v>42400</v>
      </c>
      <c r="B408">
        <v>3.8401000000000001</v>
      </c>
      <c r="E408">
        <v>42400</v>
      </c>
      <c r="F408">
        <v>3.1968999999999999</v>
      </c>
    </row>
    <row r="409" spans="1:6" x14ac:dyDescent="0.25">
      <c r="A409">
        <v>42500</v>
      </c>
      <c r="B409">
        <v>3.8414999999999999</v>
      </c>
      <c r="E409">
        <v>42500</v>
      </c>
      <c r="F409">
        <v>3.1983999999999999</v>
      </c>
    </row>
    <row r="410" spans="1:6" x14ac:dyDescent="0.25">
      <c r="A410">
        <v>42600</v>
      </c>
      <c r="B410">
        <v>3.843</v>
      </c>
      <c r="E410">
        <v>42600</v>
      </c>
      <c r="F410">
        <v>3.1998000000000002</v>
      </c>
    </row>
    <row r="411" spans="1:6" x14ac:dyDescent="0.25">
      <c r="A411">
        <v>42700</v>
      </c>
      <c r="B411">
        <v>3.8443999999999998</v>
      </c>
      <c r="E411">
        <v>42700</v>
      </c>
      <c r="F411">
        <v>3.2012</v>
      </c>
    </row>
    <row r="412" spans="1:6" x14ac:dyDescent="0.25">
      <c r="A412">
        <v>42800</v>
      </c>
      <c r="B412">
        <v>3.8458000000000001</v>
      </c>
      <c r="E412">
        <v>42800</v>
      </c>
      <c r="F412">
        <v>3.2025999999999999</v>
      </c>
    </row>
    <row r="413" spans="1:6" x14ac:dyDescent="0.25">
      <c r="A413">
        <v>42900</v>
      </c>
      <c r="B413">
        <v>3.8472</v>
      </c>
      <c r="E413">
        <v>42900</v>
      </c>
      <c r="F413">
        <v>3.2040000000000002</v>
      </c>
    </row>
    <row r="414" spans="1:6" x14ac:dyDescent="0.25">
      <c r="A414">
        <v>43000</v>
      </c>
      <c r="B414">
        <v>3.8485999999999998</v>
      </c>
      <c r="E414">
        <v>43000</v>
      </c>
      <c r="F414">
        <v>3.2052999999999998</v>
      </c>
    </row>
    <row r="415" spans="1:6" x14ac:dyDescent="0.25">
      <c r="A415">
        <v>43100</v>
      </c>
      <c r="B415">
        <v>3.85</v>
      </c>
      <c r="E415">
        <v>43100</v>
      </c>
      <c r="F415">
        <v>3.2067000000000001</v>
      </c>
    </row>
    <row r="416" spans="1:6" x14ac:dyDescent="0.25">
      <c r="A416">
        <v>43200</v>
      </c>
      <c r="B416">
        <v>3.8513999999999999</v>
      </c>
      <c r="E416">
        <v>43200</v>
      </c>
      <c r="F416">
        <v>3.2081</v>
      </c>
    </row>
    <row r="417" spans="1:6" x14ac:dyDescent="0.25">
      <c r="A417">
        <v>43300</v>
      </c>
      <c r="B417">
        <v>3.8527999999999998</v>
      </c>
      <c r="E417">
        <v>43300</v>
      </c>
      <c r="F417">
        <v>3.2094999999999998</v>
      </c>
    </row>
    <row r="418" spans="1:6" x14ac:dyDescent="0.25">
      <c r="A418">
        <v>43400</v>
      </c>
      <c r="B418">
        <v>3.8540999999999999</v>
      </c>
      <c r="E418">
        <v>43400</v>
      </c>
      <c r="F418">
        <v>3.2107999999999999</v>
      </c>
    </row>
    <row r="419" spans="1:6" x14ac:dyDescent="0.25">
      <c r="A419">
        <v>43500</v>
      </c>
      <c r="B419">
        <v>3.8555000000000001</v>
      </c>
      <c r="E419">
        <v>43500</v>
      </c>
      <c r="F419">
        <v>3.2122000000000002</v>
      </c>
    </row>
    <row r="420" spans="1:6" x14ac:dyDescent="0.25">
      <c r="A420">
        <v>43600</v>
      </c>
      <c r="B420">
        <v>3.8569</v>
      </c>
      <c r="E420">
        <v>43600</v>
      </c>
      <c r="F420">
        <v>3.2134999999999998</v>
      </c>
    </row>
    <row r="421" spans="1:6" x14ac:dyDescent="0.25">
      <c r="A421">
        <v>43700</v>
      </c>
      <c r="B421">
        <v>3.8582000000000001</v>
      </c>
      <c r="E421">
        <v>43700</v>
      </c>
      <c r="F421">
        <v>3.2149000000000001</v>
      </c>
    </row>
    <row r="422" spans="1:6" x14ac:dyDescent="0.25">
      <c r="A422">
        <v>43800</v>
      </c>
      <c r="B422">
        <v>3.8595999999999999</v>
      </c>
      <c r="E422">
        <v>43800</v>
      </c>
      <c r="F422">
        <v>3.2162000000000002</v>
      </c>
    </row>
    <row r="423" spans="1:6" x14ac:dyDescent="0.25">
      <c r="A423">
        <v>43900</v>
      </c>
      <c r="B423">
        <v>3.8609</v>
      </c>
      <c r="E423">
        <v>43900</v>
      </c>
      <c r="F423">
        <v>3.2174999999999998</v>
      </c>
    </row>
    <row r="424" spans="1:6" x14ac:dyDescent="0.25">
      <c r="A424">
        <v>44000</v>
      </c>
      <c r="B424">
        <v>3.8622999999999998</v>
      </c>
      <c r="E424">
        <v>44000</v>
      </c>
      <c r="F424">
        <v>3.2189000000000001</v>
      </c>
    </row>
    <row r="425" spans="1:6" x14ac:dyDescent="0.25">
      <c r="A425">
        <v>44100</v>
      </c>
      <c r="B425">
        <v>3.8635999999999999</v>
      </c>
      <c r="E425">
        <v>44100</v>
      </c>
      <c r="F425">
        <v>3.2202000000000002</v>
      </c>
    </row>
    <row r="426" spans="1:6" x14ac:dyDescent="0.25">
      <c r="A426">
        <v>44200</v>
      </c>
      <c r="B426">
        <v>3.8649</v>
      </c>
      <c r="E426">
        <v>44200</v>
      </c>
      <c r="F426">
        <v>3.2214999999999998</v>
      </c>
    </row>
    <row r="427" spans="1:6" x14ac:dyDescent="0.25">
      <c r="A427">
        <v>44300</v>
      </c>
      <c r="B427">
        <v>3.8662999999999998</v>
      </c>
      <c r="E427">
        <v>44300</v>
      </c>
      <c r="F427">
        <v>3.2227999999999999</v>
      </c>
    </row>
    <row r="428" spans="1:6" x14ac:dyDescent="0.25">
      <c r="A428">
        <v>44400</v>
      </c>
      <c r="B428">
        <v>3.8675999999999999</v>
      </c>
      <c r="E428">
        <v>44400</v>
      </c>
      <c r="F428">
        <v>3.2241</v>
      </c>
    </row>
    <row r="429" spans="1:6" x14ac:dyDescent="0.25">
      <c r="A429">
        <v>44500</v>
      </c>
      <c r="B429">
        <v>3.8689</v>
      </c>
      <c r="E429">
        <v>44500</v>
      </c>
      <c r="F429">
        <v>3.2254</v>
      </c>
    </row>
    <row r="430" spans="1:6" x14ac:dyDescent="0.25">
      <c r="A430">
        <v>44600</v>
      </c>
      <c r="B430">
        <v>3.8702000000000001</v>
      </c>
      <c r="E430">
        <v>44600</v>
      </c>
      <c r="F430">
        <v>3.2267000000000001</v>
      </c>
    </row>
    <row r="431" spans="1:6" x14ac:dyDescent="0.25">
      <c r="A431">
        <v>44700</v>
      </c>
      <c r="B431">
        <v>3.8715000000000002</v>
      </c>
      <c r="E431">
        <v>44700</v>
      </c>
      <c r="F431">
        <v>3.2280000000000002</v>
      </c>
    </row>
    <row r="432" spans="1:6" x14ac:dyDescent="0.25">
      <c r="A432">
        <v>44800</v>
      </c>
      <c r="B432">
        <v>3.8727999999999998</v>
      </c>
      <c r="E432">
        <v>44800</v>
      </c>
      <c r="F432">
        <v>3.2292000000000001</v>
      </c>
    </row>
    <row r="433" spans="1:6" x14ac:dyDescent="0.25">
      <c r="A433">
        <v>44900</v>
      </c>
      <c r="B433">
        <v>3.8740999999999999</v>
      </c>
      <c r="E433">
        <v>44900</v>
      </c>
      <c r="F433">
        <v>3.2305000000000001</v>
      </c>
    </row>
    <row r="434" spans="1:6" x14ac:dyDescent="0.25">
      <c r="A434">
        <v>45000</v>
      </c>
      <c r="B434">
        <v>3.8753000000000002</v>
      </c>
      <c r="E434">
        <v>45000</v>
      </c>
      <c r="F434">
        <v>3.2317999999999998</v>
      </c>
    </row>
    <row r="435" spans="1:6" x14ac:dyDescent="0.25">
      <c r="A435">
        <v>45100</v>
      </c>
      <c r="B435">
        <v>3.8765999999999998</v>
      </c>
      <c r="E435">
        <v>45100</v>
      </c>
      <c r="F435">
        <v>3.2330000000000001</v>
      </c>
    </row>
    <row r="436" spans="1:6" x14ac:dyDescent="0.25">
      <c r="A436">
        <v>45200</v>
      </c>
      <c r="B436">
        <v>3.8778999999999999</v>
      </c>
      <c r="E436">
        <v>45200</v>
      </c>
      <c r="F436">
        <v>3.2343000000000002</v>
      </c>
    </row>
    <row r="437" spans="1:6" x14ac:dyDescent="0.25">
      <c r="A437">
        <v>45300</v>
      </c>
      <c r="B437">
        <v>3.8791000000000002</v>
      </c>
      <c r="E437">
        <v>45300</v>
      </c>
      <c r="F437">
        <v>3.2355</v>
      </c>
    </row>
    <row r="438" spans="1:6" x14ac:dyDescent="0.25">
      <c r="A438">
        <v>45400</v>
      </c>
      <c r="B438">
        <v>3.8803999999999998</v>
      </c>
      <c r="E438">
        <v>45400</v>
      </c>
      <c r="F438">
        <v>3.2368000000000001</v>
      </c>
    </row>
    <row r="439" spans="1:6" x14ac:dyDescent="0.25">
      <c r="A439">
        <v>45500</v>
      </c>
      <c r="B439">
        <v>3.8816000000000002</v>
      </c>
      <c r="E439">
        <v>45500</v>
      </c>
      <c r="F439">
        <v>3.238</v>
      </c>
    </row>
    <row r="440" spans="1:6" x14ac:dyDescent="0.25">
      <c r="A440">
        <v>45600</v>
      </c>
      <c r="B440">
        <v>3.8828999999999998</v>
      </c>
      <c r="E440">
        <v>45600</v>
      </c>
      <c r="F440">
        <v>3.2393000000000001</v>
      </c>
    </row>
    <row r="441" spans="1:6" x14ac:dyDescent="0.25">
      <c r="A441">
        <v>45700</v>
      </c>
      <c r="B441">
        <v>3.8841000000000001</v>
      </c>
      <c r="E441">
        <v>45700</v>
      </c>
      <c r="F441">
        <v>3.2404999999999999</v>
      </c>
    </row>
    <row r="442" spans="1:6" x14ac:dyDescent="0.25">
      <c r="A442">
        <v>45800</v>
      </c>
      <c r="B442">
        <v>3.8854000000000002</v>
      </c>
      <c r="E442">
        <v>45800</v>
      </c>
      <c r="F442">
        <v>3.2416999999999998</v>
      </c>
    </row>
    <row r="443" spans="1:6" x14ac:dyDescent="0.25">
      <c r="A443">
        <v>45900</v>
      </c>
      <c r="B443">
        <v>3.8866000000000001</v>
      </c>
      <c r="E443">
        <v>45900</v>
      </c>
      <c r="F443">
        <v>3.2429000000000001</v>
      </c>
    </row>
    <row r="444" spans="1:6" x14ac:dyDescent="0.25">
      <c r="A444">
        <v>46000</v>
      </c>
      <c r="B444">
        <v>3.8877999999999999</v>
      </c>
      <c r="E444">
        <v>46000</v>
      </c>
      <c r="F444">
        <v>3.2441</v>
      </c>
    </row>
    <row r="445" spans="1:6" x14ac:dyDescent="0.25">
      <c r="A445">
        <v>46100</v>
      </c>
      <c r="B445">
        <v>3.8889999999999998</v>
      </c>
      <c r="E445">
        <v>46100</v>
      </c>
      <c r="F445">
        <v>3.2452999999999999</v>
      </c>
    </row>
    <row r="446" spans="1:6" x14ac:dyDescent="0.25">
      <c r="A446">
        <v>46200</v>
      </c>
      <c r="B446">
        <v>3.8902999999999999</v>
      </c>
      <c r="E446">
        <v>46200</v>
      </c>
      <c r="F446">
        <v>3.2465000000000002</v>
      </c>
    </row>
    <row r="447" spans="1:6" x14ac:dyDescent="0.25">
      <c r="A447">
        <v>46300</v>
      </c>
      <c r="B447">
        <v>3.8915000000000002</v>
      </c>
      <c r="E447">
        <v>46300</v>
      </c>
      <c r="F447">
        <v>3.2477</v>
      </c>
    </row>
    <row r="448" spans="1:6" x14ac:dyDescent="0.25">
      <c r="A448">
        <v>46400</v>
      </c>
      <c r="B448">
        <v>3.8927</v>
      </c>
      <c r="E448">
        <v>46400</v>
      </c>
      <c r="F448">
        <v>3.2488999999999999</v>
      </c>
    </row>
    <row r="449" spans="1:6" x14ac:dyDescent="0.25">
      <c r="A449">
        <v>46500</v>
      </c>
      <c r="B449">
        <v>3.8938999999999999</v>
      </c>
      <c r="E449">
        <v>46500</v>
      </c>
      <c r="F449">
        <v>3.2501000000000002</v>
      </c>
    </row>
    <row r="450" spans="1:6" x14ac:dyDescent="0.25">
      <c r="A450">
        <v>46600</v>
      </c>
      <c r="B450">
        <v>3.8950999999999998</v>
      </c>
      <c r="E450">
        <v>46600</v>
      </c>
      <c r="F450">
        <v>3.2513000000000001</v>
      </c>
    </row>
    <row r="451" spans="1:6" x14ac:dyDescent="0.25">
      <c r="A451">
        <v>46700</v>
      </c>
      <c r="B451">
        <v>3.8963000000000001</v>
      </c>
      <c r="E451">
        <v>46700</v>
      </c>
      <c r="F451">
        <v>3.2524999999999999</v>
      </c>
    </row>
    <row r="452" spans="1:6" x14ac:dyDescent="0.25">
      <c r="A452">
        <v>46800</v>
      </c>
      <c r="B452">
        <v>3.8974000000000002</v>
      </c>
      <c r="E452">
        <v>46800</v>
      </c>
      <c r="F452">
        <v>3.2536</v>
      </c>
    </row>
    <row r="453" spans="1:6" x14ac:dyDescent="0.25">
      <c r="A453">
        <v>46900</v>
      </c>
      <c r="B453">
        <v>3.8986000000000001</v>
      </c>
      <c r="E453">
        <v>46900</v>
      </c>
      <c r="F453">
        <v>3.2547999999999999</v>
      </c>
    </row>
    <row r="454" spans="1:6" x14ac:dyDescent="0.25">
      <c r="A454">
        <v>47000</v>
      </c>
      <c r="B454">
        <v>3.8997999999999999</v>
      </c>
      <c r="E454">
        <v>47000</v>
      </c>
      <c r="F454">
        <v>3.2559999999999998</v>
      </c>
    </row>
    <row r="455" spans="1:6" x14ac:dyDescent="0.25">
      <c r="A455">
        <v>47100</v>
      </c>
      <c r="B455">
        <v>3.9009999999999998</v>
      </c>
      <c r="E455">
        <v>47100</v>
      </c>
      <c r="F455">
        <v>3.2570999999999999</v>
      </c>
    </row>
    <row r="456" spans="1:6" x14ac:dyDescent="0.25">
      <c r="A456">
        <v>47200</v>
      </c>
      <c r="B456">
        <v>3.9020999999999999</v>
      </c>
      <c r="E456">
        <v>47200</v>
      </c>
      <c r="F456">
        <v>3.2583000000000002</v>
      </c>
    </row>
    <row r="457" spans="1:6" x14ac:dyDescent="0.25">
      <c r="A457">
        <v>47300</v>
      </c>
      <c r="B457">
        <v>3.9033000000000002</v>
      </c>
      <c r="E457">
        <v>47300</v>
      </c>
      <c r="F457">
        <v>3.2593999999999999</v>
      </c>
    </row>
    <row r="458" spans="1:6" x14ac:dyDescent="0.25">
      <c r="A458">
        <v>47400</v>
      </c>
      <c r="B458">
        <v>3.9043999999999999</v>
      </c>
      <c r="E458">
        <v>47400</v>
      </c>
      <c r="F458">
        <v>3.2605</v>
      </c>
    </row>
    <row r="459" spans="1:6" x14ac:dyDescent="0.25">
      <c r="A459">
        <v>47500</v>
      </c>
      <c r="B459">
        <v>3.9056000000000002</v>
      </c>
      <c r="E459">
        <v>47500</v>
      </c>
      <c r="F459">
        <v>3.2616999999999998</v>
      </c>
    </row>
    <row r="460" spans="1:6" x14ac:dyDescent="0.25">
      <c r="A460">
        <v>47600</v>
      </c>
      <c r="B460">
        <v>3.9066999999999998</v>
      </c>
      <c r="E460">
        <v>47600</v>
      </c>
      <c r="F460">
        <v>3.2627999999999999</v>
      </c>
    </row>
    <row r="461" spans="1:6" x14ac:dyDescent="0.25">
      <c r="A461">
        <v>47700</v>
      </c>
      <c r="B461">
        <v>3.9079000000000002</v>
      </c>
      <c r="E461">
        <v>47700</v>
      </c>
      <c r="F461">
        <v>3.2639</v>
      </c>
    </row>
    <row r="462" spans="1:6" x14ac:dyDescent="0.25">
      <c r="A462">
        <v>47800</v>
      </c>
      <c r="B462">
        <v>3.9089999999999998</v>
      </c>
      <c r="E462">
        <v>47800</v>
      </c>
      <c r="F462">
        <v>3.2650999999999999</v>
      </c>
    </row>
    <row r="463" spans="1:6" x14ac:dyDescent="0.25">
      <c r="A463">
        <v>47900</v>
      </c>
      <c r="B463">
        <v>3.9100999999999999</v>
      </c>
      <c r="E463">
        <v>47900</v>
      </c>
      <c r="F463">
        <v>3.2662</v>
      </c>
    </row>
    <row r="464" spans="1:6" x14ac:dyDescent="0.25">
      <c r="A464">
        <v>48000</v>
      </c>
      <c r="B464">
        <v>3.9113000000000002</v>
      </c>
      <c r="E464">
        <v>48000</v>
      </c>
      <c r="F464">
        <v>3.2673000000000001</v>
      </c>
    </row>
    <row r="465" spans="1:6" x14ac:dyDescent="0.25">
      <c r="A465">
        <v>48100</v>
      </c>
      <c r="B465">
        <v>3.9123999999999999</v>
      </c>
      <c r="E465">
        <v>48100</v>
      </c>
      <c r="F465">
        <v>3.2684000000000002</v>
      </c>
    </row>
    <row r="466" spans="1:6" x14ac:dyDescent="0.25">
      <c r="A466">
        <v>48200</v>
      </c>
      <c r="B466">
        <v>3.9135</v>
      </c>
      <c r="E466">
        <v>48200</v>
      </c>
      <c r="F466">
        <v>3.2694999999999999</v>
      </c>
    </row>
    <row r="467" spans="1:6" x14ac:dyDescent="0.25">
      <c r="A467">
        <v>48300</v>
      </c>
      <c r="B467">
        <v>3.9146000000000001</v>
      </c>
      <c r="E467">
        <v>48300</v>
      </c>
      <c r="F467">
        <v>3.2706</v>
      </c>
    </row>
    <row r="468" spans="1:6" x14ac:dyDescent="0.25">
      <c r="A468">
        <v>48400</v>
      </c>
      <c r="B468">
        <v>3.9157000000000002</v>
      </c>
      <c r="E468">
        <v>48400</v>
      </c>
      <c r="F468">
        <v>3.2717000000000001</v>
      </c>
    </row>
    <row r="469" spans="1:6" x14ac:dyDescent="0.25">
      <c r="A469">
        <v>48500</v>
      </c>
      <c r="B469">
        <v>3.9167999999999998</v>
      </c>
      <c r="E469">
        <v>48500</v>
      </c>
      <c r="F469">
        <v>3.2728000000000002</v>
      </c>
    </row>
    <row r="470" spans="1:6" x14ac:dyDescent="0.25">
      <c r="A470">
        <v>48600</v>
      </c>
      <c r="B470">
        <v>3.9178999999999999</v>
      </c>
      <c r="E470">
        <v>48600</v>
      </c>
      <c r="F470">
        <v>3.2738999999999998</v>
      </c>
    </row>
    <row r="471" spans="1:6" x14ac:dyDescent="0.25">
      <c r="A471">
        <v>48700</v>
      </c>
      <c r="B471">
        <v>3.919</v>
      </c>
      <c r="E471">
        <v>48700</v>
      </c>
      <c r="F471">
        <v>3.2749000000000001</v>
      </c>
    </row>
    <row r="472" spans="1:6" x14ac:dyDescent="0.25">
      <c r="A472">
        <v>48800</v>
      </c>
      <c r="B472">
        <v>3.9201000000000001</v>
      </c>
      <c r="E472">
        <v>48800</v>
      </c>
      <c r="F472">
        <v>3.2759999999999998</v>
      </c>
    </row>
    <row r="473" spans="1:6" x14ac:dyDescent="0.25">
      <c r="A473">
        <v>48900</v>
      </c>
      <c r="B473">
        <v>3.9211999999999998</v>
      </c>
      <c r="E473">
        <v>48900</v>
      </c>
      <c r="F473">
        <v>3.2770999999999999</v>
      </c>
    </row>
    <row r="474" spans="1:6" x14ac:dyDescent="0.25">
      <c r="A474">
        <v>49000</v>
      </c>
      <c r="B474">
        <v>3.9222000000000001</v>
      </c>
      <c r="E474">
        <v>49000</v>
      </c>
      <c r="F474">
        <v>3.2782</v>
      </c>
    </row>
    <row r="475" spans="1:6" x14ac:dyDescent="0.25">
      <c r="A475">
        <v>49100</v>
      </c>
      <c r="B475">
        <v>3.9232999999999998</v>
      </c>
      <c r="E475">
        <v>49100</v>
      </c>
      <c r="F475">
        <v>3.2791999999999999</v>
      </c>
    </row>
    <row r="476" spans="1:6" x14ac:dyDescent="0.25">
      <c r="A476">
        <v>49200</v>
      </c>
      <c r="B476">
        <v>3.9243999999999999</v>
      </c>
      <c r="E476">
        <v>49200</v>
      </c>
      <c r="F476">
        <v>3.2803</v>
      </c>
    </row>
    <row r="477" spans="1:6" x14ac:dyDescent="0.25">
      <c r="A477">
        <v>49300</v>
      </c>
      <c r="B477">
        <v>3.9255</v>
      </c>
      <c r="E477">
        <v>49300</v>
      </c>
      <c r="F477">
        <v>3.2812999999999999</v>
      </c>
    </row>
    <row r="478" spans="1:6" x14ac:dyDescent="0.25">
      <c r="A478">
        <v>49400</v>
      </c>
      <c r="B478">
        <v>3.9264999999999999</v>
      </c>
      <c r="E478">
        <v>49400</v>
      </c>
      <c r="F478">
        <v>3.2824</v>
      </c>
    </row>
    <row r="479" spans="1:6" x14ac:dyDescent="0.25">
      <c r="A479">
        <v>49500</v>
      </c>
      <c r="B479">
        <v>3.9276</v>
      </c>
      <c r="E479">
        <v>49500</v>
      </c>
      <c r="F479">
        <v>3.2833999999999999</v>
      </c>
    </row>
    <row r="480" spans="1:6" x14ac:dyDescent="0.25">
      <c r="A480">
        <v>49600</v>
      </c>
      <c r="B480">
        <v>3.9285999999999999</v>
      </c>
      <c r="E480">
        <v>49600</v>
      </c>
      <c r="F480">
        <v>3.2845</v>
      </c>
    </row>
    <row r="481" spans="1:6" x14ac:dyDescent="0.25">
      <c r="A481">
        <v>49700</v>
      </c>
      <c r="B481">
        <v>3.9297</v>
      </c>
      <c r="E481">
        <v>49700</v>
      </c>
      <c r="F481">
        <v>3.2854999999999999</v>
      </c>
    </row>
    <row r="482" spans="1:6" x14ac:dyDescent="0.25">
      <c r="A482">
        <v>49800</v>
      </c>
      <c r="B482">
        <v>3.9306999999999999</v>
      </c>
      <c r="E482">
        <v>49800</v>
      </c>
      <c r="F482">
        <v>3.2865000000000002</v>
      </c>
    </row>
    <row r="483" spans="1:6" x14ac:dyDescent="0.25">
      <c r="A483">
        <v>49900</v>
      </c>
      <c r="B483">
        <v>3.9318</v>
      </c>
      <c r="E483">
        <v>49900</v>
      </c>
      <c r="F483">
        <v>3.2875999999999999</v>
      </c>
    </row>
    <row r="484" spans="1:6" x14ac:dyDescent="0.25">
      <c r="A484">
        <v>50000</v>
      </c>
      <c r="B484">
        <v>3.9327999999999999</v>
      </c>
      <c r="E484">
        <v>50000</v>
      </c>
      <c r="F484">
        <v>3.2886000000000002</v>
      </c>
    </row>
    <row r="485" spans="1:6" x14ac:dyDescent="0.25">
      <c r="A485">
        <v>50100</v>
      </c>
      <c r="B485">
        <v>3.9338000000000002</v>
      </c>
      <c r="E485">
        <v>50100</v>
      </c>
      <c r="F485">
        <v>3.2896000000000001</v>
      </c>
    </row>
    <row r="486" spans="1:6" x14ac:dyDescent="0.25">
      <c r="A486">
        <v>50200</v>
      </c>
      <c r="B486">
        <v>3.9348999999999998</v>
      </c>
      <c r="E486">
        <v>50200</v>
      </c>
      <c r="F486">
        <v>3.2906</v>
      </c>
    </row>
    <row r="487" spans="1:6" x14ac:dyDescent="0.25">
      <c r="A487">
        <v>50300</v>
      </c>
      <c r="B487">
        <v>3.9359000000000002</v>
      </c>
      <c r="E487">
        <v>50300</v>
      </c>
      <c r="F487">
        <v>3.2917000000000001</v>
      </c>
    </row>
    <row r="488" spans="1:6" x14ac:dyDescent="0.25">
      <c r="A488">
        <v>50400</v>
      </c>
      <c r="B488">
        <v>3.9369000000000001</v>
      </c>
      <c r="E488">
        <v>50400</v>
      </c>
      <c r="F488">
        <v>3.2927</v>
      </c>
    </row>
    <row r="489" spans="1:6" x14ac:dyDescent="0.25">
      <c r="A489">
        <v>50500</v>
      </c>
      <c r="B489">
        <v>3.9379</v>
      </c>
      <c r="E489">
        <v>50500</v>
      </c>
      <c r="F489">
        <v>3.2936999999999999</v>
      </c>
    </row>
    <row r="490" spans="1:6" x14ac:dyDescent="0.25">
      <c r="A490">
        <v>50600</v>
      </c>
      <c r="B490">
        <v>3.9388999999999998</v>
      </c>
      <c r="E490">
        <v>50600</v>
      </c>
      <c r="F490">
        <v>3.2947000000000002</v>
      </c>
    </row>
    <row r="491" spans="1:6" x14ac:dyDescent="0.25">
      <c r="A491">
        <v>50700</v>
      </c>
      <c r="B491">
        <v>3.9399000000000002</v>
      </c>
      <c r="E491">
        <v>50700</v>
      </c>
      <c r="F491">
        <v>3.2957000000000001</v>
      </c>
    </row>
    <row r="492" spans="1:6" x14ac:dyDescent="0.25">
      <c r="A492">
        <v>50800</v>
      </c>
      <c r="B492">
        <v>3.9409000000000001</v>
      </c>
      <c r="E492">
        <v>50800</v>
      </c>
      <c r="F492">
        <v>3.2967</v>
      </c>
    </row>
    <row r="493" spans="1:6" x14ac:dyDescent="0.25">
      <c r="A493">
        <v>50900</v>
      </c>
      <c r="B493">
        <v>3.9419</v>
      </c>
      <c r="E493">
        <v>50900</v>
      </c>
      <c r="F493">
        <v>3.2976000000000001</v>
      </c>
    </row>
    <row r="494" spans="1:6" x14ac:dyDescent="0.25">
      <c r="A494">
        <v>51000</v>
      </c>
      <c r="B494">
        <v>3.9428999999999998</v>
      </c>
      <c r="E494">
        <v>51000</v>
      </c>
      <c r="F494">
        <v>3.2986</v>
      </c>
    </row>
    <row r="495" spans="1:6" x14ac:dyDescent="0.25">
      <c r="A495">
        <v>51100</v>
      </c>
      <c r="B495">
        <v>3.9439000000000002</v>
      </c>
      <c r="E495">
        <v>51100</v>
      </c>
      <c r="F495">
        <v>3.2995999999999999</v>
      </c>
    </row>
    <row r="496" spans="1:6" x14ac:dyDescent="0.25">
      <c r="A496">
        <v>51200</v>
      </c>
      <c r="B496">
        <v>3.9449000000000001</v>
      </c>
      <c r="E496">
        <v>51200</v>
      </c>
      <c r="F496">
        <v>3.3006000000000002</v>
      </c>
    </row>
    <row r="497" spans="1:6" x14ac:dyDescent="0.25">
      <c r="A497">
        <v>51300</v>
      </c>
      <c r="B497">
        <v>3.9459</v>
      </c>
      <c r="E497">
        <v>51300</v>
      </c>
      <c r="F497">
        <v>3.3016000000000001</v>
      </c>
    </row>
    <row r="498" spans="1:6" x14ac:dyDescent="0.25">
      <c r="A498">
        <v>51400</v>
      </c>
      <c r="B498">
        <v>3.9468999999999999</v>
      </c>
      <c r="E498">
        <v>51400</v>
      </c>
      <c r="F498">
        <v>3.3025000000000002</v>
      </c>
    </row>
    <row r="499" spans="1:6" x14ac:dyDescent="0.25">
      <c r="A499">
        <v>51500</v>
      </c>
      <c r="B499">
        <v>3.9479000000000002</v>
      </c>
      <c r="E499">
        <v>51500</v>
      </c>
      <c r="F499">
        <v>3.3035000000000001</v>
      </c>
    </row>
    <row r="500" spans="1:6" x14ac:dyDescent="0.25">
      <c r="A500">
        <v>51600</v>
      </c>
      <c r="B500">
        <v>3.9487999999999999</v>
      </c>
      <c r="E500">
        <v>51600</v>
      </c>
      <c r="F500">
        <v>3.3045</v>
      </c>
    </row>
    <row r="501" spans="1:6" x14ac:dyDescent="0.25">
      <c r="A501">
        <v>51700</v>
      </c>
      <c r="B501">
        <v>3.9498000000000002</v>
      </c>
      <c r="E501">
        <v>51700</v>
      </c>
      <c r="F501">
        <v>3.3054000000000001</v>
      </c>
    </row>
    <row r="502" spans="1:6" x14ac:dyDescent="0.25">
      <c r="A502">
        <v>51800</v>
      </c>
      <c r="B502">
        <v>3.9508000000000001</v>
      </c>
      <c r="E502">
        <v>51800</v>
      </c>
      <c r="F502">
        <v>3.3064</v>
      </c>
    </row>
    <row r="503" spans="1:6" x14ac:dyDescent="0.25">
      <c r="A503">
        <v>51900</v>
      </c>
      <c r="B503">
        <v>3.9517000000000002</v>
      </c>
      <c r="E503">
        <v>51900</v>
      </c>
      <c r="F503">
        <v>3.3073000000000001</v>
      </c>
    </row>
    <row r="504" spans="1:6" x14ac:dyDescent="0.25">
      <c r="A504">
        <v>52000</v>
      </c>
      <c r="B504">
        <v>3.9527000000000001</v>
      </c>
      <c r="E504">
        <v>52000</v>
      </c>
      <c r="F504">
        <v>3.3083</v>
      </c>
    </row>
    <row r="505" spans="1:6" x14ac:dyDescent="0.25">
      <c r="A505">
        <v>52100</v>
      </c>
      <c r="B505">
        <v>3.9535999999999998</v>
      </c>
      <c r="E505">
        <v>52100</v>
      </c>
      <c r="F505">
        <v>3.3092000000000001</v>
      </c>
    </row>
    <row r="506" spans="1:6" x14ac:dyDescent="0.25">
      <c r="A506">
        <v>52200</v>
      </c>
      <c r="B506">
        <v>3.9546000000000001</v>
      </c>
      <c r="E506">
        <v>52200</v>
      </c>
      <c r="F506">
        <v>3.3102</v>
      </c>
    </row>
    <row r="507" spans="1:6" x14ac:dyDescent="0.25">
      <c r="A507">
        <v>52300</v>
      </c>
      <c r="B507">
        <v>3.9554999999999998</v>
      </c>
      <c r="E507">
        <v>52300</v>
      </c>
      <c r="F507">
        <v>3.3111000000000002</v>
      </c>
    </row>
    <row r="508" spans="1:6" x14ac:dyDescent="0.25">
      <c r="A508">
        <v>52400</v>
      </c>
      <c r="B508">
        <v>3.9565000000000001</v>
      </c>
      <c r="E508">
        <v>52400</v>
      </c>
      <c r="F508">
        <v>3.3119999999999998</v>
      </c>
    </row>
    <row r="509" spans="1:6" x14ac:dyDescent="0.25">
      <c r="A509">
        <v>52500</v>
      </c>
      <c r="B509">
        <v>3.9573999999999998</v>
      </c>
      <c r="E509">
        <v>52500</v>
      </c>
      <c r="F509">
        <v>3.3130000000000002</v>
      </c>
    </row>
    <row r="510" spans="1:6" x14ac:dyDescent="0.25">
      <c r="A510">
        <v>52600</v>
      </c>
      <c r="B510">
        <v>3.9584000000000001</v>
      </c>
      <c r="E510">
        <v>52600</v>
      </c>
      <c r="F510">
        <v>3.3138999999999998</v>
      </c>
    </row>
    <row r="511" spans="1:6" x14ac:dyDescent="0.25">
      <c r="A511">
        <v>52700</v>
      </c>
      <c r="B511">
        <v>3.9592999999999998</v>
      </c>
      <c r="E511">
        <v>52700</v>
      </c>
      <c r="F511">
        <v>3.3148</v>
      </c>
    </row>
    <row r="512" spans="1:6" x14ac:dyDescent="0.25">
      <c r="A512">
        <v>52800</v>
      </c>
      <c r="B512">
        <v>3.9601999999999999</v>
      </c>
      <c r="E512">
        <v>52800</v>
      </c>
      <c r="F512">
        <v>3.3157000000000001</v>
      </c>
    </row>
    <row r="513" spans="1:6" x14ac:dyDescent="0.25">
      <c r="A513">
        <v>52900</v>
      </c>
      <c r="B513">
        <v>3.9611999999999998</v>
      </c>
      <c r="E513">
        <v>52900</v>
      </c>
      <c r="F513">
        <v>3.3166000000000002</v>
      </c>
    </row>
    <row r="514" spans="1:6" x14ac:dyDescent="0.25">
      <c r="A514">
        <v>53000</v>
      </c>
      <c r="B514">
        <v>3.9621</v>
      </c>
      <c r="E514">
        <v>53000</v>
      </c>
      <c r="F514">
        <v>3.3174999999999999</v>
      </c>
    </row>
    <row r="515" spans="1:6" x14ac:dyDescent="0.25">
      <c r="A515">
        <v>53100</v>
      </c>
      <c r="B515">
        <v>3.9630000000000001</v>
      </c>
      <c r="E515">
        <v>53100</v>
      </c>
      <c r="F515">
        <v>3.3184999999999998</v>
      </c>
    </row>
    <row r="516" spans="1:6" x14ac:dyDescent="0.25">
      <c r="A516">
        <v>53200</v>
      </c>
      <c r="B516">
        <v>3.9639000000000002</v>
      </c>
      <c r="E516">
        <v>53200</v>
      </c>
      <c r="F516">
        <v>3.3193999999999999</v>
      </c>
    </row>
    <row r="517" spans="1:6" x14ac:dyDescent="0.25">
      <c r="A517">
        <v>53300</v>
      </c>
      <c r="B517">
        <v>3.9647999999999999</v>
      </c>
      <c r="E517">
        <v>53300</v>
      </c>
      <c r="F517">
        <v>3.3203</v>
      </c>
    </row>
    <row r="518" spans="1:6" x14ac:dyDescent="0.25">
      <c r="A518">
        <v>53400</v>
      </c>
      <c r="B518">
        <v>3.9657</v>
      </c>
      <c r="E518">
        <v>53400</v>
      </c>
      <c r="F518">
        <v>3.3212000000000002</v>
      </c>
    </row>
    <row r="519" spans="1:6" x14ac:dyDescent="0.25">
      <c r="A519">
        <v>53500</v>
      </c>
      <c r="B519">
        <v>3.9666000000000001</v>
      </c>
      <c r="E519">
        <v>53500</v>
      </c>
      <c r="F519">
        <v>3.3220999999999998</v>
      </c>
    </row>
    <row r="520" spans="1:6" x14ac:dyDescent="0.25">
      <c r="A520">
        <v>53600</v>
      </c>
      <c r="B520">
        <v>3.9674999999999998</v>
      </c>
      <c r="E520">
        <v>53600</v>
      </c>
      <c r="F520">
        <v>3.3229000000000002</v>
      </c>
    </row>
    <row r="521" spans="1:6" x14ac:dyDescent="0.25">
      <c r="A521">
        <v>53700</v>
      </c>
      <c r="B521">
        <v>3.9683999999999999</v>
      </c>
      <c r="E521">
        <v>53700</v>
      </c>
      <c r="F521">
        <v>3.3237999999999999</v>
      </c>
    </row>
    <row r="522" spans="1:6" x14ac:dyDescent="0.25">
      <c r="A522">
        <v>53800</v>
      </c>
      <c r="B522">
        <v>3.9693000000000001</v>
      </c>
      <c r="E522">
        <v>53800</v>
      </c>
      <c r="F522">
        <v>3.3247</v>
      </c>
    </row>
    <row r="523" spans="1:6" x14ac:dyDescent="0.25">
      <c r="A523">
        <v>53900</v>
      </c>
      <c r="B523">
        <v>3.9702000000000002</v>
      </c>
      <c r="E523">
        <v>53900</v>
      </c>
      <c r="F523">
        <v>3.3256000000000001</v>
      </c>
    </row>
    <row r="524" spans="1:6" x14ac:dyDescent="0.25">
      <c r="A524">
        <v>54000</v>
      </c>
      <c r="B524">
        <v>3.9710999999999999</v>
      </c>
      <c r="E524">
        <v>54000</v>
      </c>
      <c r="F524">
        <v>3.3264999999999998</v>
      </c>
    </row>
    <row r="525" spans="1:6" x14ac:dyDescent="0.25">
      <c r="A525">
        <v>54100</v>
      </c>
      <c r="B525">
        <v>3.972</v>
      </c>
      <c r="E525">
        <v>54100</v>
      </c>
      <c r="F525">
        <v>3.3273999999999999</v>
      </c>
    </row>
    <row r="526" spans="1:6" x14ac:dyDescent="0.25">
      <c r="A526">
        <v>54200</v>
      </c>
      <c r="B526">
        <v>3.9729000000000001</v>
      </c>
      <c r="E526">
        <v>54200</v>
      </c>
      <c r="F526">
        <v>3.3281999999999998</v>
      </c>
    </row>
    <row r="527" spans="1:6" x14ac:dyDescent="0.25">
      <c r="A527">
        <v>54300</v>
      </c>
      <c r="B527">
        <v>3.9738000000000002</v>
      </c>
      <c r="E527">
        <v>54300</v>
      </c>
      <c r="F527">
        <v>3.3290999999999999</v>
      </c>
    </row>
    <row r="528" spans="1:6" x14ac:dyDescent="0.25">
      <c r="A528">
        <v>54400</v>
      </c>
      <c r="B528">
        <v>3.9746000000000001</v>
      </c>
      <c r="E528">
        <v>54400</v>
      </c>
      <c r="F528">
        <v>3.33</v>
      </c>
    </row>
    <row r="529" spans="1:6" x14ac:dyDescent="0.25">
      <c r="A529">
        <v>54500</v>
      </c>
      <c r="B529">
        <v>3.9754999999999998</v>
      </c>
      <c r="E529">
        <v>54500</v>
      </c>
      <c r="F529">
        <v>3.3308</v>
      </c>
    </row>
    <row r="530" spans="1:6" x14ac:dyDescent="0.25">
      <c r="A530">
        <v>54600</v>
      </c>
      <c r="B530">
        <v>3.9763999999999999</v>
      </c>
      <c r="E530">
        <v>54600</v>
      </c>
      <c r="F530">
        <v>3.3317000000000001</v>
      </c>
    </row>
    <row r="531" spans="1:6" x14ac:dyDescent="0.25">
      <c r="A531">
        <v>54700</v>
      </c>
      <c r="B531">
        <v>3.9771999999999998</v>
      </c>
      <c r="E531">
        <v>54700</v>
      </c>
      <c r="F531">
        <v>3.3325</v>
      </c>
    </row>
    <row r="532" spans="1:6" x14ac:dyDescent="0.25">
      <c r="A532">
        <v>54800</v>
      </c>
      <c r="B532">
        <v>3.9781</v>
      </c>
      <c r="E532">
        <v>54800</v>
      </c>
      <c r="F532">
        <v>3.3334000000000001</v>
      </c>
    </row>
    <row r="533" spans="1:6" x14ac:dyDescent="0.25">
      <c r="A533">
        <v>54900</v>
      </c>
      <c r="B533">
        <v>3.9790000000000001</v>
      </c>
      <c r="E533">
        <v>54900</v>
      </c>
      <c r="F533">
        <v>3.3342000000000001</v>
      </c>
    </row>
    <row r="534" spans="1:6" x14ac:dyDescent="0.25">
      <c r="A534">
        <v>55000</v>
      </c>
      <c r="B534">
        <v>3.9798</v>
      </c>
      <c r="E534">
        <v>55000</v>
      </c>
      <c r="F534">
        <v>3.3351000000000002</v>
      </c>
    </row>
    <row r="535" spans="1:6" x14ac:dyDescent="0.25">
      <c r="A535">
        <v>55100</v>
      </c>
      <c r="B535">
        <v>3.9807000000000001</v>
      </c>
      <c r="E535">
        <v>55100</v>
      </c>
      <c r="F535">
        <v>3.3359000000000001</v>
      </c>
    </row>
    <row r="536" spans="1:6" x14ac:dyDescent="0.25">
      <c r="A536">
        <v>55200</v>
      </c>
      <c r="B536">
        <v>3.9815</v>
      </c>
      <c r="E536">
        <v>55200</v>
      </c>
      <c r="F536">
        <v>3.3368000000000002</v>
      </c>
    </row>
    <row r="537" spans="1:6" x14ac:dyDescent="0.25">
      <c r="A537">
        <v>55300</v>
      </c>
      <c r="B537">
        <v>3.9824000000000002</v>
      </c>
      <c r="E537">
        <v>55300</v>
      </c>
      <c r="F537">
        <v>3.3376000000000001</v>
      </c>
    </row>
    <row r="538" spans="1:6" x14ac:dyDescent="0.25">
      <c r="A538">
        <v>55400</v>
      </c>
      <c r="B538">
        <v>3.9832000000000001</v>
      </c>
      <c r="E538">
        <v>55400</v>
      </c>
      <c r="F538">
        <v>3.3384</v>
      </c>
    </row>
    <row r="539" spans="1:6" x14ac:dyDescent="0.25">
      <c r="A539">
        <v>55500</v>
      </c>
      <c r="B539">
        <v>3.9841000000000002</v>
      </c>
      <c r="E539">
        <v>55500</v>
      </c>
      <c r="F539">
        <v>3.3393000000000002</v>
      </c>
    </row>
    <row r="540" spans="1:6" x14ac:dyDescent="0.25">
      <c r="A540">
        <v>55600</v>
      </c>
      <c r="B540">
        <v>3.9849000000000001</v>
      </c>
      <c r="E540">
        <v>55600</v>
      </c>
      <c r="F540">
        <v>3.3401000000000001</v>
      </c>
    </row>
    <row r="541" spans="1:6" x14ac:dyDescent="0.25">
      <c r="A541">
        <v>55700</v>
      </c>
      <c r="B541">
        <v>3.9857</v>
      </c>
      <c r="E541">
        <v>55700</v>
      </c>
      <c r="F541">
        <v>3.3409</v>
      </c>
    </row>
    <row r="542" spans="1:6" x14ac:dyDescent="0.25">
      <c r="A542">
        <v>55800</v>
      </c>
      <c r="B542">
        <v>3.9866000000000001</v>
      </c>
      <c r="E542">
        <v>55800</v>
      </c>
      <c r="F542">
        <v>3.3418000000000001</v>
      </c>
    </row>
    <row r="543" spans="1:6" x14ac:dyDescent="0.25">
      <c r="A543">
        <v>55900</v>
      </c>
      <c r="B543">
        <v>3.9874000000000001</v>
      </c>
      <c r="E543">
        <v>55900</v>
      </c>
      <c r="F543">
        <v>3.3426</v>
      </c>
    </row>
    <row r="544" spans="1:6" x14ac:dyDescent="0.25">
      <c r="A544">
        <v>56000</v>
      </c>
      <c r="B544">
        <v>3.9882</v>
      </c>
      <c r="E544">
        <v>56000</v>
      </c>
      <c r="F544">
        <v>3.3433999999999999</v>
      </c>
    </row>
    <row r="545" spans="1:6" x14ac:dyDescent="0.25">
      <c r="A545">
        <v>56100</v>
      </c>
      <c r="B545">
        <v>3.9889999999999999</v>
      </c>
      <c r="E545">
        <v>56100</v>
      </c>
      <c r="F545">
        <v>3.3441999999999998</v>
      </c>
    </row>
    <row r="546" spans="1:6" x14ac:dyDescent="0.25">
      <c r="A546">
        <v>56200</v>
      </c>
      <c r="B546">
        <v>3.9899</v>
      </c>
      <c r="E546">
        <v>56200</v>
      </c>
      <c r="F546">
        <v>3.3450000000000002</v>
      </c>
    </row>
    <row r="547" spans="1:6" x14ac:dyDescent="0.25">
      <c r="A547">
        <v>56300</v>
      </c>
      <c r="B547">
        <v>3.9906999999999999</v>
      </c>
      <c r="E547">
        <v>56300</v>
      </c>
      <c r="F547">
        <v>3.3458000000000001</v>
      </c>
    </row>
    <row r="548" spans="1:6" x14ac:dyDescent="0.25">
      <c r="A548">
        <v>56400</v>
      </c>
      <c r="B548">
        <v>3.9914999999999998</v>
      </c>
      <c r="E548">
        <v>56400</v>
      </c>
      <c r="F548">
        <v>3.3466</v>
      </c>
    </row>
    <row r="549" spans="1:6" x14ac:dyDescent="0.25">
      <c r="A549">
        <v>56500</v>
      </c>
      <c r="B549">
        <v>3.9923000000000002</v>
      </c>
      <c r="E549">
        <v>56500</v>
      </c>
      <c r="F549">
        <v>3.3473999999999999</v>
      </c>
    </row>
    <row r="550" spans="1:6" x14ac:dyDescent="0.25">
      <c r="A550">
        <v>56600</v>
      </c>
      <c r="B550">
        <v>3.9931000000000001</v>
      </c>
      <c r="E550">
        <v>56600</v>
      </c>
      <c r="F550">
        <v>3.3481999999999998</v>
      </c>
    </row>
    <row r="551" spans="1:6" x14ac:dyDescent="0.25">
      <c r="A551">
        <v>56700</v>
      </c>
      <c r="B551">
        <v>3.9939</v>
      </c>
      <c r="E551">
        <v>56700</v>
      </c>
      <c r="F551">
        <v>3.3490000000000002</v>
      </c>
    </row>
    <row r="552" spans="1:6" x14ac:dyDescent="0.25">
      <c r="A552">
        <v>56800</v>
      </c>
      <c r="B552">
        <v>3.9946999999999999</v>
      </c>
      <c r="E552">
        <v>56800</v>
      </c>
      <c r="F552">
        <v>3.3498000000000001</v>
      </c>
    </row>
    <row r="553" spans="1:6" x14ac:dyDescent="0.25">
      <c r="A553">
        <v>56900</v>
      </c>
      <c r="B553">
        <v>3.9954999999999998</v>
      </c>
      <c r="E553">
        <v>56900</v>
      </c>
      <c r="F553">
        <v>3.3506</v>
      </c>
    </row>
    <row r="554" spans="1:6" x14ac:dyDescent="0.25">
      <c r="A554">
        <v>57000</v>
      </c>
      <c r="B554">
        <v>3.9963000000000002</v>
      </c>
      <c r="E554">
        <v>57000</v>
      </c>
      <c r="F554">
        <v>3.3513999999999999</v>
      </c>
    </row>
    <row r="555" spans="1:6" x14ac:dyDescent="0.25">
      <c r="A555">
        <v>57100</v>
      </c>
      <c r="B555">
        <v>3.9971000000000001</v>
      </c>
      <c r="E555">
        <v>57100</v>
      </c>
      <c r="F555">
        <v>3.3521999999999998</v>
      </c>
    </row>
    <row r="556" spans="1:6" x14ac:dyDescent="0.25">
      <c r="A556">
        <v>57200</v>
      </c>
      <c r="B556">
        <v>3.9979</v>
      </c>
      <c r="E556">
        <v>57200</v>
      </c>
      <c r="F556">
        <v>3.3530000000000002</v>
      </c>
    </row>
    <row r="557" spans="1:6" x14ac:dyDescent="0.25">
      <c r="A557">
        <v>57300</v>
      </c>
      <c r="B557">
        <v>3.9986999999999999</v>
      </c>
      <c r="E557">
        <v>57300</v>
      </c>
      <c r="F557">
        <v>3.3538000000000001</v>
      </c>
    </row>
    <row r="558" spans="1:6" x14ac:dyDescent="0.25">
      <c r="A558">
        <v>57400</v>
      </c>
      <c r="B558">
        <v>3.9994999999999998</v>
      </c>
      <c r="E558">
        <v>57400</v>
      </c>
      <c r="F558">
        <v>3.3544999999999998</v>
      </c>
    </row>
    <row r="559" spans="1:6" x14ac:dyDescent="0.25">
      <c r="A559">
        <v>57500</v>
      </c>
      <c r="B559">
        <v>4.0003000000000002</v>
      </c>
      <c r="E559">
        <v>57500</v>
      </c>
      <c r="F559">
        <v>3.3553000000000002</v>
      </c>
    </row>
    <row r="560" spans="1:6" x14ac:dyDescent="0.25">
      <c r="A560">
        <v>57600</v>
      </c>
      <c r="B560">
        <v>4.0010000000000003</v>
      </c>
      <c r="E560">
        <v>57600</v>
      </c>
      <c r="F560">
        <v>3.3561000000000001</v>
      </c>
    </row>
    <row r="561" spans="1:6" x14ac:dyDescent="0.25">
      <c r="A561">
        <v>57700</v>
      </c>
      <c r="B561">
        <v>4.0018000000000002</v>
      </c>
      <c r="E561">
        <v>57700</v>
      </c>
      <c r="F561">
        <v>3.3567999999999998</v>
      </c>
    </row>
    <row r="562" spans="1:6" x14ac:dyDescent="0.25">
      <c r="A562">
        <v>57800</v>
      </c>
      <c r="B562">
        <v>4.0026000000000002</v>
      </c>
      <c r="E562">
        <v>57800</v>
      </c>
      <c r="F562">
        <v>3.3576000000000001</v>
      </c>
    </row>
    <row r="563" spans="1:6" x14ac:dyDescent="0.25">
      <c r="A563">
        <v>57900</v>
      </c>
      <c r="B563">
        <v>4.0034000000000001</v>
      </c>
      <c r="E563">
        <v>57900</v>
      </c>
      <c r="F563">
        <v>3.3584000000000001</v>
      </c>
    </row>
    <row r="564" spans="1:6" x14ac:dyDescent="0.25">
      <c r="A564">
        <v>58000</v>
      </c>
      <c r="B564">
        <v>4.0041000000000002</v>
      </c>
      <c r="E564">
        <v>58000</v>
      </c>
      <c r="F564">
        <v>3.3591000000000002</v>
      </c>
    </row>
    <row r="565" spans="1:6" x14ac:dyDescent="0.25">
      <c r="A565">
        <v>58100</v>
      </c>
      <c r="B565">
        <v>4.0049000000000001</v>
      </c>
      <c r="E565">
        <v>58100</v>
      </c>
      <c r="F565">
        <v>3.3599000000000001</v>
      </c>
    </row>
    <row r="566" spans="1:6" x14ac:dyDescent="0.25">
      <c r="A566">
        <v>58200</v>
      </c>
      <c r="B566">
        <v>4.0065999999999997</v>
      </c>
      <c r="E566">
        <v>58200</v>
      </c>
      <c r="F566">
        <v>3.3614999999999999</v>
      </c>
    </row>
    <row r="567" spans="1:6" x14ac:dyDescent="0.25">
      <c r="A567">
        <v>58300</v>
      </c>
      <c r="B567">
        <v>4.0083000000000002</v>
      </c>
      <c r="E567">
        <v>58300</v>
      </c>
      <c r="F567">
        <v>3.3631000000000002</v>
      </c>
    </row>
    <row r="568" spans="1:6" x14ac:dyDescent="0.25">
      <c r="A568">
        <v>58400</v>
      </c>
      <c r="B568">
        <v>4.01</v>
      </c>
      <c r="E568">
        <v>58400</v>
      </c>
      <c r="F568">
        <v>3.3647</v>
      </c>
    </row>
    <row r="569" spans="1:6" x14ac:dyDescent="0.25">
      <c r="A569">
        <v>58500</v>
      </c>
      <c r="B569">
        <v>4.0117000000000003</v>
      </c>
      <c r="E569">
        <v>58500</v>
      </c>
      <c r="F569">
        <v>3.3662999999999998</v>
      </c>
    </row>
    <row r="570" spans="1:6" x14ac:dyDescent="0.25">
      <c r="A570">
        <v>58600</v>
      </c>
      <c r="B570">
        <v>4.0133999999999999</v>
      </c>
      <c r="E570">
        <v>58600</v>
      </c>
      <c r="F570">
        <v>3.3679000000000001</v>
      </c>
    </row>
    <row r="571" spans="1:6" x14ac:dyDescent="0.25">
      <c r="A571">
        <v>58700</v>
      </c>
      <c r="B571">
        <v>4.0151000000000003</v>
      </c>
      <c r="E571">
        <v>58700</v>
      </c>
      <c r="F571">
        <v>3.3694999999999999</v>
      </c>
    </row>
    <row r="572" spans="1:6" x14ac:dyDescent="0.25">
      <c r="A572">
        <v>58800</v>
      </c>
      <c r="B572">
        <v>4.0167999999999999</v>
      </c>
      <c r="E572">
        <v>58800</v>
      </c>
      <c r="F572">
        <v>3.3711000000000002</v>
      </c>
    </row>
    <row r="573" spans="1:6" x14ac:dyDescent="0.25">
      <c r="A573">
        <v>58900</v>
      </c>
      <c r="B573">
        <v>4.0183999999999997</v>
      </c>
      <c r="E573">
        <v>58900</v>
      </c>
      <c r="F573">
        <v>3.3727</v>
      </c>
    </row>
    <row r="574" spans="1:6" x14ac:dyDescent="0.25">
      <c r="A574">
        <v>59000</v>
      </c>
      <c r="B574">
        <v>4.0201000000000002</v>
      </c>
      <c r="E574">
        <v>59000</v>
      </c>
      <c r="F574">
        <v>3.3742000000000001</v>
      </c>
    </row>
    <row r="575" spans="1:6" x14ac:dyDescent="0.25">
      <c r="A575">
        <v>59100</v>
      </c>
      <c r="B575">
        <v>4.0217000000000001</v>
      </c>
      <c r="E575">
        <v>59100</v>
      </c>
      <c r="F575">
        <v>3.3757999999999999</v>
      </c>
    </row>
    <row r="576" spans="1:6" x14ac:dyDescent="0.25">
      <c r="A576">
        <v>59200</v>
      </c>
      <c r="B576">
        <v>4.0233999999999996</v>
      </c>
      <c r="E576">
        <v>59200</v>
      </c>
      <c r="F576">
        <v>3.3774000000000002</v>
      </c>
    </row>
    <row r="577" spans="1:6" x14ac:dyDescent="0.25">
      <c r="A577">
        <v>59300</v>
      </c>
      <c r="B577">
        <v>4.0250000000000004</v>
      </c>
      <c r="E577">
        <v>59300</v>
      </c>
      <c r="F577">
        <v>3.3788999999999998</v>
      </c>
    </row>
    <row r="578" spans="1:6" x14ac:dyDescent="0.25">
      <c r="A578">
        <v>59400</v>
      </c>
      <c r="B578">
        <v>4.0266999999999999</v>
      </c>
      <c r="E578">
        <v>59400</v>
      </c>
      <c r="F578">
        <v>3.3805000000000001</v>
      </c>
    </row>
    <row r="579" spans="1:6" x14ac:dyDescent="0.25">
      <c r="A579">
        <v>59500</v>
      </c>
      <c r="B579">
        <v>4.0282999999999998</v>
      </c>
      <c r="E579">
        <v>59500</v>
      </c>
      <c r="F579">
        <v>3.3820000000000001</v>
      </c>
    </row>
    <row r="580" spans="1:6" x14ac:dyDescent="0.25">
      <c r="A580">
        <v>59600</v>
      </c>
      <c r="B580">
        <v>4.0298999999999996</v>
      </c>
      <c r="E580">
        <v>59600</v>
      </c>
      <c r="F580">
        <v>3.3835999999999999</v>
      </c>
    </row>
    <row r="581" spans="1:6" x14ac:dyDescent="0.25">
      <c r="A581">
        <v>59700</v>
      </c>
      <c r="B581">
        <v>4.0316000000000001</v>
      </c>
      <c r="E581">
        <v>59700</v>
      </c>
      <c r="F581">
        <v>3.3851</v>
      </c>
    </row>
    <row r="582" spans="1:6" x14ac:dyDescent="0.25">
      <c r="A582">
        <v>59800</v>
      </c>
      <c r="B582">
        <v>4.0331999999999999</v>
      </c>
      <c r="E582">
        <v>59800</v>
      </c>
      <c r="F582">
        <v>3.3866000000000001</v>
      </c>
    </row>
    <row r="583" spans="1:6" x14ac:dyDescent="0.25">
      <c r="A583">
        <v>59900</v>
      </c>
      <c r="B583">
        <v>4.0347999999999997</v>
      </c>
      <c r="E583">
        <v>59900</v>
      </c>
      <c r="F583">
        <v>3.3881000000000001</v>
      </c>
    </row>
    <row r="584" spans="1:6" x14ac:dyDescent="0.25">
      <c r="A584">
        <v>60000</v>
      </c>
      <c r="B584">
        <v>4.0364000000000004</v>
      </c>
      <c r="E584">
        <v>60000</v>
      </c>
      <c r="F584">
        <v>3.3896999999999999</v>
      </c>
    </row>
    <row r="585" spans="1:6" x14ac:dyDescent="0.25">
      <c r="A585">
        <v>60100</v>
      </c>
      <c r="B585">
        <v>4.0380000000000003</v>
      </c>
      <c r="E585">
        <v>60100</v>
      </c>
      <c r="F585">
        <v>3.3912</v>
      </c>
    </row>
    <row r="586" spans="1:6" x14ac:dyDescent="0.25">
      <c r="A586">
        <v>60200</v>
      </c>
      <c r="B586">
        <v>4.0396000000000001</v>
      </c>
      <c r="E586">
        <v>60200</v>
      </c>
      <c r="F586">
        <v>3.3927</v>
      </c>
    </row>
    <row r="587" spans="1:6" x14ac:dyDescent="0.25">
      <c r="A587">
        <v>60300</v>
      </c>
      <c r="B587">
        <v>4.0411999999999999</v>
      </c>
      <c r="E587">
        <v>60300</v>
      </c>
      <c r="F587">
        <v>3.3942000000000001</v>
      </c>
    </row>
    <row r="588" spans="1:6" x14ac:dyDescent="0.25">
      <c r="A588">
        <v>60400</v>
      </c>
      <c r="B588">
        <v>4.0427999999999997</v>
      </c>
      <c r="E588">
        <v>60400</v>
      </c>
      <c r="F588">
        <v>3.3957000000000002</v>
      </c>
    </row>
    <row r="589" spans="1:6" x14ac:dyDescent="0.25">
      <c r="A589">
        <v>60500</v>
      </c>
      <c r="B589">
        <v>4.0444000000000004</v>
      </c>
      <c r="E589">
        <v>60500</v>
      </c>
      <c r="F589">
        <v>3.3972000000000002</v>
      </c>
    </row>
    <row r="590" spans="1:6" x14ac:dyDescent="0.25">
      <c r="A590">
        <v>60600</v>
      </c>
      <c r="B590">
        <v>4.0460000000000003</v>
      </c>
      <c r="E590">
        <v>60600</v>
      </c>
      <c r="F590">
        <v>3.3986999999999998</v>
      </c>
    </row>
    <row r="591" spans="1:6" x14ac:dyDescent="0.25">
      <c r="A591">
        <v>60700</v>
      </c>
      <c r="B591">
        <v>4.0475000000000003</v>
      </c>
      <c r="E591">
        <v>60700</v>
      </c>
      <c r="F591">
        <v>3.4001999999999999</v>
      </c>
    </row>
    <row r="592" spans="1:6" x14ac:dyDescent="0.25">
      <c r="A592">
        <v>60800</v>
      </c>
      <c r="B592">
        <v>4.0491000000000001</v>
      </c>
      <c r="E592">
        <v>60800</v>
      </c>
      <c r="F592">
        <v>3.4016000000000002</v>
      </c>
    </row>
    <row r="593" spans="1:6" x14ac:dyDescent="0.25">
      <c r="A593">
        <v>60900</v>
      </c>
      <c r="B593">
        <v>4.0507</v>
      </c>
      <c r="E593">
        <v>60900</v>
      </c>
      <c r="F593">
        <v>3.4030999999999998</v>
      </c>
    </row>
    <row r="594" spans="1:6" x14ac:dyDescent="0.25">
      <c r="A594">
        <v>61000</v>
      </c>
      <c r="B594">
        <v>4.0522</v>
      </c>
      <c r="E594">
        <v>61000</v>
      </c>
      <c r="F594">
        <v>3.4045999999999998</v>
      </c>
    </row>
    <row r="595" spans="1:6" x14ac:dyDescent="0.25">
      <c r="A595">
        <v>61100</v>
      </c>
      <c r="B595">
        <v>4.0537999999999998</v>
      </c>
      <c r="E595">
        <v>61100</v>
      </c>
      <c r="F595">
        <v>3.4060999999999999</v>
      </c>
    </row>
    <row r="596" spans="1:6" x14ac:dyDescent="0.25">
      <c r="A596">
        <v>61200</v>
      </c>
      <c r="B596">
        <v>4.0552999999999999</v>
      </c>
      <c r="E596">
        <v>61200</v>
      </c>
      <c r="F596">
        <v>3.4075000000000002</v>
      </c>
    </row>
    <row r="597" spans="1:6" x14ac:dyDescent="0.25">
      <c r="A597">
        <v>61300</v>
      </c>
      <c r="B597">
        <v>4.0568999999999997</v>
      </c>
      <c r="E597">
        <v>61300</v>
      </c>
      <c r="F597">
        <v>3.4089999999999998</v>
      </c>
    </row>
    <row r="598" spans="1:6" x14ac:dyDescent="0.25">
      <c r="A598">
        <v>61400</v>
      </c>
      <c r="B598">
        <v>4.0583999999999998</v>
      </c>
      <c r="E598">
        <v>61400</v>
      </c>
      <c r="F598">
        <v>3.4104000000000001</v>
      </c>
    </row>
    <row r="599" spans="1:6" x14ac:dyDescent="0.25">
      <c r="A599">
        <v>61500</v>
      </c>
      <c r="B599">
        <v>4.0598999999999998</v>
      </c>
      <c r="E599">
        <v>61500</v>
      </c>
      <c r="F599">
        <v>3.4119000000000002</v>
      </c>
    </row>
    <row r="600" spans="1:6" x14ac:dyDescent="0.25">
      <c r="A600">
        <v>61600</v>
      </c>
      <c r="B600">
        <v>4.0613999999999999</v>
      </c>
      <c r="E600">
        <v>61600</v>
      </c>
      <c r="F600">
        <v>3.4133</v>
      </c>
    </row>
    <row r="601" spans="1:6" x14ac:dyDescent="0.25">
      <c r="A601">
        <v>61700</v>
      </c>
      <c r="B601">
        <v>4.0629999999999997</v>
      </c>
      <c r="E601">
        <v>61700</v>
      </c>
      <c r="F601">
        <v>3.4146999999999998</v>
      </c>
    </row>
    <row r="602" spans="1:6" x14ac:dyDescent="0.25">
      <c r="A602">
        <v>61800</v>
      </c>
      <c r="B602">
        <v>4.0644999999999998</v>
      </c>
      <c r="E602">
        <v>61800</v>
      </c>
      <c r="F602">
        <v>3.4161999999999999</v>
      </c>
    </row>
    <row r="603" spans="1:6" x14ac:dyDescent="0.25">
      <c r="A603">
        <v>61900</v>
      </c>
      <c r="B603">
        <v>4.0659999999999998</v>
      </c>
      <c r="E603">
        <v>61900</v>
      </c>
      <c r="F603">
        <v>3.4176000000000002</v>
      </c>
    </row>
    <row r="604" spans="1:6" x14ac:dyDescent="0.25">
      <c r="A604">
        <v>62000</v>
      </c>
      <c r="B604">
        <v>4.0674999999999999</v>
      </c>
      <c r="E604">
        <v>62000</v>
      </c>
      <c r="F604">
        <v>3.419</v>
      </c>
    </row>
    <row r="605" spans="1:6" x14ac:dyDescent="0.25">
      <c r="A605">
        <v>62100</v>
      </c>
      <c r="B605">
        <v>4.069</v>
      </c>
      <c r="E605">
        <v>62100</v>
      </c>
      <c r="F605">
        <v>3.4205000000000001</v>
      </c>
    </row>
    <row r="606" spans="1:6" x14ac:dyDescent="0.25">
      <c r="A606">
        <v>62200</v>
      </c>
      <c r="B606">
        <v>4.0705</v>
      </c>
      <c r="E606">
        <v>62200</v>
      </c>
      <c r="F606">
        <v>3.4218999999999999</v>
      </c>
    </row>
    <row r="607" spans="1:6" x14ac:dyDescent="0.25">
      <c r="A607">
        <v>62300</v>
      </c>
      <c r="B607">
        <v>4.0720000000000001</v>
      </c>
      <c r="E607">
        <v>62300</v>
      </c>
      <c r="F607">
        <v>3.4232999999999998</v>
      </c>
    </row>
    <row r="608" spans="1:6" x14ac:dyDescent="0.25">
      <c r="A608">
        <v>62400</v>
      </c>
      <c r="B608">
        <v>4.0735000000000001</v>
      </c>
      <c r="E608">
        <v>62400</v>
      </c>
      <c r="F608">
        <v>3.4247000000000001</v>
      </c>
    </row>
    <row r="609" spans="1:6" x14ac:dyDescent="0.25">
      <c r="A609">
        <v>62500</v>
      </c>
      <c r="B609">
        <v>4.0750000000000002</v>
      </c>
      <c r="E609">
        <v>62500</v>
      </c>
      <c r="F609">
        <v>3.4260999999999999</v>
      </c>
    </row>
    <row r="610" spans="1:6" x14ac:dyDescent="0.25">
      <c r="A610">
        <v>62600</v>
      </c>
      <c r="B610">
        <v>4.0763999999999996</v>
      </c>
      <c r="E610">
        <v>62600</v>
      </c>
      <c r="F610">
        <v>3.4275000000000002</v>
      </c>
    </row>
    <row r="611" spans="1:6" x14ac:dyDescent="0.25">
      <c r="A611">
        <v>62700</v>
      </c>
      <c r="B611">
        <v>4.0778999999999996</v>
      </c>
      <c r="E611">
        <v>62700</v>
      </c>
      <c r="F611">
        <v>3.4289000000000001</v>
      </c>
    </row>
    <row r="612" spans="1:6" x14ac:dyDescent="0.25">
      <c r="A612">
        <v>62800</v>
      </c>
      <c r="B612">
        <v>4.0793999999999997</v>
      </c>
      <c r="E612">
        <v>62800</v>
      </c>
      <c r="F612">
        <v>3.4302999999999999</v>
      </c>
    </row>
    <row r="613" spans="1:6" x14ac:dyDescent="0.25">
      <c r="A613">
        <v>62900</v>
      </c>
      <c r="B613">
        <v>4.0808</v>
      </c>
      <c r="E613">
        <v>62900</v>
      </c>
      <c r="F613">
        <v>3.4316</v>
      </c>
    </row>
    <row r="614" spans="1:6" x14ac:dyDescent="0.25">
      <c r="A614">
        <v>63000</v>
      </c>
      <c r="B614">
        <v>4.0823</v>
      </c>
      <c r="E614">
        <v>63000</v>
      </c>
      <c r="F614">
        <v>3.4329999999999998</v>
      </c>
    </row>
    <row r="615" spans="1:6" x14ac:dyDescent="0.25">
      <c r="A615">
        <v>63100</v>
      </c>
      <c r="B615">
        <v>4.0838000000000001</v>
      </c>
      <c r="E615">
        <v>63100</v>
      </c>
      <c r="F615">
        <v>3.4344000000000001</v>
      </c>
    </row>
    <row r="616" spans="1:6" x14ac:dyDescent="0.25">
      <c r="A616">
        <v>63200</v>
      </c>
      <c r="B616">
        <v>4.0852000000000004</v>
      </c>
      <c r="E616">
        <v>63200</v>
      </c>
      <c r="F616">
        <v>3.4358</v>
      </c>
    </row>
    <row r="617" spans="1:6" x14ac:dyDescent="0.25">
      <c r="A617">
        <v>63300</v>
      </c>
      <c r="B617">
        <v>4.0867000000000004</v>
      </c>
      <c r="E617">
        <v>63300</v>
      </c>
      <c r="F617">
        <v>3.4371</v>
      </c>
    </row>
    <row r="618" spans="1:6" x14ac:dyDescent="0.25">
      <c r="A618">
        <v>63400</v>
      </c>
      <c r="B618">
        <v>4.0880999999999998</v>
      </c>
      <c r="E618">
        <v>63400</v>
      </c>
      <c r="F618">
        <v>3.4384999999999999</v>
      </c>
    </row>
    <row r="619" spans="1:6" x14ac:dyDescent="0.25">
      <c r="A619">
        <v>63500</v>
      </c>
      <c r="B619">
        <v>4.0895000000000001</v>
      </c>
      <c r="E619">
        <v>63500</v>
      </c>
      <c r="F619">
        <v>3.4398</v>
      </c>
    </row>
    <row r="620" spans="1:6" x14ac:dyDescent="0.25">
      <c r="A620">
        <v>63600</v>
      </c>
      <c r="B620">
        <v>4.0910000000000002</v>
      </c>
      <c r="E620">
        <v>63600</v>
      </c>
      <c r="F620">
        <v>3.4411999999999998</v>
      </c>
    </row>
    <row r="621" spans="1:6" x14ac:dyDescent="0.25">
      <c r="A621">
        <v>63700</v>
      </c>
      <c r="B621">
        <v>4.0923999999999996</v>
      </c>
      <c r="E621">
        <v>63700</v>
      </c>
      <c r="F621">
        <v>3.4424999999999999</v>
      </c>
    </row>
    <row r="622" spans="1:6" x14ac:dyDescent="0.25">
      <c r="A622">
        <v>63800</v>
      </c>
      <c r="B622">
        <v>4.0937999999999999</v>
      </c>
      <c r="E622">
        <v>63800</v>
      </c>
      <c r="F622">
        <v>3.4439000000000002</v>
      </c>
    </row>
    <row r="623" spans="1:6" x14ac:dyDescent="0.25">
      <c r="A623">
        <v>63900</v>
      </c>
      <c r="B623">
        <v>4.0952000000000002</v>
      </c>
      <c r="E623">
        <v>63900</v>
      </c>
      <c r="F623">
        <v>3.4451999999999998</v>
      </c>
    </row>
    <row r="624" spans="1:6" x14ac:dyDescent="0.25">
      <c r="A624">
        <v>64000</v>
      </c>
      <c r="B624">
        <v>4.0965999999999996</v>
      </c>
      <c r="E624">
        <v>64000</v>
      </c>
      <c r="F624">
        <v>3.4466000000000001</v>
      </c>
    </row>
    <row r="625" spans="1:6" x14ac:dyDescent="0.25">
      <c r="A625">
        <v>64100</v>
      </c>
      <c r="B625">
        <v>4.0979999999999999</v>
      </c>
      <c r="E625">
        <v>64100</v>
      </c>
      <c r="F625">
        <v>3.4479000000000002</v>
      </c>
    </row>
    <row r="626" spans="1:6" x14ac:dyDescent="0.25">
      <c r="A626">
        <v>64200</v>
      </c>
      <c r="B626">
        <v>4.0994999999999999</v>
      </c>
      <c r="E626">
        <v>64200</v>
      </c>
      <c r="F626">
        <v>3.4491999999999998</v>
      </c>
    </row>
    <row r="627" spans="1:6" x14ac:dyDescent="0.25">
      <c r="A627">
        <v>64300</v>
      </c>
      <c r="B627">
        <v>4.1009000000000002</v>
      </c>
      <c r="E627">
        <v>64300</v>
      </c>
      <c r="F627">
        <v>3.4504999999999999</v>
      </c>
    </row>
    <row r="628" spans="1:6" x14ac:dyDescent="0.25">
      <c r="A628">
        <v>64400</v>
      </c>
      <c r="B628">
        <v>4.1022999999999996</v>
      </c>
      <c r="E628">
        <v>64400</v>
      </c>
      <c r="F628">
        <v>3.4519000000000002</v>
      </c>
    </row>
    <row r="629" spans="1:6" x14ac:dyDescent="0.25">
      <c r="A629">
        <v>64500</v>
      </c>
      <c r="B629">
        <v>4.1036000000000001</v>
      </c>
      <c r="E629">
        <v>64500</v>
      </c>
      <c r="F629">
        <v>3.4531999999999998</v>
      </c>
    </row>
    <row r="630" spans="1:6" x14ac:dyDescent="0.25">
      <c r="A630">
        <v>64600</v>
      </c>
      <c r="B630">
        <v>4.1050000000000004</v>
      </c>
      <c r="E630">
        <v>64600</v>
      </c>
      <c r="F630">
        <v>3.4544999999999999</v>
      </c>
    </row>
    <row r="631" spans="1:6" x14ac:dyDescent="0.25">
      <c r="A631">
        <v>64700</v>
      </c>
      <c r="B631">
        <v>4.1063999999999998</v>
      </c>
      <c r="E631">
        <v>64700</v>
      </c>
      <c r="F631">
        <v>3.4558</v>
      </c>
    </row>
    <row r="632" spans="1:6" x14ac:dyDescent="0.25">
      <c r="A632">
        <v>64800</v>
      </c>
      <c r="B632">
        <v>4.1078000000000001</v>
      </c>
      <c r="E632">
        <v>64800</v>
      </c>
      <c r="F632">
        <v>3.4571000000000001</v>
      </c>
    </row>
    <row r="633" spans="1:6" x14ac:dyDescent="0.25">
      <c r="A633">
        <v>64900</v>
      </c>
      <c r="B633">
        <v>4.1092000000000004</v>
      </c>
      <c r="E633">
        <v>64900</v>
      </c>
      <c r="F633">
        <v>3.4584000000000001</v>
      </c>
    </row>
    <row r="634" spans="1:6" x14ac:dyDescent="0.25">
      <c r="A634">
        <v>65000</v>
      </c>
      <c r="B634">
        <v>4.1105</v>
      </c>
      <c r="E634">
        <v>65000</v>
      </c>
      <c r="F634">
        <v>3.4597000000000002</v>
      </c>
    </row>
    <row r="635" spans="1:6" x14ac:dyDescent="0.25">
      <c r="A635">
        <v>65100</v>
      </c>
      <c r="B635">
        <v>4.1119000000000003</v>
      </c>
      <c r="E635">
        <v>65100</v>
      </c>
      <c r="F635">
        <v>3.4609999999999999</v>
      </c>
    </row>
    <row r="636" spans="1:6" x14ac:dyDescent="0.25">
      <c r="A636">
        <v>65200</v>
      </c>
      <c r="B636">
        <v>4.1132999999999997</v>
      </c>
      <c r="E636">
        <v>65200</v>
      </c>
      <c r="F636">
        <v>3.4622999999999999</v>
      </c>
    </row>
    <row r="637" spans="1:6" x14ac:dyDescent="0.25">
      <c r="A637">
        <v>65300</v>
      </c>
      <c r="B637">
        <v>4.1146000000000003</v>
      </c>
      <c r="E637">
        <v>65300</v>
      </c>
      <c r="F637">
        <v>3.4636</v>
      </c>
    </row>
    <row r="638" spans="1:6" x14ac:dyDescent="0.25">
      <c r="A638">
        <v>65400</v>
      </c>
      <c r="B638">
        <v>4.1159999999999997</v>
      </c>
      <c r="E638">
        <v>65400</v>
      </c>
      <c r="F638">
        <v>3.4647999999999999</v>
      </c>
    </row>
    <row r="639" spans="1:6" x14ac:dyDescent="0.25">
      <c r="A639">
        <v>65500</v>
      </c>
      <c r="B639">
        <v>4.1173000000000002</v>
      </c>
      <c r="E639">
        <v>65500</v>
      </c>
      <c r="F639">
        <v>3.4661</v>
      </c>
    </row>
    <row r="640" spans="1:6" x14ac:dyDescent="0.25">
      <c r="A640">
        <v>65600</v>
      </c>
      <c r="B640">
        <v>4.1186999999999996</v>
      </c>
      <c r="E640">
        <v>65600</v>
      </c>
      <c r="F640">
        <v>3.4674</v>
      </c>
    </row>
    <row r="641" spans="1:6" x14ac:dyDescent="0.25">
      <c r="A641">
        <v>65700</v>
      </c>
      <c r="B641">
        <v>4.12</v>
      </c>
      <c r="E641">
        <v>65700</v>
      </c>
      <c r="F641">
        <v>3.4685999999999999</v>
      </c>
    </row>
    <row r="642" spans="1:6" x14ac:dyDescent="0.25">
      <c r="A642">
        <v>65800</v>
      </c>
      <c r="B642">
        <v>4.1214000000000004</v>
      </c>
      <c r="E642">
        <v>65800</v>
      </c>
      <c r="F642">
        <v>3.4699</v>
      </c>
    </row>
    <row r="643" spans="1:6" x14ac:dyDescent="0.25">
      <c r="A643">
        <v>65900</v>
      </c>
      <c r="B643">
        <v>4.1227</v>
      </c>
      <c r="E643">
        <v>65900</v>
      </c>
      <c r="F643">
        <v>3.4712000000000001</v>
      </c>
    </row>
    <row r="644" spans="1:6" x14ac:dyDescent="0.25">
      <c r="A644">
        <v>66000</v>
      </c>
      <c r="B644">
        <v>4.1239999999999997</v>
      </c>
      <c r="E644">
        <v>66000</v>
      </c>
      <c r="F644">
        <v>3.4723999999999999</v>
      </c>
    </row>
    <row r="645" spans="1:6" x14ac:dyDescent="0.25">
      <c r="A645">
        <v>66100</v>
      </c>
      <c r="B645">
        <v>4.1253000000000002</v>
      </c>
      <c r="E645">
        <v>66100</v>
      </c>
      <c r="F645">
        <v>3.4737</v>
      </c>
    </row>
    <row r="646" spans="1:6" x14ac:dyDescent="0.25">
      <c r="A646">
        <v>66200</v>
      </c>
      <c r="B646">
        <v>4.1266999999999996</v>
      </c>
      <c r="E646">
        <v>66200</v>
      </c>
      <c r="F646">
        <v>3.4748999999999999</v>
      </c>
    </row>
    <row r="647" spans="1:6" x14ac:dyDescent="0.25">
      <c r="A647">
        <v>66300</v>
      </c>
      <c r="B647">
        <v>4.1280000000000001</v>
      </c>
      <c r="E647">
        <v>66300</v>
      </c>
      <c r="F647">
        <v>3.4762</v>
      </c>
    </row>
    <row r="648" spans="1:6" x14ac:dyDescent="0.25">
      <c r="A648">
        <v>66400</v>
      </c>
      <c r="B648">
        <v>4.1292999999999997</v>
      </c>
      <c r="E648">
        <v>66400</v>
      </c>
      <c r="F648">
        <v>3.4773999999999998</v>
      </c>
    </row>
    <row r="649" spans="1:6" x14ac:dyDescent="0.25">
      <c r="A649">
        <v>66500</v>
      </c>
      <c r="B649">
        <v>4.1306000000000003</v>
      </c>
      <c r="E649">
        <v>66500</v>
      </c>
      <c r="F649">
        <v>3.4786000000000001</v>
      </c>
    </row>
    <row r="650" spans="1:6" x14ac:dyDescent="0.25">
      <c r="A650">
        <v>66600</v>
      </c>
      <c r="B650">
        <v>4.1318999999999999</v>
      </c>
      <c r="E650">
        <v>66600</v>
      </c>
      <c r="F650">
        <v>3.4799000000000002</v>
      </c>
    </row>
    <row r="651" spans="1:6" x14ac:dyDescent="0.25">
      <c r="A651">
        <v>66700</v>
      </c>
      <c r="B651">
        <v>4.1332000000000004</v>
      </c>
      <c r="E651">
        <v>66700</v>
      </c>
      <c r="F651">
        <v>3.4811000000000001</v>
      </c>
    </row>
    <row r="652" spans="1:6" x14ac:dyDescent="0.25">
      <c r="A652">
        <v>66800</v>
      </c>
      <c r="B652">
        <v>4.1345000000000001</v>
      </c>
      <c r="E652">
        <v>66800</v>
      </c>
      <c r="F652">
        <v>3.4823</v>
      </c>
    </row>
    <row r="653" spans="1:6" x14ac:dyDescent="0.25">
      <c r="A653">
        <v>66900</v>
      </c>
      <c r="B653">
        <v>4.1357999999999997</v>
      </c>
      <c r="E653">
        <v>66900</v>
      </c>
      <c r="F653">
        <v>3.4836</v>
      </c>
    </row>
    <row r="654" spans="1:6" x14ac:dyDescent="0.25">
      <c r="A654">
        <v>67000</v>
      </c>
      <c r="B654">
        <v>4.1371000000000002</v>
      </c>
      <c r="E654">
        <v>67000</v>
      </c>
      <c r="F654">
        <v>3.4847999999999999</v>
      </c>
    </row>
    <row r="655" spans="1:6" x14ac:dyDescent="0.25">
      <c r="A655">
        <v>67100</v>
      </c>
      <c r="B655">
        <v>4.1383999999999999</v>
      </c>
      <c r="E655">
        <v>67100</v>
      </c>
      <c r="F655">
        <v>3.4860000000000002</v>
      </c>
    </row>
    <row r="656" spans="1:6" x14ac:dyDescent="0.25">
      <c r="A656">
        <v>67200</v>
      </c>
      <c r="B656">
        <v>4.1397000000000004</v>
      </c>
      <c r="E656">
        <v>67200</v>
      </c>
      <c r="F656">
        <v>3.4872000000000001</v>
      </c>
    </row>
    <row r="657" spans="1:6" x14ac:dyDescent="0.25">
      <c r="A657">
        <v>67300</v>
      </c>
      <c r="B657">
        <v>4.1409000000000002</v>
      </c>
      <c r="E657">
        <v>67300</v>
      </c>
      <c r="F657">
        <v>3.4883999999999999</v>
      </c>
    </row>
    <row r="658" spans="1:6" x14ac:dyDescent="0.25">
      <c r="A658">
        <v>67400</v>
      </c>
      <c r="B658">
        <v>4.1421999999999999</v>
      </c>
      <c r="E658">
        <v>67400</v>
      </c>
      <c r="F658">
        <v>3.4895999999999998</v>
      </c>
    </row>
    <row r="659" spans="1:6" x14ac:dyDescent="0.25">
      <c r="A659">
        <v>67500</v>
      </c>
      <c r="B659">
        <v>4.1435000000000004</v>
      </c>
      <c r="E659">
        <v>67500</v>
      </c>
      <c r="F659">
        <v>3.4908000000000001</v>
      </c>
    </row>
    <row r="660" spans="1:6" x14ac:dyDescent="0.25">
      <c r="A660">
        <v>67600</v>
      </c>
      <c r="B660">
        <v>4.1447000000000003</v>
      </c>
      <c r="E660">
        <v>67600</v>
      </c>
      <c r="F660">
        <v>3.492</v>
      </c>
    </row>
    <row r="661" spans="1:6" x14ac:dyDescent="0.25">
      <c r="A661">
        <v>67700</v>
      </c>
      <c r="B661">
        <v>4.1459999999999999</v>
      </c>
      <c r="E661">
        <v>67700</v>
      </c>
      <c r="F661">
        <v>3.4931999999999999</v>
      </c>
    </row>
    <row r="662" spans="1:6" x14ac:dyDescent="0.25">
      <c r="A662">
        <v>67800</v>
      </c>
      <c r="B662">
        <v>4.1473000000000004</v>
      </c>
      <c r="E662">
        <v>67800</v>
      </c>
      <c r="F662">
        <v>3.4944000000000002</v>
      </c>
    </row>
    <row r="663" spans="1:6" x14ac:dyDescent="0.25">
      <c r="A663">
        <v>67900</v>
      </c>
      <c r="B663">
        <v>4.1485000000000003</v>
      </c>
      <c r="E663">
        <v>67900</v>
      </c>
      <c r="F663">
        <v>3.4956</v>
      </c>
    </row>
    <row r="664" spans="1:6" x14ac:dyDescent="0.25">
      <c r="A664">
        <v>68000</v>
      </c>
      <c r="B664">
        <v>4.1497999999999999</v>
      </c>
      <c r="E664">
        <v>68000</v>
      </c>
      <c r="F664">
        <v>3.4967999999999999</v>
      </c>
    </row>
    <row r="665" spans="1:6" x14ac:dyDescent="0.25">
      <c r="A665">
        <v>68100</v>
      </c>
      <c r="B665">
        <v>4.1509999999999998</v>
      </c>
      <c r="E665">
        <v>68100</v>
      </c>
      <c r="F665">
        <v>3.4979</v>
      </c>
    </row>
    <row r="666" spans="1:6" x14ac:dyDescent="0.25">
      <c r="A666">
        <v>68200</v>
      </c>
      <c r="B666">
        <v>4.1523000000000003</v>
      </c>
      <c r="E666">
        <v>68200</v>
      </c>
      <c r="F666">
        <v>3.4990999999999999</v>
      </c>
    </row>
    <row r="667" spans="1:6" x14ac:dyDescent="0.25">
      <c r="A667">
        <v>68300</v>
      </c>
      <c r="B667">
        <v>4.1535000000000002</v>
      </c>
      <c r="E667">
        <v>68300</v>
      </c>
      <c r="F667">
        <v>3.5003000000000002</v>
      </c>
    </row>
    <row r="668" spans="1:6" x14ac:dyDescent="0.25">
      <c r="A668">
        <v>68400</v>
      </c>
      <c r="B668">
        <v>4.1547999999999998</v>
      </c>
      <c r="E668">
        <v>68400</v>
      </c>
      <c r="F668">
        <v>3.5015000000000001</v>
      </c>
    </row>
    <row r="669" spans="1:6" x14ac:dyDescent="0.25">
      <c r="A669">
        <v>68500</v>
      </c>
      <c r="B669">
        <v>4.1559999999999997</v>
      </c>
      <c r="E669">
        <v>68500</v>
      </c>
      <c r="F669">
        <v>3.5026000000000002</v>
      </c>
    </row>
    <row r="670" spans="1:6" x14ac:dyDescent="0.25">
      <c r="A670">
        <v>68600</v>
      </c>
      <c r="B670">
        <v>4.1571999999999996</v>
      </c>
      <c r="E670">
        <v>68600</v>
      </c>
      <c r="F670">
        <v>3.5038</v>
      </c>
    </row>
    <row r="671" spans="1:6" x14ac:dyDescent="0.25">
      <c r="A671">
        <v>68700</v>
      </c>
      <c r="B671">
        <v>4.1584000000000003</v>
      </c>
      <c r="E671">
        <v>68700</v>
      </c>
      <c r="F671">
        <v>3.5049000000000001</v>
      </c>
    </row>
    <row r="672" spans="1:6" x14ac:dyDescent="0.25">
      <c r="A672">
        <v>68800</v>
      </c>
      <c r="B672">
        <v>4.1597</v>
      </c>
      <c r="E672">
        <v>68800</v>
      </c>
      <c r="F672">
        <v>3.5061</v>
      </c>
    </row>
    <row r="673" spans="1:8" x14ac:dyDescent="0.25">
      <c r="A673">
        <v>68900</v>
      </c>
      <c r="B673">
        <v>4.1608999999999998</v>
      </c>
      <c r="E673">
        <v>68900</v>
      </c>
      <c r="F673">
        <v>3.5072999999999999</v>
      </c>
    </row>
    <row r="674" spans="1:8" x14ac:dyDescent="0.25">
      <c r="A674">
        <v>69000</v>
      </c>
      <c r="B674">
        <v>4.1620999999999997</v>
      </c>
      <c r="E674">
        <v>69000</v>
      </c>
      <c r="F674">
        <v>3.5084</v>
      </c>
    </row>
    <row r="675" spans="1:8" x14ac:dyDescent="0.25">
      <c r="A675">
        <v>69100</v>
      </c>
      <c r="B675">
        <v>4.1632999999999996</v>
      </c>
      <c r="E675">
        <v>69100</v>
      </c>
      <c r="F675">
        <v>3.5095999999999998</v>
      </c>
    </row>
    <row r="676" spans="1:8" x14ac:dyDescent="0.25">
      <c r="A676">
        <v>69200</v>
      </c>
      <c r="B676">
        <v>4.1645000000000003</v>
      </c>
      <c r="E676">
        <v>69200</v>
      </c>
      <c r="F676">
        <v>3.5106999999999999</v>
      </c>
    </row>
    <row r="677" spans="1:8" x14ac:dyDescent="0.25">
      <c r="A677">
        <v>69300</v>
      </c>
      <c r="B677">
        <v>4.1657000000000002</v>
      </c>
      <c r="E677">
        <v>69300</v>
      </c>
      <c r="F677">
        <v>3.5118</v>
      </c>
    </row>
    <row r="678" spans="1:8" x14ac:dyDescent="0.25">
      <c r="A678">
        <v>69400</v>
      </c>
      <c r="B678">
        <v>4.1669</v>
      </c>
      <c r="E678">
        <v>69400</v>
      </c>
      <c r="F678">
        <v>3.5129999999999999</v>
      </c>
    </row>
    <row r="679" spans="1:8" x14ac:dyDescent="0.25">
      <c r="A679">
        <v>69500</v>
      </c>
      <c r="B679">
        <v>4.1680999999999999</v>
      </c>
      <c r="E679">
        <v>69500</v>
      </c>
      <c r="F679">
        <v>3.5141</v>
      </c>
    </row>
    <row r="680" spans="1:8" x14ac:dyDescent="0.25">
      <c r="A680">
        <v>69600</v>
      </c>
      <c r="B680">
        <v>4.1692999999999998</v>
      </c>
      <c r="E680">
        <v>69600</v>
      </c>
      <c r="F680">
        <v>3.5152000000000001</v>
      </c>
    </row>
    <row r="681" spans="1:8" x14ac:dyDescent="0.25">
      <c r="A681">
        <v>69700</v>
      </c>
      <c r="B681">
        <v>4.1704999999999997</v>
      </c>
      <c r="E681">
        <v>69700</v>
      </c>
      <c r="F681">
        <v>3.5164</v>
      </c>
    </row>
    <row r="682" spans="1:8" x14ac:dyDescent="0.25">
      <c r="A682">
        <v>69800</v>
      </c>
      <c r="B682">
        <v>4.1717000000000004</v>
      </c>
      <c r="E682">
        <v>69800</v>
      </c>
      <c r="F682">
        <v>3.5175000000000001</v>
      </c>
    </row>
    <row r="683" spans="1:8" x14ac:dyDescent="0.25">
      <c r="A683">
        <v>69900</v>
      </c>
      <c r="B683">
        <v>4.1729000000000003</v>
      </c>
      <c r="E683">
        <v>69900</v>
      </c>
      <c r="F683">
        <v>3.5186000000000002</v>
      </c>
      <c r="G683">
        <f>E683*F683/100*KT_Satz</f>
        <v>7439.9917350000005</v>
      </c>
      <c r="H683" cm="1">
        <f t="array" ref="H683">KantonEinkommenSteuer(E683,Ziv)</f>
        <v>7439.9917350000005</v>
      </c>
    </row>
    <row r="684" spans="1:8" x14ac:dyDescent="0.25">
      <c r="A684">
        <v>70000</v>
      </c>
      <c r="B684">
        <v>4.1741000000000001</v>
      </c>
      <c r="E684">
        <v>70000</v>
      </c>
      <c r="F684">
        <v>3.5196999999999998</v>
      </c>
      <c r="G684">
        <f>E684*F684/100*KT_Satz</f>
        <v>7452.9647500000001</v>
      </c>
      <c r="H684" cm="1">
        <f t="array" ref="H684">KantonEinkommenSteuer(E684,Ziv)</f>
        <v>7452.9647500000001</v>
      </c>
    </row>
    <row r="685" spans="1:8" x14ac:dyDescent="0.25">
      <c r="A685">
        <v>70100</v>
      </c>
      <c r="B685">
        <v>4.1752000000000002</v>
      </c>
      <c r="E685">
        <v>70100</v>
      </c>
      <c r="F685">
        <v>3.5207999999999999</v>
      </c>
    </row>
    <row r="686" spans="1:8" x14ac:dyDescent="0.25">
      <c r="A686">
        <v>70200</v>
      </c>
      <c r="B686">
        <v>4.1764000000000001</v>
      </c>
      <c r="E686">
        <v>70200</v>
      </c>
      <c r="F686">
        <v>3.5219</v>
      </c>
    </row>
    <row r="687" spans="1:8" x14ac:dyDescent="0.25">
      <c r="A687">
        <v>70300</v>
      </c>
      <c r="B687">
        <v>4.1776</v>
      </c>
      <c r="E687">
        <v>70300</v>
      </c>
      <c r="F687">
        <v>3.5230000000000001</v>
      </c>
    </row>
    <row r="688" spans="1:8" x14ac:dyDescent="0.25">
      <c r="A688">
        <v>70400</v>
      </c>
      <c r="B688">
        <v>4.1787999999999998</v>
      </c>
      <c r="E688">
        <v>70400</v>
      </c>
      <c r="F688">
        <v>3.5240999999999998</v>
      </c>
    </row>
    <row r="689" spans="1:6" x14ac:dyDescent="0.25">
      <c r="A689">
        <v>70500</v>
      </c>
      <c r="B689">
        <v>4.1798999999999999</v>
      </c>
      <c r="E689">
        <v>70500</v>
      </c>
      <c r="F689">
        <v>3.5251999999999999</v>
      </c>
    </row>
    <row r="690" spans="1:6" x14ac:dyDescent="0.25">
      <c r="A690">
        <v>70600</v>
      </c>
      <c r="B690">
        <v>4.1810999999999998</v>
      </c>
      <c r="E690">
        <v>70600</v>
      </c>
      <c r="F690">
        <v>3.5263</v>
      </c>
    </row>
    <row r="691" spans="1:6" x14ac:dyDescent="0.25">
      <c r="A691">
        <v>70700</v>
      </c>
      <c r="B691">
        <v>4.1821999999999999</v>
      </c>
      <c r="E691">
        <v>70700</v>
      </c>
      <c r="F691">
        <v>3.5274000000000001</v>
      </c>
    </row>
    <row r="692" spans="1:6" x14ac:dyDescent="0.25">
      <c r="A692">
        <v>70800</v>
      </c>
      <c r="B692">
        <v>4.1833999999999998</v>
      </c>
      <c r="E692">
        <v>70800</v>
      </c>
      <c r="F692">
        <v>3.5285000000000002</v>
      </c>
    </row>
    <row r="693" spans="1:6" x14ac:dyDescent="0.25">
      <c r="A693">
        <v>70900</v>
      </c>
      <c r="B693">
        <v>4.1845999999999997</v>
      </c>
      <c r="E693">
        <v>70900</v>
      </c>
      <c r="F693">
        <v>3.5295999999999998</v>
      </c>
    </row>
    <row r="694" spans="1:6" x14ac:dyDescent="0.25">
      <c r="A694">
        <v>71000</v>
      </c>
      <c r="B694">
        <v>4.1856999999999998</v>
      </c>
      <c r="E694">
        <v>71000</v>
      </c>
      <c r="F694">
        <v>3.5306999999999999</v>
      </c>
    </row>
    <row r="695" spans="1:6" x14ac:dyDescent="0.25">
      <c r="A695">
        <v>71100</v>
      </c>
      <c r="B695">
        <v>4.1867999999999999</v>
      </c>
      <c r="E695">
        <v>71100</v>
      </c>
      <c r="F695">
        <v>3.5318000000000001</v>
      </c>
    </row>
    <row r="696" spans="1:6" x14ac:dyDescent="0.25">
      <c r="A696">
        <v>71200</v>
      </c>
      <c r="B696">
        <v>4.1879999999999997</v>
      </c>
      <c r="E696">
        <v>71200</v>
      </c>
      <c r="F696">
        <v>3.5329000000000002</v>
      </c>
    </row>
    <row r="697" spans="1:6" x14ac:dyDescent="0.25">
      <c r="A697">
        <v>71300</v>
      </c>
      <c r="B697">
        <v>4.1890999999999998</v>
      </c>
      <c r="E697">
        <v>71300</v>
      </c>
      <c r="F697">
        <v>3.5339</v>
      </c>
    </row>
    <row r="698" spans="1:6" x14ac:dyDescent="0.25">
      <c r="A698">
        <v>71400</v>
      </c>
      <c r="B698">
        <v>4.1902999999999997</v>
      </c>
      <c r="E698">
        <v>71400</v>
      </c>
      <c r="F698">
        <v>3.5350000000000001</v>
      </c>
    </row>
    <row r="699" spans="1:6" x14ac:dyDescent="0.25">
      <c r="A699">
        <v>71500</v>
      </c>
      <c r="B699">
        <v>4.1913999999999998</v>
      </c>
      <c r="E699">
        <v>71500</v>
      </c>
      <c r="F699">
        <v>3.5360999999999998</v>
      </c>
    </row>
    <row r="700" spans="1:6" x14ac:dyDescent="0.25">
      <c r="A700">
        <v>71600</v>
      </c>
      <c r="B700">
        <v>4.1924999999999999</v>
      </c>
      <c r="E700">
        <v>71600</v>
      </c>
      <c r="F700">
        <v>3.5371999999999999</v>
      </c>
    </row>
    <row r="701" spans="1:6" x14ac:dyDescent="0.25">
      <c r="A701">
        <v>71700</v>
      </c>
      <c r="B701">
        <v>4.1936999999999998</v>
      </c>
      <c r="E701">
        <v>71700</v>
      </c>
      <c r="F701">
        <v>3.5381999999999998</v>
      </c>
    </row>
    <row r="702" spans="1:6" x14ac:dyDescent="0.25">
      <c r="A702">
        <v>71800</v>
      </c>
      <c r="B702">
        <v>4.1947999999999999</v>
      </c>
      <c r="E702">
        <v>71800</v>
      </c>
      <c r="F702">
        <v>3.5392999999999999</v>
      </c>
    </row>
    <row r="703" spans="1:6" x14ac:dyDescent="0.25">
      <c r="A703">
        <v>71900</v>
      </c>
      <c r="B703">
        <v>4.1959</v>
      </c>
      <c r="E703">
        <v>71900</v>
      </c>
      <c r="F703">
        <v>3.5402999999999998</v>
      </c>
    </row>
    <row r="704" spans="1:6" x14ac:dyDescent="0.25">
      <c r="A704">
        <v>72000</v>
      </c>
      <c r="B704">
        <v>4.1970000000000001</v>
      </c>
      <c r="E704">
        <v>72000</v>
      </c>
      <c r="F704">
        <v>3.5413999999999999</v>
      </c>
    </row>
    <row r="705" spans="1:6" x14ac:dyDescent="0.25">
      <c r="A705">
        <v>72100</v>
      </c>
      <c r="B705">
        <v>4.1981000000000002</v>
      </c>
      <c r="E705">
        <v>72100</v>
      </c>
      <c r="F705">
        <v>3.5424000000000002</v>
      </c>
    </row>
    <row r="706" spans="1:6" x14ac:dyDescent="0.25">
      <c r="A706">
        <v>72200</v>
      </c>
      <c r="B706">
        <v>4.1992000000000003</v>
      </c>
      <c r="E706">
        <v>72200</v>
      </c>
      <c r="F706">
        <v>3.5434999999999999</v>
      </c>
    </row>
    <row r="707" spans="1:6" x14ac:dyDescent="0.25">
      <c r="A707">
        <v>72300</v>
      </c>
      <c r="B707">
        <v>4.2003000000000004</v>
      </c>
      <c r="E707">
        <v>72300</v>
      </c>
      <c r="F707">
        <v>3.5445000000000002</v>
      </c>
    </row>
    <row r="708" spans="1:6" x14ac:dyDescent="0.25">
      <c r="A708">
        <v>72400</v>
      </c>
      <c r="B708">
        <v>4.2015000000000002</v>
      </c>
      <c r="E708">
        <v>72400</v>
      </c>
      <c r="F708">
        <v>3.5455999999999999</v>
      </c>
    </row>
    <row r="709" spans="1:6" x14ac:dyDescent="0.25">
      <c r="A709">
        <v>72500</v>
      </c>
      <c r="B709">
        <v>4.2026000000000003</v>
      </c>
      <c r="E709">
        <v>72500</v>
      </c>
      <c r="F709">
        <v>3.5466000000000002</v>
      </c>
    </row>
    <row r="710" spans="1:6" x14ac:dyDescent="0.25">
      <c r="A710">
        <v>72600</v>
      </c>
      <c r="B710">
        <v>4.2037000000000004</v>
      </c>
      <c r="E710">
        <v>72600</v>
      </c>
      <c r="F710">
        <v>3.5476999999999999</v>
      </c>
    </row>
    <row r="711" spans="1:6" x14ac:dyDescent="0.25">
      <c r="A711">
        <v>72700</v>
      </c>
      <c r="B711">
        <v>4.2046999999999999</v>
      </c>
      <c r="E711">
        <v>72700</v>
      </c>
      <c r="F711">
        <v>3.5487000000000002</v>
      </c>
    </row>
    <row r="712" spans="1:6" x14ac:dyDescent="0.25">
      <c r="A712">
        <v>72800</v>
      </c>
      <c r="B712">
        <v>4.2058</v>
      </c>
      <c r="E712">
        <v>72800</v>
      </c>
      <c r="F712">
        <v>3.5497000000000001</v>
      </c>
    </row>
    <row r="713" spans="1:6" x14ac:dyDescent="0.25">
      <c r="A713">
        <v>72900</v>
      </c>
      <c r="B713">
        <v>4.2069000000000001</v>
      </c>
      <c r="E713">
        <v>72900</v>
      </c>
      <c r="F713">
        <v>3.5508000000000002</v>
      </c>
    </row>
    <row r="714" spans="1:6" x14ac:dyDescent="0.25">
      <c r="A714">
        <v>73000</v>
      </c>
      <c r="B714">
        <v>4.2080000000000002</v>
      </c>
      <c r="E714">
        <v>73000</v>
      </c>
      <c r="F714">
        <v>3.5518000000000001</v>
      </c>
    </row>
    <row r="715" spans="1:6" x14ac:dyDescent="0.25">
      <c r="A715">
        <v>73100</v>
      </c>
      <c r="B715">
        <v>4.2091000000000003</v>
      </c>
      <c r="E715">
        <v>73100</v>
      </c>
      <c r="F715">
        <v>3.5528</v>
      </c>
    </row>
    <row r="716" spans="1:6" x14ac:dyDescent="0.25">
      <c r="A716">
        <v>73200</v>
      </c>
      <c r="B716">
        <v>4.2102000000000004</v>
      </c>
      <c r="E716">
        <v>73200</v>
      </c>
      <c r="F716">
        <v>3.5537999999999998</v>
      </c>
    </row>
    <row r="717" spans="1:6" x14ac:dyDescent="0.25">
      <c r="A717">
        <v>73300</v>
      </c>
      <c r="B717">
        <v>4.2112999999999996</v>
      </c>
      <c r="E717">
        <v>73300</v>
      </c>
      <c r="F717">
        <v>3.5548000000000002</v>
      </c>
    </row>
    <row r="718" spans="1:6" x14ac:dyDescent="0.25">
      <c r="A718">
        <v>73400</v>
      </c>
      <c r="B718">
        <v>4.2122999999999999</v>
      </c>
      <c r="E718">
        <v>73400</v>
      </c>
      <c r="F718">
        <v>3.5558999999999998</v>
      </c>
    </row>
    <row r="719" spans="1:6" x14ac:dyDescent="0.25">
      <c r="A719">
        <v>73500</v>
      </c>
      <c r="B719">
        <v>4.2134</v>
      </c>
      <c r="E719">
        <v>73500</v>
      </c>
      <c r="F719">
        <v>3.5569000000000002</v>
      </c>
    </row>
    <row r="720" spans="1:6" x14ac:dyDescent="0.25">
      <c r="A720">
        <v>73600</v>
      </c>
      <c r="B720">
        <v>4.2145000000000001</v>
      </c>
      <c r="E720">
        <v>73600</v>
      </c>
      <c r="F720">
        <v>3.5579000000000001</v>
      </c>
    </row>
    <row r="721" spans="1:6" x14ac:dyDescent="0.25">
      <c r="A721">
        <v>73700</v>
      </c>
      <c r="B721">
        <v>4.2154999999999996</v>
      </c>
      <c r="E721">
        <v>73700</v>
      </c>
      <c r="F721">
        <v>3.5589</v>
      </c>
    </row>
    <row r="722" spans="1:6" x14ac:dyDescent="0.25">
      <c r="A722">
        <v>73800</v>
      </c>
      <c r="B722">
        <v>4.2165999999999997</v>
      </c>
      <c r="E722">
        <v>73800</v>
      </c>
      <c r="F722">
        <v>3.5598999999999998</v>
      </c>
    </row>
    <row r="723" spans="1:6" x14ac:dyDescent="0.25">
      <c r="A723">
        <v>73900</v>
      </c>
      <c r="B723">
        <v>4.2176999999999998</v>
      </c>
      <c r="E723">
        <v>73900</v>
      </c>
      <c r="F723">
        <v>3.5609000000000002</v>
      </c>
    </row>
    <row r="724" spans="1:6" x14ac:dyDescent="0.25">
      <c r="A724">
        <v>74000</v>
      </c>
      <c r="B724">
        <v>4.2187000000000001</v>
      </c>
      <c r="E724">
        <v>74000</v>
      </c>
      <c r="F724">
        <v>3.5619000000000001</v>
      </c>
    </row>
    <row r="725" spans="1:6" x14ac:dyDescent="0.25">
      <c r="A725">
        <v>74100</v>
      </c>
      <c r="B725">
        <v>4.2198000000000002</v>
      </c>
      <c r="E725">
        <v>74100</v>
      </c>
      <c r="F725">
        <v>3.5629</v>
      </c>
    </row>
    <row r="726" spans="1:6" x14ac:dyDescent="0.25">
      <c r="A726">
        <v>74200</v>
      </c>
      <c r="B726">
        <v>4.2207999999999997</v>
      </c>
      <c r="E726">
        <v>74200</v>
      </c>
      <c r="F726">
        <v>3.5638999999999998</v>
      </c>
    </row>
    <row r="727" spans="1:6" x14ac:dyDescent="0.25">
      <c r="A727">
        <v>74300</v>
      </c>
      <c r="B727">
        <v>4.2218999999999998</v>
      </c>
      <c r="E727">
        <v>74300</v>
      </c>
      <c r="F727">
        <v>3.5649000000000002</v>
      </c>
    </row>
    <row r="728" spans="1:6" x14ac:dyDescent="0.25">
      <c r="A728">
        <v>74400</v>
      </c>
      <c r="B728">
        <v>4.2229000000000001</v>
      </c>
      <c r="E728">
        <v>74400</v>
      </c>
      <c r="F728">
        <v>3.5659000000000001</v>
      </c>
    </row>
    <row r="729" spans="1:6" x14ac:dyDescent="0.25">
      <c r="A729">
        <v>74500</v>
      </c>
      <c r="B729">
        <v>4.2240000000000002</v>
      </c>
      <c r="E729">
        <v>74500</v>
      </c>
      <c r="F729">
        <v>3.5668000000000002</v>
      </c>
    </row>
    <row r="730" spans="1:6" x14ac:dyDescent="0.25">
      <c r="A730">
        <v>74600</v>
      </c>
      <c r="B730">
        <v>4.2249999999999996</v>
      </c>
      <c r="E730">
        <v>74600</v>
      </c>
      <c r="F730">
        <v>3.5678000000000001</v>
      </c>
    </row>
    <row r="731" spans="1:6" x14ac:dyDescent="0.25">
      <c r="A731">
        <v>74700</v>
      </c>
      <c r="B731">
        <v>4.226</v>
      </c>
      <c r="E731">
        <v>74700</v>
      </c>
      <c r="F731">
        <v>3.5688</v>
      </c>
    </row>
    <row r="732" spans="1:6" x14ac:dyDescent="0.25">
      <c r="A732">
        <v>74800</v>
      </c>
      <c r="B732">
        <v>4.2271000000000001</v>
      </c>
      <c r="E732">
        <v>74800</v>
      </c>
      <c r="F732">
        <v>3.5697999999999999</v>
      </c>
    </row>
    <row r="733" spans="1:6" x14ac:dyDescent="0.25">
      <c r="A733">
        <v>74900</v>
      </c>
      <c r="B733">
        <v>4.2281000000000004</v>
      </c>
      <c r="E733">
        <v>74900</v>
      </c>
      <c r="F733">
        <v>3.5708000000000002</v>
      </c>
    </row>
    <row r="734" spans="1:6" x14ac:dyDescent="0.25">
      <c r="A734">
        <v>75000</v>
      </c>
      <c r="B734">
        <v>4.2290999999999999</v>
      </c>
      <c r="E734">
        <v>75000</v>
      </c>
      <c r="F734">
        <v>3.5716999999999999</v>
      </c>
    </row>
    <row r="735" spans="1:6" x14ac:dyDescent="0.25">
      <c r="A735">
        <v>75100</v>
      </c>
      <c r="B735">
        <v>4.2302</v>
      </c>
      <c r="E735">
        <v>75100</v>
      </c>
      <c r="F735">
        <v>3.5727000000000002</v>
      </c>
    </row>
    <row r="736" spans="1:6" x14ac:dyDescent="0.25">
      <c r="A736">
        <v>75200</v>
      </c>
      <c r="B736">
        <v>4.2312000000000003</v>
      </c>
      <c r="E736">
        <v>75200</v>
      </c>
      <c r="F736">
        <v>3.5737000000000001</v>
      </c>
    </row>
    <row r="737" spans="1:6" x14ac:dyDescent="0.25">
      <c r="A737">
        <v>75300</v>
      </c>
      <c r="B737">
        <v>4.2321999999999997</v>
      </c>
      <c r="E737">
        <v>75300</v>
      </c>
      <c r="F737">
        <v>3.5746000000000002</v>
      </c>
    </row>
    <row r="738" spans="1:6" x14ac:dyDescent="0.25">
      <c r="A738">
        <v>75400</v>
      </c>
      <c r="B738">
        <v>4.2332000000000001</v>
      </c>
      <c r="E738">
        <v>75400</v>
      </c>
      <c r="F738">
        <v>3.5756000000000001</v>
      </c>
    </row>
    <row r="739" spans="1:6" x14ac:dyDescent="0.25">
      <c r="A739">
        <v>75500</v>
      </c>
      <c r="B739">
        <v>4.2342000000000004</v>
      </c>
      <c r="E739">
        <v>75500</v>
      </c>
      <c r="F739">
        <v>3.5766</v>
      </c>
    </row>
    <row r="740" spans="1:6" x14ac:dyDescent="0.25">
      <c r="A740">
        <v>75600</v>
      </c>
      <c r="B740">
        <v>4.2352999999999996</v>
      </c>
      <c r="E740">
        <v>75600</v>
      </c>
      <c r="F740">
        <v>3.5775000000000001</v>
      </c>
    </row>
    <row r="741" spans="1:6" x14ac:dyDescent="0.25">
      <c r="A741">
        <v>75700</v>
      </c>
      <c r="B741">
        <v>4.2363</v>
      </c>
      <c r="E741">
        <v>75700</v>
      </c>
      <c r="F741">
        <v>3.5785</v>
      </c>
    </row>
    <row r="742" spans="1:6" x14ac:dyDescent="0.25">
      <c r="A742">
        <v>75800</v>
      </c>
      <c r="B742">
        <v>4.2373000000000003</v>
      </c>
      <c r="E742">
        <v>75800</v>
      </c>
      <c r="F742">
        <v>3.5794000000000001</v>
      </c>
    </row>
    <row r="743" spans="1:6" x14ac:dyDescent="0.25">
      <c r="A743">
        <v>75900</v>
      </c>
      <c r="B743">
        <v>4.2382999999999997</v>
      </c>
      <c r="E743">
        <v>75900</v>
      </c>
      <c r="F743">
        <v>3.5804</v>
      </c>
    </row>
    <row r="744" spans="1:6" x14ac:dyDescent="0.25">
      <c r="A744">
        <v>76000</v>
      </c>
      <c r="B744">
        <v>4.2393000000000001</v>
      </c>
      <c r="E744">
        <v>76000</v>
      </c>
      <c r="F744">
        <v>3.5813000000000001</v>
      </c>
    </row>
    <row r="745" spans="1:6" x14ac:dyDescent="0.25">
      <c r="A745">
        <v>76100</v>
      </c>
      <c r="B745">
        <v>4.2403000000000004</v>
      </c>
      <c r="E745">
        <v>76100</v>
      </c>
      <c r="F745">
        <v>3.5823</v>
      </c>
    </row>
    <row r="746" spans="1:6" x14ac:dyDescent="0.25">
      <c r="A746">
        <v>76200</v>
      </c>
      <c r="B746">
        <v>4.2412999999999998</v>
      </c>
      <c r="E746">
        <v>76200</v>
      </c>
      <c r="F746">
        <v>3.5832000000000002</v>
      </c>
    </row>
    <row r="747" spans="1:6" x14ac:dyDescent="0.25">
      <c r="A747">
        <v>76300</v>
      </c>
      <c r="B747">
        <v>4.2423000000000002</v>
      </c>
      <c r="E747">
        <v>76300</v>
      </c>
      <c r="F747">
        <v>3.5840999999999998</v>
      </c>
    </row>
    <row r="748" spans="1:6" x14ac:dyDescent="0.25">
      <c r="A748">
        <v>76400</v>
      </c>
      <c r="B748">
        <v>4.2432999999999996</v>
      </c>
      <c r="E748">
        <v>76400</v>
      </c>
      <c r="F748">
        <v>3.5851000000000002</v>
      </c>
    </row>
    <row r="749" spans="1:6" x14ac:dyDescent="0.25">
      <c r="A749">
        <v>76500</v>
      </c>
      <c r="B749">
        <v>4.2442000000000002</v>
      </c>
      <c r="E749">
        <v>76500</v>
      </c>
      <c r="F749">
        <v>3.5859999999999999</v>
      </c>
    </row>
    <row r="750" spans="1:6" x14ac:dyDescent="0.25">
      <c r="A750">
        <v>76600</v>
      </c>
      <c r="B750">
        <v>4.2451999999999996</v>
      </c>
      <c r="E750">
        <v>76600</v>
      </c>
      <c r="F750">
        <v>3.5869</v>
      </c>
    </row>
    <row r="751" spans="1:6" x14ac:dyDescent="0.25">
      <c r="A751">
        <v>76700</v>
      </c>
      <c r="B751">
        <v>4.2462</v>
      </c>
      <c r="E751">
        <v>76700</v>
      </c>
      <c r="F751">
        <v>3.5878999999999999</v>
      </c>
    </row>
    <row r="752" spans="1:6" x14ac:dyDescent="0.25">
      <c r="A752">
        <v>76800</v>
      </c>
      <c r="B752">
        <v>4.2472000000000003</v>
      </c>
      <c r="E752">
        <v>76800</v>
      </c>
      <c r="F752">
        <v>3.5888</v>
      </c>
    </row>
    <row r="753" spans="1:6" x14ac:dyDescent="0.25">
      <c r="A753">
        <v>76900</v>
      </c>
      <c r="B753">
        <v>4.2481999999999998</v>
      </c>
      <c r="E753">
        <v>76900</v>
      </c>
      <c r="F753">
        <v>3.5897000000000001</v>
      </c>
    </row>
    <row r="754" spans="1:6" x14ac:dyDescent="0.25">
      <c r="A754">
        <v>77000</v>
      </c>
      <c r="B754">
        <v>4.2492000000000001</v>
      </c>
      <c r="E754">
        <v>77000</v>
      </c>
      <c r="F754">
        <v>3.5905999999999998</v>
      </c>
    </row>
    <row r="755" spans="1:6" x14ac:dyDescent="0.25">
      <c r="A755">
        <v>77100</v>
      </c>
      <c r="B755">
        <v>4.2500999999999998</v>
      </c>
      <c r="E755">
        <v>77100</v>
      </c>
      <c r="F755">
        <v>3.5916000000000001</v>
      </c>
    </row>
    <row r="756" spans="1:6" x14ac:dyDescent="0.25">
      <c r="A756">
        <v>77200</v>
      </c>
      <c r="B756">
        <v>4.2511000000000001</v>
      </c>
      <c r="E756">
        <v>77200</v>
      </c>
      <c r="F756">
        <v>3.5924999999999998</v>
      </c>
    </row>
    <row r="757" spans="1:6" x14ac:dyDescent="0.25">
      <c r="A757">
        <v>77300</v>
      </c>
      <c r="B757">
        <v>4.2521000000000004</v>
      </c>
      <c r="E757">
        <v>77300</v>
      </c>
      <c r="F757">
        <v>3.5933999999999999</v>
      </c>
    </row>
    <row r="758" spans="1:6" x14ac:dyDescent="0.25">
      <c r="A758">
        <v>77400</v>
      </c>
      <c r="B758">
        <v>4.2530000000000001</v>
      </c>
      <c r="E758">
        <v>77400</v>
      </c>
      <c r="F758">
        <v>3.5943000000000001</v>
      </c>
    </row>
    <row r="759" spans="1:6" x14ac:dyDescent="0.25">
      <c r="A759">
        <v>77500</v>
      </c>
      <c r="B759">
        <v>4.2539999999999996</v>
      </c>
      <c r="E759">
        <v>77500</v>
      </c>
      <c r="F759">
        <v>3.5952000000000002</v>
      </c>
    </row>
    <row r="760" spans="1:6" x14ac:dyDescent="0.25">
      <c r="A760">
        <v>77600</v>
      </c>
      <c r="B760">
        <v>4.2549999999999999</v>
      </c>
      <c r="E760">
        <v>77600</v>
      </c>
      <c r="F760">
        <v>3.5960999999999999</v>
      </c>
    </row>
    <row r="761" spans="1:6" x14ac:dyDescent="0.25">
      <c r="A761">
        <v>77700</v>
      </c>
      <c r="B761">
        <v>4.2558999999999996</v>
      </c>
      <c r="E761">
        <v>77700</v>
      </c>
      <c r="F761">
        <v>3.597</v>
      </c>
    </row>
    <row r="762" spans="1:6" x14ac:dyDescent="0.25">
      <c r="A762">
        <v>77800</v>
      </c>
      <c r="B762">
        <v>4.2568999999999999</v>
      </c>
      <c r="E762">
        <v>77800</v>
      </c>
      <c r="F762">
        <v>3.5979000000000001</v>
      </c>
    </row>
    <row r="763" spans="1:6" x14ac:dyDescent="0.25">
      <c r="A763">
        <v>77900</v>
      </c>
      <c r="B763">
        <v>4.2577999999999996</v>
      </c>
      <c r="E763">
        <v>77900</v>
      </c>
      <c r="F763">
        <v>3.5988000000000002</v>
      </c>
    </row>
    <row r="764" spans="1:6" x14ac:dyDescent="0.25">
      <c r="A764">
        <v>78000</v>
      </c>
      <c r="B764">
        <v>4.2587999999999999</v>
      </c>
      <c r="E764">
        <v>78000</v>
      </c>
      <c r="F764">
        <v>3.5996999999999999</v>
      </c>
    </row>
    <row r="765" spans="1:6" x14ac:dyDescent="0.25">
      <c r="A765">
        <v>78100</v>
      </c>
      <c r="B765">
        <v>4.2596999999999996</v>
      </c>
      <c r="E765">
        <v>78100</v>
      </c>
      <c r="F765">
        <v>3.6006</v>
      </c>
    </row>
    <row r="766" spans="1:6" x14ac:dyDescent="0.25">
      <c r="A766">
        <v>78200</v>
      </c>
      <c r="B766">
        <v>4.2606999999999999</v>
      </c>
      <c r="E766">
        <v>78200</v>
      </c>
      <c r="F766">
        <v>3.6015000000000001</v>
      </c>
    </row>
    <row r="767" spans="1:6" x14ac:dyDescent="0.25">
      <c r="A767">
        <v>78300</v>
      </c>
      <c r="B767">
        <v>4.2615999999999996</v>
      </c>
      <c r="E767">
        <v>78300</v>
      </c>
      <c r="F767">
        <v>3.6023999999999998</v>
      </c>
    </row>
    <row r="768" spans="1:6" x14ac:dyDescent="0.25">
      <c r="A768">
        <v>78400</v>
      </c>
      <c r="B768">
        <v>4.2625999999999999</v>
      </c>
      <c r="E768">
        <v>78400</v>
      </c>
      <c r="F768">
        <v>3.6032999999999999</v>
      </c>
    </row>
    <row r="769" spans="1:6" x14ac:dyDescent="0.25">
      <c r="A769">
        <v>78500</v>
      </c>
      <c r="B769">
        <v>4.2634999999999996</v>
      </c>
      <c r="E769">
        <v>78500</v>
      </c>
      <c r="F769">
        <v>3.6042000000000001</v>
      </c>
    </row>
    <row r="770" spans="1:6" x14ac:dyDescent="0.25">
      <c r="A770">
        <v>78600</v>
      </c>
      <c r="B770">
        <v>4.2644000000000002</v>
      </c>
      <c r="E770">
        <v>78600</v>
      </c>
      <c r="F770">
        <v>3.6051000000000002</v>
      </c>
    </row>
    <row r="771" spans="1:6" x14ac:dyDescent="0.25">
      <c r="A771">
        <v>78700</v>
      </c>
      <c r="B771">
        <v>4.2653999999999996</v>
      </c>
      <c r="E771">
        <v>78700</v>
      </c>
      <c r="F771">
        <v>3.6059999999999999</v>
      </c>
    </row>
    <row r="772" spans="1:6" x14ac:dyDescent="0.25">
      <c r="A772">
        <v>78800</v>
      </c>
      <c r="B772">
        <v>4.2663000000000002</v>
      </c>
      <c r="E772">
        <v>78800</v>
      </c>
      <c r="F772">
        <v>3.6069</v>
      </c>
    </row>
    <row r="773" spans="1:6" x14ac:dyDescent="0.25">
      <c r="A773">
        <v>78900</v>
      </c>
      <c r="B773">
        <v>4.2671999999999999</v>
      </c>
      <c r="E773">
        <v>78900</v>
      </c>
      <c r="F773">
        <v>3.6076999999999999</v>
      </c>
    </row>
    <row r="774" spans="1:6" x14ac:dyDescent="0.25">
      <c r="A774">
        <v>79000</v>
      </c>
      <c r="B774">
        <v>4.2682000000000002</v>
      </c>
      <c r="E774">
        <v>79000</v>
      </c>
      <c r="F774">
        <v>3.6086</v>
      </c>
    </row>
    <row r="775" spans="1:6" x14ac:dyDescent="0.25">
      <c r="A775">
        <v>79100</v>
      </c>
      <c r="B775">
        <v>4.2690999999999999</v>
      </c>
      <c r="E775">
        <v>79100</v>
      </c>
      <c r="F775">
        <v>3.6095000000000002</v>
      </c>
    </row>
    <row r="776" spans="1:6" x14ac:dyDescent="0.25">
      <c r="A776">
        <v>79200</v>
      </c>
      <c r="B776">
        <v>4.2699999999999996</v>
      </c>
      <c r="E776">
        <v>79200</v>
      </c>
      <c r="F776">
        <v>3.6103999999999998</v>
      </c>
    </row>
    <row r="777" spans="1:6" x14ac:dyDescent="0.25">
      <c r="A777">
        <v>79300</v>
      </c>
      <c r="B777">
        <v>4.2709000000000001</v>
      </c>
      <c r="E777">
        <v>79300</v>
      </c>
      <c r="F777">
        <v>3.6112000000000002</v>
      </c>
    </row>
    <row r="778" spans="1:6" x14ac:dyDescent="0.25">
      <c r="A778">
        <v>79400</v>
      </c>
      <c r="B778">
        <v>4.2718999999999996</v>
      </c>
      <c r="E778">
        <v>79400</v>
      </c>
      <c r="F778">
        <v>3.6120999999999999</v>
      </c>
    </row>
    <row r="779" spans="1:6" x14ac:dyDescent="0.25">
      <c r="A779">
        <v>79500</v>
      </c>
      <c r="B779">
        <v>4.2728000000000002</v>
      </c>
      <c r="E779">
        <v>79500</v>
      </c>
      <c r="F779">
        <v>3.613</v>
      </c>
    </row>
    <row r="780" spans="1:6" x14ac:dyDescent="0.25">
      <c r="A780">
        <v>79600</v>
      </c>
      <c r="B780">
        <v>4.2736999999999998</v>
      </c>
      <c r="E780">
        <v>79600</v>
      </c>
      <c r="F780">
        <v>3.6137999999999999</v>
      </c>
    </row>
    <row r="781" spans="1:6" x14ac:dyDescent="0.25">
      <c r="A781">
        <v>79700</v>
      </c>
      <c r="B781">
        <v>4.2746000000000004</v>
      </c>
      <c r="E781">
        <v>79700</v>
      </c>
      <c r="F781">
        <v>3.6147</v>
      </c>
    </row>
    <row r="782" spans="1:6" x14ac:dyDescent="0.25">
      <c r="A782">
        <v>79800</v>
      </c>
      <c r="B782">
        <v>4.2755000000000001</v>
      </c>
      <c r="E782">
        <v>79800</v>
      </c>
      <c r="F782">
        <v>3.6154999999999999</v>
      </c>
    </row>
    <row r="783" spans="1:6" x14ac:dyDescent="0.25">
      <c r="A783">
        <v>79900</v>
      </c>
      <c r="B783">
        <v>4.2763999999999998</v>
      </c>
      <c r="E783">
        <v>79900</v>
      </c>
      <c r="F783">
        <v>3.6164000000000001</v>
      </c>
    </row>
    <row r="784" spans="1:6" x14ac:dyDescent="0.25">
      <c r="A784">
        <v>80000</v>
      </c>
      <c r="B784">
        <v>4.2773000000000003</v>
      </c>
      <c r="E784">
        <v>80000</v>
      </c>
      <c r="F784">
        <v>3.6173000000000002</v>
      </c>
    </row>
    <row r="785" spans="1:6" x14ac:dyDescent="0.25">
      <c r="A785">
        <v>80100</v>
      </c>
      <c r="B785">
        <v>4.2782</v>
      </c>
      <c r="E785">
        <v>80100</v>
      </c>
      <c r="F785">
        <v>3.6181000000000001</v>
      </c>
    </row>
    <row r="786" spans="1:6" x14ac:dyDescent="0.25">
      <c r="A786">
        <v>80200</v>
      </c>
      <c r="B786">
        <v>4.2790999999999997</v>
      </c>
      <c r="E786">
        <v>80200</v>
      </c>
      <c r="F786">
        <v>3.6190000000000002</v>
      </c>
    </row>
    <row r="787" spans="1:6" x14ac:dyDescent="0.25">
      <c r="A787">
        <v>80300</v>
      </c>
      <c r="B787">
        <v>4.28</v>
      </c>
      <c r="E787">
        <v>80300</v>
      </c>
      <c r="F787">
        <v>3.6198000000000001</v>
      </c>
    </row>
    <row r="788" spans="1:6" x14ac:dyDescent="0.25">
      <c r="A788">
        <v>80400</v>
      </c>
      <c r="B788">
        <v>4.2808999999999999</v>
      </c>
      <c r="E788">
        <v>80400</v>
      </c>
      <c r="F788">
        <v>3.6206</v>
      </c>
    </row>
    <row r="789" spans="1:6" x14ac:dyDescent="0.25">
      <c r="A789">
        <v>80500</v>
      </c>
      <c r="B789">
        <v>4.2817999999999996</v>
      </c>
      <c r="E789">
        <v>80500</v>
      </c>
      <c r="F789">
        <v>3.6215000000000002</v>
      </c>
    </row>
    <row r="790" spans="1:6" x14ac:dyDescent="0.25">
      <c r="A790">
        <v>80600</v>
      </c>
      <c r="B790">
        <v>4.2827000000000002</v>
      </c>
      <c r="E790">
        <v>80600</v>
      </c>
      <c r="F790">
        <v>3.6223000000000001</v>
      </c>
    </row>
    <row r="791" spans="1:6" x14ac:dyDescent="0.25">
      <c r="A791">
        <v>80700</v>
      </c>
      <c r="B791">
        <v>4.2835999999999999</v>
      </c>
      <c r="E791">
        <v>80700</v>
      </c>
      <c r="F791">
        <v>3.6232000000000002</v>
      </c>
    </row>
    <row r="792" spans="1:6" x14ac:dyDescent="0.25">
      <c r="A792">
        <v>80800</v>
      </c>
      <c r="B792">
        <v>4.2845000000000004</v>
      </c>
      <c r="E792">
        <v>80800</v>
      </c>
      <c r="F792">
        <v>3.6240000000000001</v>
      </c>
    </row>
    <row r="793" spans="1:6" x14ac:dyDescent="0.25">
      <c r="A793">
        <v>80900</v>
      </c>
      <c r="B793">
        <v>4.2854000000000001</v>
      </c>
      <c r="E793">
        <v>80900</v>
      </c>
      <c r="F793">
        <v>3.6248</v>
      </c>
    </row>
    <row r="794" spans="1:6" x14ac:dyDescent="0.25">
      <c r="A794">
        <v>81000</v>
      </c>
      <c r="B794">
        <v>4.2862</v>
      </c>
      <c r="E794">
        <v>81000</v>
      </c>
      <c r="F794">
        <v>3.6257000000000001</v>
      </c>
    </row>
    <row r="795" spans="1:6" x14ac:dyDescent="0.25">
      <c r="A795">
        <v>81100</v>
      </c>
      <c r="B795">
        <v>4.2870999999999997</v>
      </c>
      <c r="E795">
        <v>81100</v>
      </c>
      <c r="F795">
        <v>3.6265000000000001</v>
      </c>
    </row>
    <row r="796" spans="1:6" x14ac:dyDescent="0.25">
      <c r="A796">
        <v>81200</v>
      </c>
      <c r="B796">
        <v>4.2880000000000003</v>
      </c>
      <c r="E796">
        <v>81200</v>
      </c>
      <c r="F796">
        <v>3.6273</v>
      </c>
    </row>
    <row r="797" spans="1:6" x14ac:dyDescent="0.25">
      <c r="A797">
        <v>81300</v>
      </c>
      <c r="B797">
        <v>4.2888999999999999</v>
      </c>
      <c r="E797">
        <v>81300</v>
      </c>
      <c r="F797">
        <v>3.6282000000000001</v>
      </c>
    </row>
    <row r="798" spans="1:6" x14ac:dyDescent="0.25">
      <c r="A798">
        <v>81400</v>
      </c>
      <c r="B798">
        <v>4.2896999999999998</v>
      </c>
      <c r="E798">
        <v>81400</v>
      </c>
      <c r="F798">
        <v>3.629</v>
      </c>
    </row>
    <row r="799" spans="1:6" x14ac:dyDescent="0.25">
      <c r="A799">
        <v>81500</v>
      </c>
      <c r="B799">
        <v>4.2906000000000004</v>
      </c>
      <c r="E799">
        <v>81500</v>
      </c>
      <c r="F799">
        <v>3.6297999999999999</v>
      </c>
    </row>
    <row r="800" spans="1:6" x14ac:dyDescent="0.25">
      <c r="A800">
        <v>81600</v>
      </c>
      <c r="B800">
        <v>4.2915000000000001</v>
      </c>
      <c r="E800">
        <v>81600</v>
      </c>
      <c r="F800">
        <v>3.6305999999999998</v>
      </c>
    </row>
    <row r="801" spans="1:6" x14ac:dyDescent="0.25">
      <c r="A801">
        <v>81700</v>
      </c>
      <c r="B801">
        <v>4.2923999999999998</v>
      </c>
      <c r="E801">
        <v>81700</v>
      </c>
      <c r="F801">
        <v>3.6315</v>
      </c>
    </row>
    <row r="802" spans="1:6" x14ac:dyDescent="0.25">
      <c r="A802">
        <v>81800</v>
      </c>
      <c r="B802">
        <v>4.2931999999999997</v>
      </c>
      <c r="E802">
        <v>81800</v>
      </c>
      <c r="F802">
        <v>3.6322999999999999</v>
      </c>
    </row>
    <row r="803" spans="1:6" x14ac:dyDescent="0.25">
      <c r="A803">
        <v>81900</v>
      </c>
      <c r="B803">
        <v>4.2941000000000003</v>
      </c>
      <c r="E803">
        <v>81900</v>
      </c>
      <c r="F803">
        <v>3.6331000000000002</v>
      </c>
    </row>
    <row r="804" spans="1:6" x14ac:dyDescent="0.25">
      <c r="A804">
        <v>82000</v>
      </c>
      <c r="B804">
        <v>4.2949000000000002</v>
      </c>
      <c r="E804">
        <v>82000</v>
      </c>
      <c r="F804">
        <v>3.6339000000000001</v>
      </c>
    </row>
    <row r="805" spans="1:6" x14ac:dyDescent="0.25">
      <c r="A805">
        <v>82100</v>
      </c>
      <c r="B805">
        <v>4.2957999999999998</v>
      </c>
      <c r="E805">
        <v>82100</v>
      </c>
      <c r="F805">
        <v>3.6347</v>
      </c>
    </row>
    <row r="806" spans="1:6" x14ac:dyDescent="0.25">
      <c r="A806">
        <v>82200</v>
      </c>
      <c r="B806">
        <v>4.2967000000000004</v>
      </c>
      <c r="E806">
        <v>82200</v>
      </c>
      <c r="F806">
        <v>3.6355</v>
      </c>
    </row>
    <row r="807" spans="1:6" x14ac:dyDescent="0.25">
      <c r="A807">
        <v>82300</v>
      </c>
      <c r="B807">
        <v>4.2975000000000003</v>
      </c>
      <c r="E807">
        <v>82300</v>
      </c>
      <c r="F807">
        <v>3.6362999999999999</v>
      </c>
    </row>
    <row r="808" spans="1:6" x14ac:dyDescent="0.25">
      <c r="A808">
        <v>82400</v>
      </c>
      <c r="B808">
        <v>4.2984</v>
      </c>
      <c r="E808">
        <v>82400</v>
      </c>
      <c r="F808">
        <v>3.6371000000000002</v>
      </c>
    </row>
    <row r="809" spans="1:6" x14ac:dyDescent="0.25">
      <c r="A809">
        <v>82500</v>
      </c>
      <c r="B809">
        <v>4.2991999999999999</v>
      </c>
      <c r="E809">
        <v>82500</v>
      </c>
      <c r="F809">
        <v>3.6379000000000001</v>
      </c>
    </row>
    <row r="810" spans="1:6" x14ac:dyDescent="0.25">
      <c r="A810">
        <v>82600</v>
      </c>
      <c r="B810">
        <v>4.3000999999999996</v>
      </c>
      <c r="E810">
        <v>82600</v>
      </c>
      <c r="F810">
        <v>3.6387</v>
      </c>
    </row>
    <row r="811" spans="1:6" x14ac:dyDescent="0.25">
      <c r="A811">
        <v>82700</v>
      </c>
      <c r="B811">
        <v>4.3009000000000004</v>
      </c>
      <c r="E811">
        <v>82700</v>
      </c>
      <c r="F811">
        <v>3.6395</v>
      </c>
    </row>
    <row r="812" spans="1:6" x14ac:dyDescent="0.25">
      <c r="A812">
        <v>82800</v>
      </c>
      <c r="B812">
        <v>4.3018000000000001</v>
      </c>
      <c r="E812">
        <v>82800</v>
      </c>
      <c r="F812">
        <v>3.6402999999999999</v>
      </c>
    </row>
    <row r="813" spans="1:6" x14ac:dyDescent="0.25">
      <c r="A813">
        <v>82900</v>
      </c>
      <c r="B813">
        <v>4.3026</v>
      </c>
      <c r="E813">
        <v>82900</v>
      </c>
      <c r="F813">
        <v>3.6410999999999998</v>
      </c>
    </row>
    <row r="814" spans="1:6" x14ac:dyDescent="0.25">
      <c r="A814">
        <v>83000</v>
      </c>
      <c r="B814">
        <v>4.3033999999999999</v>
      </c>
      <c r="E814">
        <v>83000</v>
      </c>
      <c r="F814">
        <v>3.6419000000000001</v>
      </c>
    </row>
    <row r="815" spans="1:6" x14ac:dyDescent="0.25">
      <c r="A815">
        <v>83100</v>
      </c>
      <c r="B815">
        <v>4.3042999999999996</v>
      </c>
      <c r="E815">
        <v>83100</v>
      </c>
      <c r="F815">
        <v>3.6427</v>
      </c>
    </row>
    <row r="816" spans="1:6" x14ac:dyDescent="0.25">
      <c r="A816">
        <v>83200</v>
      </c>
      <c r="B816">
        <v>4.3051000000000004</v>
      </c>
      <c r="E816">
        <v>83200</v>
      </c>
      <c r="F816">
        <v>3.6435</v>
      </c>
    </row>
    <row r="817" spans="1:6" x14ac:dyDescent="0.25">
      <c r="A817">
        <v>83300</v>
      </c>
      <c r="B817">
        <v>4.3059000000000003</v>
      </c>
      <c r="E817">
        <v>83300</v>
      </c>
      <c r="F817">
        <v>3.6442999999999999</v>
      </c>
    </row>
    <row r="818" spans="1:6" x14ac:dyDescent="0.25">
      <c r="A818">
        <v>83400</v>
      </c>
      <c r="B818">
        <v>4.3068</v>
      </c>
      <c r="E818">
        <v>83400</v>
      </c>
      <c r="F818">
        <v>3.6450999999999998</v>
      </c>
    </row>
    <row r="819" spans="1:6" x14ac:dyDescent="0.25">
      <c r="A819">
        <v>83500</v>
      </c>
      <c r="B819">
        <v>4.3075999999999999</v>
      </c>
      <c r="E819">
        <v>83500</v>
      </c>
      <c r="F819">
        <v>3.6459000000000001</v>
      </c>
    </row>
    <row r="820" spans="1:6" x14ac:dyDescent="0.25">
      <c r="A820">
        <v>83600</v>
      </c>
      <c r="B820">
        <v>4.3083999999999998</v>
      </c>
      <c r="E820">
        <v>83600</v>
      </c>
      <c r="F820">
        <v>3.6467000000000001</v>
      </c>
    </row>
    <row r="821" spans="1:6" x14ac:dyDescent="0.25">
      <c r="A821">
        <v>83700</v>
      </c>
      <c r="B821">
        <v>4.3093000000000004</v>
      </c>
      <c r="E821">
        <v>83700</v>
      </c>
      <c r="F821">
        <v>3.6474000000000002</v>
      </c>
    </row>
    <row r="822" spans="1:6" x14ac:dyDescent="0.25">
      <c r="A822">
        <v>83800</v>
      </c>
      <c r="B822">
        <v>4.3101000000000003</v>
      </c>
      <c r="E822">
        <v>83800</v>
      </c>
      <c r="F822">
        <v>3.6482000000000001</v>
      </c>
    </row>
    <row r="823" spans="1:6" x14ac:dyDescent="0.25">
      <c r="A823">
        <v>83900</v>
      </c>
      <c r="B823">
        <v>4.3109000000000002</v>
      </c>
      <c r="E823">
        <v>83900</v>
      </c>
      <c r="F823">
        <v>3.649</v>
      </c>
    </row>
    <row r="824" spans="1:6" x14ac:dyDescent="0.25">
      <c r="A824">
        <v>84000</v>
      </c>
      <c r="B824">
        <v>4.3117000000000001</v>
      </c>
      <c r="E824">
        <v>84000</v>
      </c>
      <c r="F824">
        <v>3.6497999999999999</v>
      </c>
    </row>
    <row r="825" spans="1:6" x14ac:dyDescent="0.25">
      <c r="A825">
        <v>84100</v>
      </c>
      <c r="B825">
        <v>4.3125</v>
      </c>
      <c r="E825">
        <v>84100</v>
      </c>
      <c r="F825">
        <v>3.6505000000000001</v>
      </c>
    </row>
    <row r="826" spans="1:6" x14ac:dyDescent="0.25">
      <c r="A826">
        <v>84200</v>
      </c>
      <c r="B826">
        <v>4.3133999999999997</v>
      </c>
      <c r="E826">
        <v>84200</v>
      </c>
      <c r="F826">
        <v>3.6513</v>
      </c>
    </row>
    <row r="827" spans="1:6" x14ac:dyDescent="0.25">
      <c r="A827">
        <v>84300</v>
      </c>
      <c r="B827">
        <v>4.3141999999999996</v>
      </c>
      <c r="E827">
        <v>84300</v>
      </c>
      <c r="F827">
        <v>3.6520999999999999</v>
      </c>
    </row>
    <row r="828" spans="1:6" x14ac:dyDescent="0.25">
      <c r="A828">
        <v>84400</v>
      </c>
      <c r="B828">
        <v>4.3150000000000004</v>
      </c>
      <c r="E828">
        <v>84400</v>
      </c>
      <c r="F828">
        <v>3.6528</v>
      </c>
    </row>
    <row r="829" spans="1:6" x14ac:dyDescent="0.25">
      <c r="A829">
        <v>84500</v>
      </c>
      <c r="B829">
        <v>4.3164999999999996</v>
      </c>
      <c r="E829">
        <v>84500</v>
      </c>
      <c r="F829">
        <v>3.6543000000000001</v>
      </c>
    </row>
    <row r="830" spans="1:6" x14ac:dyDescent="0.25">
      <c r="A830">
        <v>84600</v>
      </c>
      <c r="B830">
        <v>4.3179999999999996</v>
      </c>
      <c r="E830">
        <v>84600</v>
      </c>
      <c r="F830">
        <v>3.6556999999999999</v>
      </c>
    </row>
    <row r="831" spans="1:6" x14ac:dyDescent="0.25">
      <c r="A831">
        <v>84700</v>
      </c>
      <c r="B831">
        <v>4.3194999999999997</v>
      </c>
      <c r="E831">
        <v>84700</v>
      </c>
      <c r="F831">
        <v>3.6570999999999998</v>
      </c>
    </row>
    <row r="832" spans="1:6" x14ac:dyDescent="0.25">
      <c r="A832">
        <v>84800</v>
      </c>
      <c r="B832">
        <v>4.3209999999999997</v>
      </c>
      <c r="E832">
        <v>84800</v>
      </c>
      <c r="F832">
        <v>3.6585000000000001</v>
      </c>
    </row>
    <row r="833" spans="1:6" x14ac:dyDescent="0.25">
      <c r="A833">
        <v>84900</v>
      </c>
      <c r="B833">
        <v>4.3226000000000004</v>
      </c>
      <c r="E833">
        <v>84900</v>
      </c>
      <c r="F833">
        <v>3.6598999999999999</v>
      </c>
    </row>
    <row r="834" spans="1:6" x14ac:dyDescent="0.25">
      <c r="A834">
        <v>85000</v>
      </c>
      <c r="B834">
        <v>4.3240999999999996</v>
      </c>
      <c r="E834">
        <v>85000</v>
      </c>
      <c r="F834">
        <v>3.6613000000000002</v>
      </c>
    </row>
    <row r="835" spans="1:6" x14ac:dyDescent="0.25">
      <c r="A835">
        <v>85100</v>
      </c>
      <c r="B835">
        <v>4.3255999999999997</v>
      </c>
      <c r="E835">
        <v>85100</v>
      </c>
      <c r="F835">
        <v>3.6627000000000001</v>
      </c>
    </row>
    <row r="836" spans="1:6" x14ac:dyDescent="0.25">
      <c r="A836">
        <v>85200</v>
      </c>
      <c r="B836">
        <v>4.3270999999999997</v>
      </c>
      <c r="E836">
        <v>85200</v>
      </c>
      <c r="F836">
        <v>3.6640999999999999</v>
      </c>
    </row>
    <row r="837" spans="1:6" x14ac:dyDescent="0.25">
      <c r="A837">
        <v>85300</v>
      </c>
      <c r="B837">
        <v>4.3285</v>
      </c>
      <c r="E837">
        <v>85300</v>
      </c>
      <c r="F837">
        <v>3.6655000000000002</v>
      </c>
    </row>
    <row r="838" spans="1:6" x14ac:dyDescent="0.25">
      <c r="A838">
        <v>85400</v>
      </c>
      <c r="B838">
        <v>4.33</v>
      </c>
      <c r="E838">
        <v>85400</v>
      </c>
      <c r="F838">
        <v>3.6669</v>
      </c>
    </row>
    <row r="839" spans="1:6" x14ac:dyDescent="0.25">
      <c r="A839">
        <v>85500</v>
      </c>
      <c r="B839">
        <v>4.3315000000000001</v>
      </c>
      <c r="E839">
        <v>85500</v>
      </c>
      <c r="F839">
        <v>3.6682000000000001</v>
      </c>
    </row>
    <row r="840" spans="1:6" x14ac:dyDescent="0.25">
      <c r="A840">
        <v>85600</v>
      </c>
      <c r="B840">
        <v>4.3330000000000002</v>
      </c>
      <c r="E840">
        <v>85600</v>
      </c>
      <c r="F840">
        <v>3.6696</v>
      </c>
    </row>
    <row r="841" spans="1:6" x14ac:dyDescent="0.25">
      <c r="A841">
        <v>85700</v>
      </c>
      <c r="B841">
        <v>4.3345000000000002</v>
      </c>
      <c r="E841">
        <v>85700</v>
      </c>
      <c r="F841">
        <v>3.6709999999999998</v>
      </c>
    </row>
    <row r="842" spans="1:6" x14ac:dyDescent="0.25">
      <c r="A842">
        <v>85800</v>
      </c>
      <c r="B842">
        <v>4.3360000000000003</v>
      </c>
      <c r="E842">
        <v>85800</v>
      </c>
      <c r="F842">
        <v>3.6724000000000001</v>
      </c>
    </row>
    <row r="843" spans="1:6" x14ac:dyDescent="0.25">
      <c r="A843">
        <v>85900</v>
      </c>
      <c r="B843">
        <v>4.3373999999999997</v>
      </c>
      <c r="E843">
        <v>85900</v>
      </c>
      <c r="F843">
        <v>3.6737000000000002</v>
      </c>
    </row>
    <row r="844" spans="1:6" x14ac:dyDescent="0.25">
      <c r="A844">
        <v>86000</v>
      </c>
      <c r="B844">
        <v>4.3388999999999998</v>
      </c>
      <c r="E844">
        <v>86000</v>
      </c>
      <c r="F844">
        <v>3.6751</v>
      </c>
    </row>
    <row r="845" spans="1:6" x14ac:dyDescent="0.25">
      <c r="A845">
        <v>86100</v>
      </c>
      <c r="B845">
        <v>4.3403999999999998</v>
      </c>
      <c r="E845">
        <v>86100</v>
      </c>
      <c r="F845">
        <v>3.6764999999999999</v>
      </c>
    </row>
    <row r="846" spans="1:6" x14ac:dyDescent="0.25">
      <c r="A846">
        <v>86200</v>
      </c>
      <c r="B846">
        <v>4.3418000000000001</v>
      </c>
      <c r="E846">
        <v>86200</v>
      </c>
      <c r="F846">
        <v>3.6778</v>
      </c>
    </row>
    <row r="847" spans="1:6" x14ac:dyDescent="0.25">
      <c r="A847">
        <v>86300</v>
      </c>
      <c r="B847">
        <v>4.3433000000000002</v>
      </c>
      <c r="E847">
        <v>86300</v>
      </c>
      <c r="F847">
        <v>3.6791999999999998</v>
      </c>
    </row>
    <row r="848" spans="1:6" x14ac:dyDescent="0.25">
      <c r="A848">
        <v>86400</v>
      </c>
      <c r="B848">
        <v>4.3446999999999996</v>
      </c>
      <c r="E848">
        <v>86400</v>
      </c>
      <c r="F848">
        <v>3.6806000000000001</v>
      </c>
    </row>
    <row r="849" spans="1:6" x14ac:dyDescent="0.25">
      <c r="A849">
        <v>86500</v>
      </c>
      <c r="B849">
        <v>4.3461999999999996</v>
      </c>
      <c r="E849">
        <v>86500</v>
      </c>
      <c r="F849">
        <v>3.6819000000000002</v>
      </c>
    </row>
    <row r="850" spans="1:6" x14ac:dyDescent="0.25">
      <c r="A850">
        <v>86600</v>
      </c>
      <c r="B850">
        <v>4.3475999999999999</v>
      </c>
      <c r="E850">
        <v>86600</v>
      </c>
      <c r="F850">
        <v>3.6833</v>
      </c>
    </row>
    <row r="851" spans="1:6" x14ac:dyDescent="0.25">
      <c r="A851">
        <v>86700</v>
      </c>
      <c r="B851">
        <v>4.3491</v>
      </c>
      <c r="E851">
        <v>86700</v>
      </c>
      <c r="F851">
        <v>3.6846000000000001</v>
      </c>
    </row>
    <row r="852" spans="1:6" x14ac:dyDescent="0.25">
      <c r="A852">
        <v>86800</v>
      </c>
      <c r="B852">
        <v>4.3505000000000003</v>
      </c>
      <c r="E852">
        <v>86800</v>
      </c>
      <c r="F852">
        <v>3.6859000000000002</v>
      </c>
    </row>
    <row r="853" spans="1:6" x14ac:dyDescent="0.25">
      <c r="A853">
        <v>86900</v>
      </c>
      <c r="B853">
        <v>4.3520000000000003</v>
      </c>
      <c r="E853">
        <v>86900</v>
      </c>
      <c r="F853">
        <v>3.6873</v>
      </c>
    </row>
    <row r="854" spans="1:6" x14ac:dyDescent="0.25">
      <c r="A854">
        <v>87000</v>
      </c>
      <c r="B854">
        <v>4.3533999999999997</v>
      </c>
      <c r="E854">
        <v>87000</v>
      </c>
      <c r="F854">
        <v>3.6886000000000001</v>
      </c>
    </row>
    <row r="855" spans="1:6" x14ac:dyDescent="0.25">
      <c r="A855">
        <v>87100</v>
      </c>
      <c r="B855">
        <v>4.3548</v>
      </c>
      <c r="E855">
        <v>87100</v>
      </c>
      <c r="F855">
        <v>3.69</v>
      </c>
    </row>
    <row r="856" spans="1:6" x14ac:dyDescent="0.25">
      <c r="A856">
        <v>87200</v>
      </c>
      <c r="B856">
        <v>4.3563000000000001</v>
      </c>
      <c r="E856">
        <v>87200</v>
      </c>
      <c r="F856">
        <v>3.6913</v>
      </c>
    </row>
    <row r="857" spans="1:6" x14ac:dyDescent="0.25">
      <c r="A857">
        <v>87300</v>
      </c>
      <c r="B857">
        <v>4.3577000000000004</v>
      </c>
      <c r="E857">
        <v>87300</v>
      </c>
      <c r="F857">
        <v>3.6926000000000001</v>
      </c>
    </row>
    <row r="858" spans="1:6" x14ac:dyDescent="0.25">
      <c r="A858">
        <v>87400</v>
      </c>
      <c r="B858">
        <v>4.3590999999999998</v>
      </c>
      <c r="E858">
        <v>87400</v>
      </c>
      <c r="F858">
        <v>3.6939000000000002</v>
      </c>
    </row>
    <row r="859" spans="1:6" x14ac:dyDescent="0.25">
      <c r="A859">
        <v>87500</v>
      </c>
      <c r="B859">
        <v>4.3605</v>
      </c>
      <c r="E859">
        <v>87500</v>
      </c>
      <c r="F859">
        <v>3.6953</v>
      </c>
    </row>
    <row r="860" spans="1:6" x14ac:dyDescent="0.25">
      <c r="A860">
        <v>87600</v>
      </c>
      <c r="B860">
        <v>4.3619000000000003</v>
      </c>
      <c r="E860">
        <v>87600</v>
      </c>
      <c r="F860">
        <v>3.6966000000000001</v>
      </c>
    </row>
    <row r="861" spans="1:6" x14ac:dyDescent="0.25">
      <c r="A861">
        <v>87700</v>
      </c>
      <c r="B861">
        <v>4.3632999999999997</v>
      </c>
      <c r="E861">
        <v>87700</v>
      </c>
      <c r="F861">
        <v>3.6979000000000002</v>
      </c>
    </row>
    <row r="862" spans="1:6" x14ac:dyDescent="0.25">
      <c r="A862">
        <v>87800</v>
      </c>
      <c r="B862">
        <v>4.3647</v>
      </c>
      <c r="E862">
        <v>87800</v>
      </c>
      <c r="F862">
        <v>3.6991999999999998</v>
      </c>
    </row>
    <row r="863" spans="1:6" x14ac:dyDescent="0.25">
      <c r="A863">
        <v>87900</v>
      </c>
      <c r="B863">
        <v>4.3662000000000001</v>
      </c>
      <c r="E863">
        <v>87900</v>
      </c>
      <c r="F863">
        <v>3.7004999999999999</v>
      </c>
    </row>
    <row r="864" spans="1:6" x14ac:dyDescent="0.25">
      <c r="A864">
        <v>88000</v>
      </c>
      <c r="B864">
        <v>4.3676000000000004</v>
      </c>
      <c r="E864">
        <v>88000</v>
      </c>
      <c r="F864">
        <v>3.7018</v>
      </c>
    </row>
    <row r="865" spans="1:6" x14ac:dyDescent="0.25">
      <c r="A865">
        <v>88100</v>
      </c>
      <c r="B865">
        <v>4.3689999999999998</v>
      </c>
      <c r="E865">
        <v>88100</v>
      </c>
      <c r="F865">
        <v>3.7031000000000001</v>
      </c>
    </row>
    <row r="866" spans="1:6" x14ac:dyDescent="0.25">
      <c r="A866">
        <v>88200</v>
      </c>
      <c r="B866">
        <v>4.3704000000000001</v>
      </c>
      <c r="E866">
        <v>88200</v>
      </c>
      <c r="F866">
        <v>3.7044000000000001</v>
      </c>
    </row>
    <row r="867" spans="1:6" x14ac:dyDescent="0.25">
      <c r="A867">
        <v>88300</v>
      </c>
      <c r="B867">
        <v>4.3716999999999997</v>
      </c>
      <c r="E867">
        <v>88300</v>
      </c>
      <c r="F867">
        <v>3.7057000000000002</v>
      </c>
    </row>
    <row r="868" spans="1:6" x14ac:dyDescent="0.25">
      <c r="A868">
        <v>88400</v>
      </c>
      <c r="B868">
        <v>4.3731</v>
      </c>
      <c r="E868">
        <v>88400</v>
      </c>
      <c r="F868">
        <v>3.7069999999999999</v>
      </c>
    </row>
    <row r="869" spans="1:6" x14ac:dyDescent="0.25">
      <c r="A869">
        <v>88500</v>
      </c>
      <c r="B869">
        <v>4.3745000000000003</v>
      </c>
      <c r="E869">
        <v>88500</v>
      </c>
      <c r="F869">
        <v>3.7082999999999999</v>
      </c>
    </row>
    <row r="870" spans="1:6" x14ac:dyDescent="0.25">
      <c r="A870">
        <v>88600</v>
      </c>
      <c r="B870">
        <v>4.3758999999999997</v>
      </c>
      <c r="E870">
        <v>88600</v>
      </c>
      <c r="F870">
        <v>3.7096</v>
      </c>
    </row>
    <row r="871" spans="1:6" x14ac:dyDescent="0.25">
      <c r="A871">
        <v>88700</v>
      </c>
      <c r="B871">
        <v>4.3773</v>
      </c>
      <c r="E871">
        <v>88700</v>
      </c>
      <c r="F871">
        <v>3.7109000000000001</v>
      </c>
    </row>
    <row r="872" spans="1:6" x14ac:dyDescent="0.25">
      <c r="A872">
        <v>88800</v>
      </c>
      <c r="B872">
        <v>4.3787000000000003</v>
      </c>
      <c r="E872">
        <v>88800</v>
      </c>
      <c r="F872">
        <v>3.7122000000000002</v>
      </c>
    </row>
    <row r="873" spans="1:6" x14ac:dyDescent="0.25">
      <c r="A873">
        <v>88900</v>
      </c>
      <c r="B873">
        <v>4.38</v>
      </c>
      <c r="E873">
        <v>88900</v>
      </c>
      <c r="F873">
        <v>3.7134</v>
      </c>
    </row>
    <row r="874" spans="1:6" x14ac:dyDescent="0.25">
      <c r="A874">
        <v>89000</v>
      </c>
      <c r="B874">
        <v>4.3814000000000002</v>
      </c>
      <c r="E874">
        <v>89000</v>
      </c>
      <c r="F874">
        <v>3.7147000000000001</v>
      </c>
    </row>
    <row r="875" spans="1:6" x14ac:dyDescent="0.25">
      <c r="A875">
        <v>89100</v>
      </c>
      <c r="B875">
        <v>4.3827999999999996</v>
      </c>
      <c r="E875">
        <v>89100</v>
      </c>
      <c r="F875">
        <v>3.7160000000000002</v>
      </c>
    </row>
    <row r="876" spans="1:6" x14ac:dyDescent="0.25">
      <c r="A876">
        <v>89200</v>
      </c>
      <c r="B876">
        <v>4.3841000000000001</v>
      </c>
      <c r="E876">
        <v>89200</v>
      </c>
      <c r="F876">
        <v>3.7172999999999998</v>
      </c>
    </row>
    <row r="877" spans="1:6" x14ac:dyDescent="0.25">
      <c r="A877">
        <v>89300</v>
      </c>
      <c r="B877">
        <v>4.3855000000000004</v>
      </c>
      <c r="E877">
        <v>89300</v>
      </c>
      <c r="F877">
        <v>3.7185000000000001</v>
      </c>
    </row>
    <row r="878" spans="1:6" x14ac:dyDescent="0.25">
      <c r="A878">
        <v>89400</v>
      </c>
      <c r="B878">
        <v>4.3868999999999998</v>
      </c>
      <c r="E878">
        <v>89400</v>
      </c>
      <c r="F878">
        <v>3.7198000000000002</v>
      </c>
    </row>
    <row r="879" spans="1:6" x14ac:dyDescent="0.25">
      <c r="A879">
        <v>89500</v>
      </c>
      <c r="B879">
        <v>4.3882000000000003</v>
      </c>
      <c r="E879">
        <v>89500</v>
      </c>
      <c r="F879">
        <v>3.7210999999999999</v>
      </c>
    </row>
    <row r="880" spans="1:6" x14ac:dyDescent="0.25">
      <c r="A880">
        <v>89600</v>
      </c>
      <c r="B880">
        <v>4.3895999999999997</v>
      </c>
      <c r="E880">
        <v>89600</v>
      </c>
      <c r="F880">
        <v>3.7223000000000002</v>
      </c>
    </row>
    <row r="881" spans="1:6" x14ac:dyDescent="0.25">
      <c r="A881">
        <v>89700</v>
      </c>
      <c r="B881">
        <v>4.3909000000000002</v>
      </c>
      <c r="E881">
        <v>89700</v>
      </c>
      <c r="F881">
        <v>3.7235999999999998</v>
      </c>
    </row>
    <row r="882" spans="1:6" x14ac:dyDescent="0.25">
      <c r="A882">
        <v>89800</v>
      </c>
      <c r="B882">
        <v>4.3922999999999996</v>
      </c>
      <c r="E882">
        <v>89800</v>
      </c>
      <c r="F882">
        <v>3.7248000000000001</v>
      </c>
    </row>
    <row r="883" spans="1:6" x14ac:dyDescent="0.25">
      <c r="A883">
        <v>89900</v>
      </c>
      <c r="B883">
        <v>4.3936000000000002</v>
      </c>
      <c r="E883">
        <v>89900</v>
      </c>
      <c r="F883">
        <v>3.7261000000000002</v>
      </c>
    </row>
    <row r="884" spans="1:6" x14ac:dyDescent="0.25">
      <c r="A884">
        <v>90000</v>
      </c>
      <c r="B884">
        <v>4.3948999999999998</v>
      </c>
      <c r="E884">
        <v>90000</v>
      </c>
      <c r="F884">
        <v>3.7273000000000001</v>
      </c>
    </row>
    <row r="885" spans="1:6" x14ac:dyDescent="0.25">
      <c r="A885">
        <v>90100</v>
      </c>
      <c r="B885">
        <v>4.3963000000000001</v>
      </c>
      <c r="E885">
        <v>90100</v>
      </c>
      <c r="F885">
        <v>3.7286000000000001</v>
      </c>
    </row>
    <row r="886" spans="1:6" x14ac:dyDescent="0.25">
      <c r="A886">
        <v>90200</v>
      </c>
      <c r="B886">
        <v>4.3975999999999997</v>
      </c>
      <c r="E886">
        <v>90200</v>
      </c>
      <c r="F886">
        <v>3.7298</v>
      </c>
    </row>
    <row r="887" spans="1:6" x14ac:dyDescent="0.25">
      <c r="A887">
        <v>90300</v>
      </c>
      <c r="B887">
        <v>4.3989000000000003</v>
      </c>
      <c r="E887">
        <v>90300</v>
      </c>
      <c r="F887">
        <v>3.7311000000000001</v>
      </c>
    </row>
    <row r="888" spans="1:6" x14ac:dyDescent="0.25">
      <c r="A888">
        <v>90400</v>
      </c>
      <c r="B888">
        <v>4.4002999999999997</v>
      </c>
      <c r="E888">
        <v>90400</v>
      </c>
      <c r="F888">
        <v>3.7323</v>
      </c>
    </row>
    <row r="889" spans="1:6" x14ac:dyDescent="0.25">
      <c r="A889">
        <v>90500</v>
      </c>
      <c r="B889">
        <v>4.4016000000000002</v>
      </c>
      <c r="E889">
        <v>90500</v>
      </c>
      <c r="F889">
        <v>3.7334999999999998</v>
      </c>
    </row>
    <row r="890" spans="1:6" x14ac:dyDescent="0.25">
      <c r="A890">
        <v>90600</v>
      </c>
      <c r="B890">
        <v>4.4028999999999998</v>
      </c>
      <c r="E890">
        <v>90600</v>
      </c>
      <c r="F890">
        <v>3.7347999999999999</v>
      </c>
    </row>
    <row r="891" spans="1:6" x14ac:dyDescent="0.25">
      <c r="A891">
        <v>90700</v>
      </c>
      <c r="B891">
        <v>4.4042000000000003</v>
      </c>
      <c r="E891">
        <v>90700</v>
      </c>
      <c r="F891">
        <v>3.7360000000000002</v>
      </c>
    </row>
    <row r="892" spans="1:6" x14ac:dyDescent="0.25">
      <c r="A892">
        <v>90800</v>
      </c>
      <c r="B892">
        <v>4.4055999999999997</v>
      </c>
      <c r="E892">
        <v>90800</v>
      </c>
      <c r="F892">
        <v>3.7372000000000001</v>
      </c>
    </row>
    <row r="893" spans="1:6" x14ac:dyDescent="0.25">
      <c r="A893">
        <v>90900</v>
      </c>
      <c r="B893">
        <v>4.4069000000000003</v>
      </c>
      <c r="E893">
        <v>90900</v>
      </c>
      <c r="F893">
        <v>3.7383999999999999</v>
      </c>
    </row>
    <row r="894" spans="1:6" x14ac:dyDescent="0.25">
      <c r="A894">
        <v>91000</v>
      </c>
      <c r="B894">
        <v>4.4081999999999999</v>
      </c>
      <c r="E894">
        <v>91000</v>
      </c>
      <c r="F894">
        <v>3.7397</v>
      </c>
    </row>
    <row r="895" spans="1:6" x14ac:dyDescent="0.25">
      <c r="A895">
        <v>91100</v>
      </c>
      <c r="B895">
        <v>4.4095000000000004</v>
      </c>
      <c r="E895">
        <v>91100</v>
      </c>
      <c r="F895">
        <v>3.7408999999999999</v>
      </c>
    </row>
    <row r="896" spans="1:6" x14ac:dyDescent="0.25">
      <c r="A896">
        <v>91200</v>
      </c>
      <c r="B896">
        <v>4.4108000000000001</v>
      </c>
      <c r="E896">
        <v>91200</v>
      </c>
      <c r="F896">
        <v>3.7421000000000002</v>
      </c>
    </row>
    <row r="897" spans="1:6" x14ac:dyDescent="0.25">
      <c r="A897">
        <v>91300</v>
      </c>
      <c r="B897">
        <v>4.4120999999999997</v>
      </c>
      <c r="E897">
        <v>91300</v>
      </c>
      <c r="F897">
        <v>3.7433000000000001</v>
      </c>
    </row>
    <row r="898" spans="1:6" x14ac:dyDescent="0.25">
      <c r="A898">
        <v>91400</v>
      </c>
      <c r="B898">
        <v>4.4134000000000002</v>
      </c>
      <c r="E898">
        <v>91400</v>
      </c>
      <c r="F898">
        <v>3.7444999999999999</v>
      </c>
    </row>
    <row r="899" spans="1:6" x14ac:dyDescent="0.25">
      <c r="A899">
        <v>91500</v>
      </c>
      <c r="B899">
        <v>4.4146999999999998</v>
      </c>
      <c r="E899">
        <v>91500</v>
      </c>
      <c r="F899">
        <v>3.7456999999999998</v>
      </c>
    </row>
    <row r="900" spans="1:6" x14ac:dyDescent="0.25">
      <c r="A900">
        <v>91600</v>
      </c>
      <c r="B900">
        <v>4.4160000000000004</v>
      </c>
      <c r="E900">
        <v>91600</v>
      </c>
      <c r="F900">
        <v>3.7469000000000001</v>
      </c>
    </row>
    <row r="901" spans="1:6" x14ac:dyDescent="0.25">
      <c r="A901">
        <v>91700</v>
      </c>
      <c r="B901">
        <v>4.4173</v>
      </c>
      <c r="E901">
        <v>91700</v>
      </c>
      <c r="F901">
        <v>3.7481</v>
      </c>
    </row>
    <row r="902" spans="1:6" x14ac:dyDescent="0.25">
      <c r="A902">
        <v>91800</v>
      </c>
      <c r="B902">
        <v>4.4185999999999996</v>
      </c>
      <c r="E902">
        <v>91800</v>
      </c>
      <c r="F902">
        <v>3.7492999999999999</v>
      </c>
    </row>
    <row r="903" spans="1:6" x14ac:dyDescent="0.25">
      <c r="A903">
        <v>91900</v>
      </c>
      <c r="B903">
        <v>4.4199000000000002</v>
      </c>
      <c r="E903">
        <v>91900</v>
      </c>
      <c r="F903">
        <v>3.7505000000000002</v>
      </c>
    </row>
    <row r="904" spans="1:6" x14ac:dyDescent="0.25">
      <c r="A904">
        <v>92000</v>
      </c>
      <c r="B904">
        <v>4.4211</v>
      </c>
      <c r="E904">
        <v>92000</v>
      </c>
      <c r="F904">
        <v>3.7517</v>
      </c>
    </row>
    <row r="905" spans="1:6" x14ac:dyDescent="0.25">
      <c r="A905">
        <v>92100</v>
      </c>
      <c r="B905">
        <v>4.4223999999999997</v>
      </c>
      <c r="E905">
        <v>92100</v>
      </c>
      <c r="F905">
        <v>3.7528999999999999</v>
      </c>
    </row>
    <row r="906" spans="1:6" x14ac:dyDescent="0.25">
      <c r="A906">
        <v>92200</v>
      </c>
      <c r="B906">
        <v>4.4237000000000002</v>
      </c>
      <c r="E906">
        <v>92200</v>
      </c>
      <c r="F906">
        <v>3.7541000000000002</v>
      </c>
    </row>
    <row r="907" spans="1:6" x14ac:dyDescent="0.25">
      <c r="A907">
        <v>92300</v>
      </c>
      <c r="B907">
        <v>4.4249999999999998</v>
      </c>
      <c r="E907">
        <v>92300</v>
      </c>
      <c r="F907">
        <v>3.7553000000000001</v>
      </c>
    </row>
    <row r="908" spans="1:6" x14ac:dyDescent="0.25">
      <c r="A908">
        <v>92400</v>
      </c>
      <c r="B908">
        <v>4.4261999999999997</v>
      </c>
      <c r="E908">
        <v>92400</v>
      </c>
      <c r="F908">
        <v>3.7565</v>
      </c>
    </row>
    <row r="909" spans="1:6" x14ac:dyDescent="0.25">
      <c r="A909">
        <v>92500</v>
      </c>
      <c r="B909">
        <v>4.4275000000000002</v>
      </c>
      <c r="E909">
        <v>92500</v>
      </c>
      <c r="F909">
        <v>3.7576999999999998</v>
      </c>
    </row>
    <row r="910" spans="1:6" x14ac:dyDescent="0.25">
      <c r="A910">
        <v>92600</v>
      </c>
      <c r="B910">
        <v>4.4287999999999998</v>
      </c>
      <c r="E910">
        <v>92600</v>
      </c>
      <c r="F910">
        <v>3.7589000000000001</v>
      </c>
    </row>
    <row r="911" spans="1:6" x14ac:dyDescent="0.25">
      <c r="A911">
        <v>92700</v>
      </c>
      <c r="B911">
        <v>4.43</v>
      </c>
      <c r="E911">
        <v>92700</v>
      </c>
      <c r="F911">
        <v>3.76</v>
      </c>
    </row>
    <row r="912" spans="1:6" x14ac:dyDescent="0.25">
      <c r="A912">
        <v>92800</v>
      </c>
      <c r="B912">
        <v>4.4313000000000002</v>
      </c>
      <c r="E912">
        <v>92800</v>
      </c>
      <c r="F912">
        <v>3.7612000000000001</v>
      </c>
    </row>
    <row r="913" spans="1:6" x14ac:dyDescent="0.25">
      <c r="A913">
        <v>92900</v>
      </c>
      <c r="B913">
        <v>4.4325999999999999</v>
      </c>
      <c r="E913">
        <v>92900</v>
      </c>
      <c r="F913">
        <v>3.7624</v>
      </c>
    </row>
    <row r="914" spans="1:6" x14ac:dyDescent="0.25">
      <c r="A914">
        <v>93000</v>
      </c>
      <c r="B914">
        <v>4.4337999999999997</v>
      </c>
      <c r="E914">
        <v>93000</v>
      </c>
      <c r="F914">
        <v>3.7635000000000001</v>
      </c>
    </row>
    <row r="915" spans="1:6" x14ac:dyDescent="0.25">
      <c r="A915">
        <v>93100</v>
      </c>
      <c r="B915">
        <v>4.4351000000000003</v>
      </c>
      <c r="E915">
        <v>93100</v>
      </c>
      <c r="F915">
        <v>3.7646999999999999</v>
      </c>
    </row>
    <row r="916" spans="1:6" x14ac:dyDescent="0.25">
      <c r="A916">
        <v>93200</v>
      </c>
      <c r="B916">
        <v>4.4363000000000001</v>
      </c>
      <c r="E916">
        <v>93200</v>
      </c>
      <c r="F916">
        <v>3.7658999999999998</v>
      </c>
    </row>
    <row r="917" spans="1:6" x14ac:dyDescent="0.25">
      <c r="A917">
        <v>93300</v>
      </c>
      <c r="B917">
        <v>4.4375999999999998</v>
      </c>
      <c r="E917">
        <v>93300</v>
      </c>
      <c r="F917">
        <v>3.7669999999999999</v>
      </c>
    </row>
    <row r="918" spans="1:6" x14ac:dyDescent="0.25">
      <c r="A918">
        <v>93400</v>
      </c>
      <c r="B918">
        <v>4.4387999999999996</v>
      </c>
      <c r="E918">
        <v>93400</v>
      </c>
      <c r="F918">
        <v>3.7682000000000002</v>
      </c>
    </row>
    <row r="919" spans="1:6" x14ac:dyDescent="0.25">
      <c r="A919">
        <v>93500</v>
      </c>
      <c r="B919">
        <v>4.4401000000000002</v>
      </c>
      <c r="E919">
        <v>93500</v>
      </c>
      <c r="F919">
        <v>3.7694000000000001</v>
      </c>
    </row>
    <row r="920" spans="1:6" x14ac:dyDescent="0.25">
      <c r="A920">
        <v>93600</v>
      </c>
      <c r="B920">
        <v>4.4413</v>
      </c>
      <c r="E920">
        <v>93600</v>
      </c>
      <c r="F920">
        <v>3.7705000000000002</v>
      </c>
    </row>
    <row r="921" spans="1:6" x14ac:dyDescent="0.25">
      <c r="A921">
        <v>93700</v>
      </c>
      <c r="B921">
        <v>4.4424999999999999</v>
      </c>
      <c r="E921">
        <v>93700</v>
      </c>
      <c r="F921">
        <v>3.7717000000000001</v>
      </c>
    </row>
    <row r="922" spans="1:6" x14ac:dyDescent="0.25">
      <c r="A922">
        <v>93800</v>
      </c>
      <c r="B922">
        <v>4.4438000000000004</v>
      </c>
      <c r="E922">
        <v>93800</v>
      </c>
      <c r="F922">
        <v>3.7728000000000002</v>
      </c>
    </row>
    <row r="923" spans="1:6" x14ac:dyDescent="0.25">
      <c r="A923">
        <v>93900</v>
      </c>
      <c r="B923">
        <v>4.4450000000000003</v>
      </c>
      <c r="E923">
        <v>93900</v>
      </c>
      <c r="F923">
        <v>3.774</v>
      </c>
    </row>
    <row r="924" spans="1:6" x14ac:dyDescent="0.25">
      <c r="A924">
        <v>94000</v>
      </c>
      <c r="B924">
        <v>4.4462000000000002</v>
      </c>
      <c r="E924">
        <v>94000</v>
      </c>
      <c r="F924">
        <v>3.7751000000000001</v>
      </c>
    </row>
    <row r="925" spans="1:6" x14ac:dyDescent="0.25">
      <c r="A925">
        <v>94100</v>
      </c>
      <c r="B925">
        <v>4.4474</v>
      </c>
      <c r="E925">
        <v>94100</v>
      </c>
      <c r="F925">
        <v>3.7761999999999998</v>
      </c>
    </row>
    <row r="926" spans="1:6" x14ac:dyDescent="0.25">
      <c r="A926">
        <v>94200</v>
      </c>
      <c r="B926">
        <v>4.4486999999999997</v>
      </c>
      <c r="E926">
        <v>94200</v>
      </c>
      <c r="F926">
        <v>3.7774000000000001</v>
      </c>
    </row>
    <row r="927" spans="1:6" x14ac:dyDescent="0.25">
      <c r="A927">
        <v>94300</v>
      </c>
      <c r="B927">
        <v>4.4499000000000004</v>
      </c>
      <c r="E927">
        <v>94300</v>
      </c>
      <c r="F927">
        <v>3.7785000000000002</v>
      </c>
    </row>
    <row r="928" spans="1:6" x14ac:dyDescent="0.25">
      <c r="A928">
        <v>94400</v>
      </c>
      <c r="B928">
        <v>4.4511000000000003</v>
      </c>
      <c r="E928">
        <v>94400</v>
      </c>
      <c r="F928">
        <v>3.7797000000000001</v>
      </c>
    </row>
    <row r="929" spans="1:6" x14ac:dyDescent="0.25">
      <c r="A929">
        <v>94500</v>
      </c>
      <c r="B929">
        <v>4.4523000000000001</v>
      </c>
      <c r="E929">
        <v>94500</v>
      </c>
      <c r="F929">
        <v>3.7808000000000002</v>
      </c>
    </row>
    <row r="930" spans="1:6" x14ac:dyDescent="0.25">
      <c r="A930">
        <v>94600</v>
      </c>
      <c r="B930">
        <v>4.4535</v>
      </c>
      <c r="E930">
        <v>94600</v>
      </c>
      <c r="F930">
        <v>3.7818999999999998</v>
      </c>
    </row>
    <row r="931" spans="1:6" x14ac:dyDescent="0.25">
      <c r="A931">
        <v>94700</v>
      </c>
      <c r="B931">
        <v>4.4547999999999996</v>
      </c>
      <c r="E931">
        <v>94700</v>
      </c>
      <c r="F931">
        <v>3.7831000000000001</v>
      </c>
    </row>
    <row r="932" spans="1:6" x14ac:dyDescent="0.25">
      <c r="A932">
        <v>94800</v>
      </c>
      <c r="B932">
        <v>4.4560000000000004</v>
      </c>
      <c r="E932">
        <v>94800</v>
      </c>
      <c r="F932">
        <v>3.7841999999999998</v>
      </c>
    </row>
    <row r="933" spans="1:6" x14ac:dyDescent="0.25">
      <c r="A933">
        <v>94900</v>
      </c>
      <c r="B933">
        <v>4.4572000000000003</v>
      </c>
      <c r="E933">
        <v>94900</v>
      </c>
      <c r="F933">
        <v>3.7852999999999999</v>
      </c>
    </row>
    <row r="934" spans="1:6" x14ac:dyDescent="0.25">
      <c r="A934">
        <v>95000</v>
      </c>
      <c r="B934">
        <v>4.4584000000000001</v>
      </c>
      <c r="E934">
        <v>95000</v>
      </c>
      <c r="F934">
        <v>3.7864</v>
      </c>
    </row>
    <row r="935" spans="1:6" x14ac:dyDescent="0.25">
      <c r="A935">
        <v>95100</v>
      </c>
      <c r="B935">
        <v>4.4596</v>
      </c>
      <c r="E935">
        <v>95100</v>
      </c>
      <c r="F935">
        <v>3.7875000000000001</v>
      </c>
    </row>
    <row r="936" spans="1:6" x14ac:dyDescent="0.25">
      <c r="A936">
        <v>95200</v>
      </c>
      <c r="B936">
        <v>4.4607999999999999</v>
      </c>
      <c r="E936">
        <v>95200</v>
      </c>
      <c r="F936">
        <v>3.7887</v>
      </c>
    </row>
    <row r="937" spans="1:6" x14ac:dyDescent="0.25">
      <c r="A937">
        <v>95300</v>
      </c>
      <c r="B937">
        <v>4.4619999999999997</v>
      </c>
      <c r="E937">
        <v>95300</v>
      </c>
      <c r="F937">
        <v>3.7898000000000001</v>
      </c>
    </row>
    <row r="938" spans="1:6" x14ac:dyDescent="0.25">
      <c r="A938">
        <v>95400</v>
      </c>
      <c r="B938">
        <v>4.4631999999999996</v>
      </c>
      <c r="E938">
        <v>95400</v>
      </c>
      <c r="F938">
        <v>3.7909000000000002</v>
      </c>
    </row>
    <row r="939" spans="1:6" x14ac:dyDescent="0.25">
      <c r="A939">
        <v>95500</v>
      </c>
      <c r="B939">
        <v>4.4642999999999997</v>
      </c>
      <c r="E939">
        <v>95500</v>
      </c>
      <c r="F939">
        <v>3.7919999999999998</v>
      </c>
    </row>
    <row r="940" spans="1:6" x14ac:dyDescent="0.25">
      <c r="A940">
        <v>95600</v>
      </c>
      <c r="B940">
        <v>4.4654999999999996</v>
      </c>
      <c r="E940">
        <v>95600</v>
      </c>
      <c r="F940">
        <v>3.7930999999999999</v>
      </c>
    </row>
    <row r="941" spans="1:6" x14ac:dyDescent="0.25">
      <c r="A941">
        <v>95700</v>
      </c>
      <c r="B941">
        <v>4.4667000000000003</v>
      </c>
      <c r="E941">
        <v>95700</v>
      </c>
      <c r="F941">
        <v>3.7942</v>
      </c>
    </row>
    <row r="942" spans="1:6" x14ac:dyDescent="0.25">
      <c r="A942">
        <v>95800</v>
      </c>
      <c r="B942">
        <v>4.4679000000000002</v>
      </c>
      <c r="E942">
        <v>95800</v>
      </c>
      <c r="F942">
        <v>3.7953000000000001</v>
      </c>
    </row>
    <row r="943" spans="1:6" x14ac:dyDescent="0.25">
      <c r="A943">
        <v>95900</v>
      </c>
      <c r="B943">
        <v>4.4691000000000001</v>
      </c>
      <c r="E943">
        <v>95900</v>
      </c>
      <c r="F943">
        <v>3.7964000000000002</v>
      </c>
    </row>
    <row r="944" spans="1:6" x14ac:dyDescent="0.25">
      <c r="A944">
        <v>96000</v>
      </c>
      <c r="B944">
        <v>4.4702999999999999</v>
      </c>
      <c r="E944">
        <v>96000</v>
      </c>
      <c r="F944">
        <v>3.7974999999999999</v>
      </c>
    </row>
    <row r="945" spans="1:6" x14ac:dyDescent="0.25">
      <c r="A945">
        <v>96100</v>
      </c>
      <c r="B945">
        <v>4.4714</v>
      </c>
      <c r="E945">
        <v>96100</v>
      </c>
      <c r="F945">
        <v>3.7986</v>
      </c>
    </row>
    <row r="946" spans="1:6" x14ac:dyDescent="0.25">
      <c r="A946">
        <v>96200</v>
      </c>
      <c r="B946">
        <v>4.4725999999999999</v>
      </c>
      <c r="E946">
        <v>96200</v>
      </c>
      <c r="F946">
        <v>3.7997000000000001</v>
      </c>
    </row>
    <row r="947" spans="1:6" x14ac:dyDescent="0.25">
      <c r="A947">
        <v>96300</v>
      </c>
      <c r="B947">
        <v>4.4737999999999998</v>
      </c>
      <c r="E947">
        <v>96300</v>
      </c>
      <c r="F947">
        <v>3.8008000000000002</v>
      </c>
    </row>
    <row r="948" spans="1:6" x14ac:dyDescent="0.25">
      <c r="A948">
        <v>96400</v>
      </c>
      <c r="B948">
        <v>4.4748999999999999</v>
      </c>
      <c r="E948">
        <v>96400</v>
      </c>
      <c r="F948">
        <v>3.8018999999999998</v>
      </c>
    </row>
    <row r="949" spans="1:6" x14ac:dyDescent="0.25">
      <c r="A949">
        <v>96500</v>
      </c>
      <c r="B949">
        <v>4.4760999999999997</v>
      </c>
      <c r="E949">
        <v>96500</v>
      </c>
      <c r="F949">
        <v>3.8029999999999999</v>
      </c>
    </row>
    <row r="950" spans="1:6" x14ac:dyDescent="0.25">
      <c r="A950">
        <v>96600</v>
      </c>
      <c r="B950">
        <v>4.4772999999999996</v>
      </c>
      <c r="E950">
        <v>96600</v>
      </c>
      <c r="F950">
        <v>3.8039999999999998</v>
      </c>
    </row>
    <row r="951" spans="1:6" x14ac:dyDescent="0.25">
      <c r="A951">
        <v>96700</v>
      </c>
      <c r="B951">
        <v>4.4783999999999997</v>
      </c>
      <c r="E951">
        <v>96700</v>
      </c>
      <c r="F951">
        <v>3.8050999999999999</v>
      </c>
    </row>
    <row r="952" spans="1:6" x14ac:dyDescent="0.25">
      <c r="A952">
        <v>96800</v>
      </c>
      <c r="B952">
        <v>4.4795999999999996</v>
      </c>
      <c r="E952">
        <v>96800</v>
      </c>
      <c r="F952">
        <v>3.8062</v>
      </c>
    </row>
    <row r="953" spans="1:6" x14ac:dyDescent="0.25">
      <c r="A953">
        <v>96900</v>
      </c>
      <c r="B953">
        <v>4.4808000000000003</v>
      </c>
      <c r="E953">
        <v>96900</v>
      </c>
      <c r="F953">
        <v>3.8073000000000001</v>
      </c>
    </row>
    <row r="954" spans="1:6" x14ac:dyDescent="0.25">
      <c r="A954">
        <v>97000</v>
      </c>
      <c r="B954">
        <v>4.4819000000000004</v>
      </c>
      <c r="E954">
        <v>97000</v>
      </c>
      <c r="F954">
        <v>3.8083999999999998</v>
      </c>
    </row>
    <row r="955" spans="1:6" x14ac:dyDescent="0.25">
      <c r="A955">
        <v>97100</v>
      </c>
      <c r="B955">
        <v>4.4831000000000003</v>
      </c>
      <c r="E955">
        <v>97100</v>
      </c>
      <c r="F955">
        <v>3.8094000000000001</v>
      </c>
    </row>
    <row r="956" spans="1:6" x14ac:dyDescent="0.25">
      <c r="A956">
        <v>97200</v>
      </c>
      <c r="B956">
        <v>4.4842000000000004</v>
      </c>
      <c r="E956">
        <v>97200</v>
      </c>
      <c r="F956">
        <v>3.8105000000000002</v>
      </c>
    </row>
    <row r="957" spans="1:6" x14ac:dyDescent="0.25">
      <c r="A957">
        <v>97300</v>
      </c>
      <c r="B957">
        <v>4.4854000000000003</v>
      </c>
      <c r="E957">
        <v>97300</v>
      </c>
      <c r="F957">
        <v>3.8115999999999999</v>
      </c>
    </row>
    <row r="958" spans="1:6" x14ac:dyDescent="0.25">
      <c r="A958">
        <v>97400</v>
      </c>
      <c r="B958">
        <v>4.4865000000000004</v>
      </c>
      <c r="E958">
        <v>97400</v>
      </c>
      <c r="F958">
        <v>3.8126000000000002</v>
      </c>
    </row>
    <row r="959" spans="1:6" x14ac:dyDescent="0.25">
      <c r="A959">
        <v>97500</v>
      </c>
      <c r="B959">
        <v>4.4875999999999996</v>
      </c>
      <c r="E959">
        <v>97500</v>
      </c>
      <c r="F959">
        <v>3.8136999999999999</v>
      </c>
    </row>
    <row r="960" spans="1:6" x14ac:dyDescent="0.25">
      <c r="A960">
        <v>97600</v>
      </c>
      <c r="B960">
        <v>4.4888000000000003</v>
      </c>
      <c r="E960">
        <v>97600</v>
      </c>
      <c r="F960">
        <v>3.8148</v>
      </c>
    </row>
    <row r="961" spans="1:6" x14ac:dyDescent="0.25">
      <c r="A961">
        <v>97700</v>
      </c>
      <c r="B961">
        <v>4.4898999999999996</v>
      </c>
      <c r="E961">
        <v>97700</v>
      </c>
      <c r="F961">
        <v>3.8157999999999999</v>
      </c>
    </row>
    <row r="962" spans="1:6" x14ac:dyDescent="0.25">
      <c r="A962">
        <v>97800</v>
      </c>
      <c r="B962">
        <v>4.4911000000000003</v>
      </c>
      <c r="E962">
        <v>97800</v>
      </c>
      <c r="F962">
        <v>3.8169</v>
      </c>
    </row>
    <row r="963" spans="1:6" x14ac:dyDescent="0.25">
      <c r="A963">
        <v>97900</v>
      </c>
      <c r="B963">
        <v>4.4922000000000004</v>
      </c>
      <c r="E963">
        <v>97900</v>
      </c>
      <c r="F963">
        <v>3.8178999999999998</v>
      </c>
    </row>
    <row r="964" spans="1:6" x14ac:dyDescent="0.25">
      <c r="A964">
        <v>98000</v>
      </c>
      <c r="B964">
        <v>4.4932999999999996</v>
      </c>
      <c r="E964">
        <v>98000</v>
      </c>
      <c r="F964">
        <v>3.819</v>
      </c>
    </row>
    <row r="965" spans="1:6" x14ac:dyDescent="0.25">
      <c r="A965">
        <v>98100</v>
      </c>
      <c r="B965">
        <v>4.4943999999999997</v>
      </c>
      <c r="E965">
        <v>98100</v>
      </c>
      <c r="F965">
        <v>3.82</v>
      </c>
    </row>
    <row r="966" spans="1:6" x14ac:dyDescent="0.25">
      <c r="A966">
        <v>98200</v>
      </c>
      <c r="B966">
        <v>4.4955999999999996</v>
      </c>
      <c r="E966">
        <v>98200</v>
      </c>
      <c r="F966">
        <v>3.8210999999999999</v>
      </c>
    </row>
    <row r="967" spans="1:6" x14ac:dyDescent="0.25">
      <c r="A967">
        <v>98300</v>
      </c>
      <c r="B967">
        <v>4.4966999999999997</v>
      </c>
      <c r="E967">
        <v>98300</v>
      </c>
      <c r="F967">
        <v>3.8220999999999998</v>
      </c>
    </row>
    <row r="968" spans="1:6" x14ac:dyDescent="0.25">
      <c r="A968">
        <v>98400</v>
      </c>
      <c r="B968">
        <v>4.4977999999999998</v>
      </c>
      <c r="E968">
        <v>98400</v>
      </c>
      <c r="F968">
        <v>3.8231999999999999</v>
      </c>
    </row>
    <row r="969" spans="1:6" x14ac:dyDescent="0.25">
      <c r="A969">
        <v>98500</v>
      </c>
      <c r="B969">
        <v>4.4988999999999999</v>
      </c>
      <c r="E969">
        <v>98500</v>
      </c>
      <c r="F969">
        <v>3.8241999999999998</v>
      </c>
    </row>
    <row r="970" spans="1:6" x14ac:dyDescent="0.25">
      <c r="A970">
        <v>98600</v>
      </c>
      <c r="B970">
        <v>4.5000999999999998</v>
      </c>
      <c r="E970">
        <v>98600</v>
      </c>
      <c r="F970">
        <v>3.8252999999999999</v>
      </c>
    </row>
    <row r="971" spans="1:6" x14ac:dyDescent="0.25">
      <c r="A971">
        <v>98700</v>
      </c>
      <c r="B971">
        <v>4.5011999999999999</v>
      </c>
      <c r="E971">
        <v>98700</v>
      </c>
      <c r="F971">
        <v>3.8262999999999998</v>
      </c>
    </row>
    <row r="972" spans="1:6" x14ac:dyDescent="0.25">
      <c r="A972">
        <v>98800</v>
      </c>
      <c r="B972">
        <v>4.5023</v>
      </c>
      <c r="E972">
        <v>98800</v>
      </c>
      <c r="F972">
        <v>3.8273000000000001</v>
      </c>
    </row>
    <row r="973" spans="1:6" x14ac:dyDescent="0.25">
      <c r="A973">
        <v>98900</v>
      </c>
      <c r="B973">
        <v>4.5034000000000001</v>
      </c>
      <c r="E973">
        <v>98900</v>
      </c>
      <c r="F973">
        <v>3.8283999999999998</v>
      </c>
    </row>
    <row r="974" spans="1:6" x14ac:dyDescent="0.25">
      <c r="A974">
        <v>99000</v>
      </c>
      <c r="B974">
        <v>4.5045000000000002</v>
      </c>
      <c r="E974">
        <v>99000</v>
      </c>
      <c r="F974">
        <v>3.8294000000000001</v>
      </c>
    </row>
    <row r="975" spans="1:6" x14ac:dyDescent="0.25">
      <c r="A975">
        <v>99100</v>
      </c>
      <c r="B975">
        <v>4.5056000000000003</v>
      </c>
      <c r="E975">
        <v>99100</v>
      </c>
      <c r="F975">
        <v>3.8304</v>
      </c>
    </row>
    <row r="976" spans="1:6" x14ac:dyDescent="0.25">
      <c r="A976">
        <v>99200</v>
      </c>
      <c r="B976">
        <v>4.5067000000000004</v>
      </c>
      <c r="E976">
        <v>99200</v>
      </c>
      <c r="F976">
        <v>3.8315000000000001</v>
      </c>
    </row>
    <row r="977" spans="1:6" x14ac:dyDescent="0.25">
      <c r="A977">
        <v>99300</v>
      </c>
      <c r="B977">
        <v>4.5077999999999996</v>
      </c>
      <c r="E977">
        <v>99300</v>
      </c>
      <c r="F977">
        <v>3.8325</v>
      </c>
    </row>
    <row r="978" spans="1:6" x14ac:dyDescent="0.25">
      <c r="A978">
        <v>99400</v>
      </c>
      <c r="B978">
        <v>4.5088999999999997</v>
      </c>
      <c r="E978">
        <v>99400</v>
      </c>
      <c r="F978">
        <v>3.8334999999999999</v>
      </c>
    </row>
    <row r="979" spans="1:6" x14ac:dyDescent="0.25">
      <c r="A979">
        <v>99500</v>
      </c>
      <c r="B979">
        <v>4.51</v>
      </c>
      <c r="E979">
        <v>99500</v>
      </c>
      <c r="F979">
        <v>3.8344999999999998</v>
      </c>
    </row>
    <row r="980" spans="1:6" x14ac:dyDescent="0.25">
      <c r="A980">
        <v>99600</v>
      </c>
      <c r="B980">
        <v>4.5110999999999999</v>
      </c>
      <c r="E980">
        <v>99600</v>
      </c>
      <c r="F980">
        <v>3.8355000000000001</v>
      </c>
    </row>
    <row r="981" spans="1:6" x14ac:dyDescent="0.25">
      <c r="A981">
        <v>99700</v>
      </c>
      <c r="B981">
        <v>4.5122</v>
      </c>
      <c r="E981">
        <v>99700</v>
      </c>
      <c r="F981">
        <v>3.8365999999999998</v>
      </c>
    </row>
    <row r="982" spans="1:6" x14ac:dyDescent="0.25">
      <c r="A982">
        <v>99800</v>
      </c>
      <c r="B982">
        <v>4.5133000000000001</v>
      </c>
      <c r="E982">
        <v>99800</v>
      </c>
      <c r="F982">
        <v>3.8376000000000001</v>
      </c>
    </row>
    <row r="983" spans="1:6" x14ac:dyDescent="0.25">
      <c r="A983">
        <v>99900</v>
      </c>
      <c r="B983">
        <v>4.5144000000000002</v>
      </c>
      <c r="E983">
        <v>99900</v>
      </c>
      <c r="F983">
        <v>3.8386</v>
      </c>
    </row>
    <row r="984" spans="1:6" x14ac:dyDescent="0.25">
      <c r="A984">
        <v>100000</v>
      </c>
      <c r="B984">
        <v>4.5155000000000003</v>
      </c>
      <c r="E984">
        <v>100000</v>
      </c>
      <c r="F984">
        <v>3.8395999999999999</v>
      </c>
    </row>
    <row r="985" spans="1:6" x14ac:dyDescent="0.25">
      <c r="A985">
        <v>100100</v>
      </c>
      <c r="B985">
        <v>4.5164999999999997</v>
      </c>
      <c r="E985">
        <v>100100</v>
      </c>
      <c r="F985">
        <v>3.8405999999999998</v>
      </c>
    </row>
    <row r="986" spans="1:6" x14ac:dyDescent="0.25">
      <c r="A986">
        <v>100200</v>
      </c>
      <c r="B986">
        <v>4.5175999999999998</v>
      </c>
      <c r="E986">
        <v>100200</v>
      </c>
      <c r="F986">
        <v>3.8416000000000001</v>
      </c>
    </row>
    <row r="987" spans="1:6" x14ac:dyDescent="0.25">
      <c r="A987">
        <v>100300</v>
      </c>
      <c r="B987">
        <v>4.5186999999999999</v>
      </c>
      <c r="E987">
        <v>100300</v>
      </c>
      <c r="F987">
        <v>3.8426</v>
      </c>
    </row>
    <row r="988" spans="1:6" x14ac:dyDescent="0.25">
      <c r="A988">
        <v>100400</v>
      </c>
      <c r="B988">
        <v>4.5198</v>
      </c>
      <c r="E988">
        <v>100400</v>
      </c>
      <c r="F988">
        <v>3.8435999999999999</v>
      </c>
    </row>
    <row r="989" spans="1:6" x14ac:dyDescent="0.25">
      <c r="A989">
        <v>100500</v>
      </c>
      <c r="B989">
        <v>4.5208000000000004</v>
      </c>
      <c r="E989">
        <v>100500</v>
      </c>
      <c r="F989">
        <v>3.8445999999999998</v>
      </c>
    </row>
    <row r="990" spans="1:6" x14ac:dyDescent="0.25">
      <c r="A990">
        <v>100600</v>
      </c>
      <c r="B990">
        <v>4.5218999999999996</v>
      </c>
      <c r="E990">
        <v>100600</v>
      </c>
      <c r="F990">
        <v>3.8456000000000001</v>
      </c>
    </row>
    <row r="991" spans="1:6" x14ac:dyDescent="0.25">
      <c r="A991">
        <v>100700</v>
      </c>
      <c r="B991">
        <v>4.5229999999999997</v>
      </c>
      <c r="E991">
        <v>100700</v>
      </c>
      <c r="F991">
        <v>3.8466</v>
      </c>
    </row>
    <row r="992" spans="1:6" x14ac:dyDescent="0.25">
      <c r="A992">
        <v>100800</v>
      </c>
      <c r="B992">
        <v>4.5240999999999998</v>
      </c>
      <c r="E992">
        <v>100800</v>
      </c>
      <c r="F992">
        <v>3.8475999999999999</v>
      </c>
    </row>
    <row r="993" spans="1:6" x14ac:dyDescent="0.25">
      <c r="A993">
        <v>100900</v>
      </c>
      <c r="B993">
        <v>4.5251000000000001</v>
      </c>
      <c r="E993">
        <v>100900</v>
      </c>
      <c r="F993">
        <v>3.8485999999999998</v>
      </c>
    </row>
    <row r="994" spans="1:6" x14ac:dyDescent="0.25">
      <c r="A994">
        <v>101000</v>
      </c>
      <c r="B994">
        <v>4.5262000000000002</v>
      </c>
      <c r="E994">
        <v>101000</v>
      </c>
      <c r="F994">
        <v>3.8496000000000001</v>
      </c>
    </row>
    <row r="995" spans="1:6" x14ac:dyDescent="0.25">
      <c r="A995">
        <v>101100</v>
      </c>
      <c r="B995">
        <v>4.5273000000000003</v>
      </c>
      <c r="E995">
        <v>101100</v>
      </c>
      <c r="F995">
        <v>3.8506</v>
      </c>
    </row>
    <row r="996" spans="1:6" x14ac:dyDescent="0.25">
      <c r="A996">
        <v>101200</v>
      </c>
      <c r="B996">
        <v>4.5282999999999998</v>
      </c>
      <c r="E996">
        <v>101200</v>
      </c>
      <c r="F996">
        <v>3.8515999999999999</v>
      </c>
    </row>
    <row r="997" spans="1:6" x14ac:dyDescent="0.25">
      <c r="A997">
        <v>101300</v>
      </c>
      <c r="B997">
        <v>4.5293999999999999</v>
      </c>
      <c r="E997">
        <v>101300</v>
      </c>
      <c r="F997">
        <v>3.8525999999999998</v>
      </c>
    </row>
    <row r="998" spans="1:6" x14ac:dyDescent="0.25">
      <c r="A998">
        <v>101400</v>
      </c>
      <c r="B998">
        <v>4.5304000000000002</v>
      </c>
      <c r="E998">
        <v>101400</v>
      </c>
      <c r="F998">
        <v>3.8536000000000001</v>
      </c>
    </row>
    <row r="999" spans="1:6" x14ac:dyDescent="0.25">
      <c r="A999">
        <v>101500</v>
      </c>
      <c r="B999">
        <v>4.5315000000000003</v>
      </c>
      <c r="E999">
        <v>101500</v>
      </c>
      <c r="F999">
        <v>3.8544999999999998</v>
      </c>
    </row>
    <row r="1000" spans="1:6" x14ac:dyDescent="0.25">
      <c r="A1000">
        <v>101600</v>
      </c>
      <c r="B1000">
        <v>4.5324999999999998</v>
      </c>
      <c r="E1000">
        <v>101600</v>
      </c>
      <c r="F1000">
        <v>3.8555000000000001</v>
      </c>
    </row>
    <row r="1001" spans="1:6" x14ac:dyDescent="0.25">
      <c r="A1001">
        <v>101700</v>
      </c>
      <c r="B1001">
        <v>4.5335999999999999</v>
      </c>
      <c r="E1001">
        <v>101700</v>
      </c>
      <c r="F1001">
        <v>3.8565</v>
      </c>
    </row>
    <row r="1002" spans="1:6" x14ac:dyDescent="0.25">
      <c r="A1002">
        <v>101800</v>
      </c>
      <c r="B1002">
        <v>4.5346000000000002</v>
      </c>
      <c r="E1002">
        <v>101800</v>
      </c>
      <c r="F1002">
        <v>3.8574999999999999</v>
      </c>
    </row>
    <row r="1003" spans="1:6" x14ac:dyDescent="0.25">
      <c r="A1003">
        <v>101900</v>
      </c>
      <c r="B1003">
        <v>4.5357000000000003</v>
      </c>
      <c r="E1003">
        <v>101900</v>
      </c>
      <c r="F1003">
        <v>3.8584000000000001</v>
      </c>
    </row>
    <row r="1004" spans="1:6" x14ac:dyDescent="0.25">
      <c r="A1004">
        <v>102000</v>
      </c>
      <c r="B1004">
        <v>4.5366999999999997</v>
      </c>
      <c r="E1004">
        <v>102000</v>
      </c>
      <c r="F1004">
        <v>3.8593999999999999</v>
      </c>
    </row>
    <row r="1005" spans="1:6" x14ac:dyDescent="0.25">
      <c r="A1005">
        <v>102100</v>
      </c>
      <c r="B1005">
        <v>4.5377999999999998</v>
      </c>
      <c r="E1005">
        <v>102100</v>
      </c>
      <c r="F1005">
        <v>3.8603999999999998</v>
      </c>
    </row>
    <row r="1006" spans="1:6" x14ac:dyDescent="0.25">
      <c r="A1006">
        <v>102200</v>
      </c>
      <c r="B1006">
        <v>4.5388000000000002</v>
      </c>
      <c r="E1006">
        <v>102200</v>
      </c>
      <c r="F1006">
        <v>3.8614000000000002</v>
      </c>
    </row>
    <row r="1007" spans="1:6" x14ac:dyDescent="0.25">
      <c r="A1007">
        <v>102300</v>
      </c>
      <c r="B1007">
        <v>4.5397999999999996</v>
      </c>
      <c r="E1007">
        <v>102300</v>
      </c>
      <c r="F1007">
        <v>3.8622999999999998</v>
      </c>
    </row>
    <row r="1008" spans="1:6" x14ac:dyDescent="0.25">
      <c r="A1008">
        <v>102400</v>
      </c>
      <c r="B1008">
        <v>4.5408999999999997</v>
      </c>
      <c r="E1008">
        <v>102400</v>
      </c>
      <c r="F1008">
        <v>3.8633000000000002</v>
      </c>
    </row>
    <row r="1009" spans="1:6" x14ac:dyDescent="0.25">
      <c r="A1009">
        <v>102500</v>
      </c>
      <c r="B1009">
        <v>4.5419</v>
      </c>
      <c r="E1009">
        <v>102500</v>
      </c>
      <c r="F1009">
        <v>3.8641999999999999</v>
      </c>
    </row>
    <row r="1010" spans="1:6" x14ac:dyDescent="0.25">
      <c r="A1010">
        <v>102600</v>
      </c>
      <c r="B1010">
        <v>4.5429000000000004</v>
      </c>
      <c r="E1010">
        <v>102600</v>
      </c>
      <c r="F1010">
        <v>3.8652000000000002</v>
      </c>
    </row>
    <row r="1011" spans="1:6" x14ac:dyDescent="0.25">
      <c r="A1011">
        <v>102700</v>
      </c>
      <c r="B1011">
        <v>4.5439999999999996</v>
      </c>
      <c r="E1011">
        <v>102700</v>
      </c>
      <c r="F1011">
        <v>3.8662000000000001</v>
      </c>
    </row>
    <row r="1012" spans="1:6" x14ac:dyDescent="0.25">
      <c r="A1012">
        <v>102800</v>
      </c>
      <c r="B1012">
        <v>4.5449999999999999</v>
      </c>
      <c r="E1012">
        <v>102800</v>
      </c>
      <c r="F1012">
        <v>3.8671000000000002</v>
      </c>
    </row>
    <row r="1013" spans="1:6" x14ac:dyDescent="0.25">
      <c r="A1013">
        <v>102900</v>
      </c>
      <c r="B1013">
        <v>4.5460000000000003</v>
      </c>
      <c r="E1013">
        <v>102900</v>
      </c>
      <c r="F1013">
        <v>3.8681000000000001</v>
      </c>
    </row>
    <row r="1014" spans="1:6" x14ac:dyDescent="0.25">
      <c r="A1014">
        <v>103000</v>
      </c>
      <c r="B1014">
        <v>4.5469999999999997</v>
      </c>
      <c r="E1014">
        <v>103000</v>
      </c>
      <c r="F1014">
        <v>3.8690000000000002</v>
      </c>
    </row>
    <row r="1015" spans="1:6" x14ac:dyDescent="0.25">
      <c r="A1015">
        <v>103100</v>
      </c>
      <c r="B1015">
        <v>4.5480999999999998</v>
      </c>
      <c r="E1015">
        <v>103100</v>
      </c>
      <c r="F1015">
        <v>3.87</v>
      </c>
    </row>
    <row r="1016" spans="1:6" x14ac:dyDescent="0.25">
      <c r="A1016">
        <v>103200</v>
      </c>
      <c r="B1016">
        <v>4.5491000000000001</v>
      </c>
      <c r="E1016">
        <v>103200</v>
      </c>
      <c r="F1016">
        <v>3.8708999999999998</v>
      </c>
    </row>
    <row r="1017" spans="1:6" x14ac:dyDescent="0.25">
      <c r="A1017">
        <v>103300</v>
      </c>
      <c r="B1017">
        <v>4.5500999999999996</v>
      </c>
      <c r="E1017">
        <v>103300</v>
      </c>
      <c r="F1017">
        <v>3.8719000000000001</v>
      </c>
    </row>
    <row r="1018" spans="1:6" x14ac:dyDescent="0.25">
      <c r="A1018">
        <v>103400</v>
      </c>
      <c r="B1018">
        <v>4.5510999999999999</v>
      </c>
      <c r="E1018">
        <v>103400</v>
      </c>
      <c r="F1018">
        <v>3.8727999999999998</v>
      </c>
    </row>
    <row r="1019" spans="1:6" x14ac:dyDescent="0.25">
      <c r="A1019">
        <v>103500</v>
      </c>
      <c r="B1019">
        <v>4.5521000000000003</v>
      </c>
      <c r="E1019">
        <v>103500</v>
      </c>
      <c r="F1019">
        <v>3.8738000000000001</v>
      </c>
    </row>
    <row r="1020" spans="1:6" x14ac:dyDescent="0.25">
      <c r="A1020">
        <v>103600</v>
      </c>
      <c r="B1020">
        <v>4.5530999999999997</v>
      </c>
      <c r="E1020">
        <v>103600</v>
      </c>
      <c r="F1020">
        <v>3.8746999999999998</v>
      </c>
    </row>
    <row r="1021" spans="1:6" x14ac:dyDescent="0.25">
      <c r="A1021">
        <v>103700</v>
      </c>
      <c r="B1021">
        <v>4.5541</v>
      </c>
      <c r="E1021">
        <v>103700</v>
      </c>
      <c r="F1021">
        <v>3.8757000000000001</v>
      </c>
    </row>
    <row r="1022" spans="1:6" x14ac:dyDescent="0.25">
      <c r="A1022">
        <v>103800</v>
      </c>
      <c r="B1022">
        <v>4.5552000000000001</v>
      </c>
      <c r="E1022">
        <v>103800</v>
      </c>
      <c r="F1022">
        <v>3.8765999999999998</v>
      </c>
    </row>
    <row r="1023" spans="1:6" x14ac:dyDescent="0.25">
      <c r="A1023">
        <v>103900</v>
      </c>
      <c r="B1023">
        <v>4.5561999999999996</v>
      </c>
      <c r="E1023">
        <v>103900</v>
      </c>
      <c r="F1023">
        <v>3.8774999999999999</v>
      </c>
    </row>
    <row r="1024" spans="1:6" x14ac:dyDescent="0.25">
      <c r="A1024">
        <v>104000</v>
      </c>
      <c r="B1024">
        <v>4.5571999999999999</v>
      </c>
      <c r="E1024">
        <v>104000</v>
      </c>
      <c r="F1024">
        <v>3.8784999999999998</v>
      </c>
    </row>
    <row r="1025" spans="1:6" x14ac:dyDescent="0.25">
      <c r="A1025">
        <v>104100</v>
      </c>
      <c r="B1025">
        <v>4.5582000000000003</v>
      </c>
      <c r="E1025">
        <v>104100</v>
      </c>
      <c r="F1025">
        <v>3.8794</v>
      </c>
    </row>
    <row r="1026" spans="1:6" x14ac:dyDescent="0.25">
      <c r="A1026">
        <v>104200</v>
      </c>
      <c r="B1026">
        <v>4.5591999999999997</v>
      </c>
      <c r="E1026">
        <v>104200</v>
      </c>
      <c r="F1026">
        <v>3.8803000000000001</v>
      </c>
    </row>
    <row r="1027" spans="1:6" x14ac:dyDescent="0.25">
      <c r="A1027">
        <v>104300</v>
      </c>
      <c r="B1027">
        <v>4.5602</v>
      </c>
      <c r="E1027">
        <v>104300</v>
      </c>
      <c r="F1027">
        <v>3.8813</v>
      </c>
    </row>
    <row r="1028" spans="1:6" x14ac:dyDescent="0.25">
      <c r="A1028">
        <v>104400</v>
      </c>
      <c r="B1028">
        <v>4.5612000000000004</v>
      </c>
      <c r="E1028">
        <v>104400</v>
      </c>
      <c r="F1028">
        <v>3.8822000000000001</v>
      </c>
    </row>
    <row r="1029" spans="1:6" x14ac:dyDescent="0.25">
      <c r="A1029">
        <v>104500</v>
      </c>
      <c r="B1029">
        <v>4.5621999999999998</v>
      </c>
      <c r="E1029">
        <v>104500</v>
      </c>
      <c r="F1029">
        <v>3.8831000000000002</v>
      </c>
    </row>
    <row r="1030" spans="1:6" x14ac:dyDescent="0.25">
      <c r="A1030">
        <v>104600</v>
      </c>
      <c r="B1030">
        <v>4.5631000000000004</v>
      </c>
      <c r="E1030">
        <v>104600</v>
      </c>
      <c r="F1030">
        <v>3.8839999999999999</v>
      </c>
    </row>
    <row r="1031" spans="1:6" x14ac:dyDescent="0.25">
      <c r="A1031">
        <v>104700</v>
      </c>
      <c r="B1031">
        <v>4.5640999999999998</v>
      </c>
      <c r="E1031">
        <v>104700</v>
      </c>
      <c r="F1031">
        <v>3.8849999999999998</v>
      </c>
    </row>
    <row r="1032" spans="1:6" x14ac:dyDescent="0.25">
      <c r="A1032">
        <v>104800</v>
      </c>
      <c r="B1032">
        <v>4.5651000000000002</v>
      </c>
      <c r="E1032">
        <v>104800</v>
      </c>
      <c r="F1032">
        <v>3.8858999999999999</v>
      </c>
    </row>
    <row r="1033" spans="1:6" x14ac:dyDescent="0.25">
      <c r="A1033">
        <v>104900</v>
      </c>
      <c r="B1033">
        <v>4.5660999999999996</v>
      </c>
      <c r="E1033">
        <v>104900</v>
      </c>
      <c r="F1033">
        <v>3.8868</v>
      </c>
    </row>
    <row r="1034" spans="1:6" x14ac:dyDescent="0.25">
      <c r="A1034">
        <v>105000</v>
      </c>
      <c r="B1034">
        <v>4.5670999999999999</v>
      </c>
      <c r="E1034">
        <v>105000</v>
      </c>
      <c r="F1034">
        <v>3.8877000000000002</v>
      </c>
    </row>
    <row r="1035" spans="1:6" x14ac:dyDescent="0.25">
      <c r="A1035">
        <v>105100</v>
      </c>
      <c r="B1035">
        <v>4.5681000000000003</v>
      </c>
      <c r="E1035">
        <v>105100</v>
      </c>
      <c r="F1035">
        <v>3.8885999999999998</v>
      </c>
    </row>
    <row r="1036" spans="1:6" x14ac:dyDescent="0.25">
      <c r="A1036">
        <v>105200</v>
      </c>
      <c r="B1036">
        <v>4.5690999999999997</v>
      </c>
      <c r="E1036">
        <v>105200</v>
      </c>
      <c r="F1036">
        <v>3.8895</v>
      </c>
    </row>
    <row r="1037" spans="1:6" x14ac:dyDescent="0.25">
      <c r="A1037">
        <v>105300</v>
      </c>
      <c r="B1037">
        <v>4.57</v>
      </c>
      <c r="E1037">
        <v>105300</v>
      </c>
      <c r="F1037">
        <v>3.8904999999999998</v>
      </c>
    </row>
    <row r="1038" spans="1:6" x14ac:dyDescent="0.25">
      <c r="A1038">
        <v>105400</v>
      </c>
      <c r="B1038">
        <v>4.5709999999999997</v>
      </c>
      <c r="E1038">
        <v>105400</v>
      </c>
      <c r="F1038">
        <v>3.8914</v>
      </c>
    </row>
    <row r="1039" spans="1:6" x14ac:dyDescent="0.25">
      <c r="A1039">
        <v>105500</v>
      </c>
      <c r="B1039">
        <v>4.5720000000000001</v>
      </c>
      <c r="E1039">
        <v>105500</v>
      </c>
      <c r="F1039">
        <v>3.8923000000000001</v>
      </c>
    </row>
    <row r="1040" spans="1:6" x14ac:dyDescent="0.25">
      <c r="A1040">
        <v>105600</v>
      </c>
      <c r="B1040">
        <v>4.5730000000000004</v>
      </c>
      <c r="E1040">
        <v>105600</v>
      </c>
      <c r="F1040">
        <v>3.8932000000000002</v>
      </c>
    </row>
    <row r="1041" spans="1:6" x14ac:dyDescent="0.25">
      <c r="A1041">
        <v>105700</v>
      </c>
      <c r="B1041">
        <v>4.5739000000000001</v>
      </c>
      <c r="E1041">
        <v>105700</v>
      </c>
      <c r="F1041">
        <v>3.8940999999999999</v>
      </c>
    </row>
    <row r="1042" spans="1:6" x14ac:dyDescent="0.25">
      <c r="A1042">
        <v>105800</v>
      </c>
      <c r="B1042">
        <v>4.5749000000000004</v>
      </c>
      <c r="E1042">
        <v>105800</v>
      </c>
      <c r="F1042">
        <v>3.895</v>
      </c>
    </row>
    <row r="1043" spans="1:6" x14ac:dyDescent="0.25">
      <c r="A1043">
        <v>105900</v>
      </c>
      <c r="B1043">
        <v>4.5758999999999999</v>
      </c>
      <c r="E1043">
        <v>105900</v>
      </c>
      <c r="F1043">
        <v>3.8959000000000001</v>
      </c>
    </row>
    <row r="1044" spans="1:6" x14ac:dyDescent="0.25">
      <c r="A1044">
        <v>106000</v>
      </c>
      <c r="B1044">
        <v>4.5768000000000004</v>
      </c>
      <c r="E1044">
        <v>106000</v>
      </c>
      <c r="F1044">
        <v>3.8967999999999998</v>
      </c>
    </row>
    <row r="1045" spans="1:6" x14ac:dyDescent="0.25">
      <c r="A1045">
        <v>106100</v>
      </c>
      <c r="B1045">
        <v>4.5777999999999999</v>
      </c>
      <c r="E1045">
        <v>106100</v>
      </c>
      <c r="F1045">
        <v>3.8976999999999999</v>
      </c>
    </row>
    <row r="1046" spans="1:6" x14ac:dyDescent="0.25">
      <c r="A1046">
        <v>106200</v>
      </c>
      <c r="B1046">
        <v>4.5788000000000002</v>
      </c>
      <c r="E1046">
        <v>106200</v>
      </c>
      <c r="F1046">
        <v>3.8986000000000001</v>
      </c>
    </row>
    <row r="1047" spans="1:6" x14ac:dyDescent="0.25">
      <c r="A1047">
        <v>106300</v>
      </c>
      <c r="B1047">
        <v>4.5796999999999999</v>
      </c>
      <c r="E1047">
        <v>106300</v>
      </c>
      <c r="F1047">
        <v>3.8995000000000002</v>
      </c>
    </row>
    <row r="1048" spans="1:6" x14ac:dyDescent="0.25">
      <c r="A1048">
        <v>106400</v>
      </c>
      <c r="B1048">
        <v>4.5807000000000002</v>
      </c>
      <c r="E1048">
        <v>106400</v>
      </c>
      <c r="F1048">
        <v>3.9003999999999999</v>
      </c>
    </row>
    <row r="1049" spans="1:6" x14ac:dyDescent="0.25">
      <c r="A1049">
        <v>106500</v>
      </c>
      <c r="B1049">
        <v>4.5815999999999999</v>
      </c>
      <c r="E1049">
        <v>106500</v>
      </c>
      <c r="F1049">
        <v>3.9013</v>
      </c>
    </row>
    <row r="1050" spans="1:6" x14ac:dyDescent="0.25">
      <c r="A1050">
        <v>106600</v>
      </c>
      <c r="B1050">
        <v>4.5826000000000002</v>
      </c>
      <c r="E1050">
        <v>106600</v>
      </c>
      <c r="F1050">
        <v>3.9022000000000001</v>
      </c>
    </row>
    <row r="1051" spans="1:6" x14ac:dyDescent="0.25">
      <c r="A1051">
        <v>106700</v>
      </c>
      <c r="B1051">
        <v>4.5835999999999997</v>
      </c>
      <c r="E1051">
        <v>106700</v>
      </c>
      <c r="F1051">
        <v>3.903</v>
      </c>
    </row>
    <row r="1052" spans="1:6" x14ac:dyDescent="0.25">
      <c r="A1052">
        <v>106800</v>
      </c>
      <c r="B1052">
        <v>4.5845000000000002</v>
      </c>
      <c r="E1052">
        <v>106800</v>
      </c>
      <c r="F1052">
        <v>3.9039000000000001</v>
      </c>
    </row>
    <row r="1053" spans="1:6" x14ac:dyDescent="0.25">
      <c r="A1053">
        <v>106900</v>
      </c>
      <c r="B1053">
        <v>4.5854999999999997</v>
      </c>
      <c r="E1053">
        <v>106900</v>
      </c>
      <c r="F1053">
        <v>3.9047999999999998</v>
      </c>
    </row>
    <row r="1054" spans="1:6" x14ac:dyDescent="0.25">
      <c r="A1054">
        <v>107000</v>
      </c>
      <c r="B1054">
        <v>4.5864000000000003</v>
      </c>
      <c r="E1054">
        <v>107000</v>
      </c>
      <c r="F1054">
        <v>3.9056999999999999</v>
      </c>
    </row>
    <row r="1055" spans="1:6" x14ac:dyDescent="0.25">
      <c r="A1055">
        <v>107100</v>
      </c>
      <c r="B1055">
        <v>4.5872999999999999</v>
      </c>
      <c r="E1055">
        <v>107100</v>
      </c>
      <c r="F1055">
        <v>3.9066000000000001</v>
      </c>
    </row>
    <row r="1056" spans="1:6" x14ac:dyDescent="0.25">
      <c r="A1056">
        <v>107200</v>
      </c>
      <c r="B1056">
        <v>4.5883000000000003</v>
      </c>
      <c r="E1056">
        <v>107200</v>
      </c>
      <c r="F1056">
        <v>3.9075000000000002</v>
      </c>
    </row>
    <row r="1057" spans="1:6" x14ac:dyDescent="0.25">
      <c r="A1057">
        <v>107300</v>
      </c>
      <c r="B1057">
        <v>4.5891999999999999</v>
      </c>
      <c r="E1057">
        <v>107300</v>
      </c>
      <c r="F1057">
        <v>3.9083000000000001</v>
      </c>
    </row>
    <row r="1058" spans="1:6" x14ac:dyDescent="0.25">
      <c r="A1058">
        <v>107400</v>
      </c>
      <c r="B1058">
        <v>4.5902000000000003</v>
      </c>
      <c r="E1058">
        <v>107400</v>
      </c>
      <c r="F1058">
        <v>3.9091999999999998</v>
      </c>
    </row>
    <row r="1059" spans="1:6" x14ac:dyDescent="0.25">
      <c r="A1059">
        <v>107500</v>
      </c>
      <c r="B1059">
        <v>4.5911</v>
      </c>
      <c r="E1059">
        <v>107500</v>
      </c>
      <c r="F1059">
        <v>3.9100999999999999</v>
      </c>
    </row>
    <row r="1060" spans="1:6" x14ac:dyDescent="0.25">
      <c r="A1060">
        <v>107600</v>
      </c>
      <c r="B1060">
        <v>4.5921000000000003</v>
      </c>
      <c r="E1060">
        <v>107600</v>
      </c>
      <c r="F1060">
        <v>3.911</v>
      </c>
    </row>
    <row r="1061" spans="1:6" x14ac:dyDescent="0.25">
      <c r="A1061">
        <v>107700</v>
      </c>
      <c r="B1061">
        <v>4.593</v>
      </c>
      <c r="E1061">
        <v>107700</v>
      </c>
      <c r="F1061">
        <v>3.9117999999999999</v>
      </c>
    </row>
    <row r="1062" spans="1:6" x14ac:dyDescent="0.25">
      <c r="A1062">
        <v>107800</v>
      </c>
      <c r="B1062">
        <v>4.5938999999999997</v>
      </c>
      <c r="E1062">
        <v>107800</v>
      </c>
      <c r="F1062">
        <v>3.9127000000000001</v>
      </c>
    </row>
    <row r="1063" spans="1:6" x14ac:dyDescent="0.25">
      <c r="A1063">
        <v>107900</v>
      </c>
      <c r="B1063">
        <v>4.5949</v>
      </c>
      <c r="E1063">
        <v>107900</v>
      </c>
      <c r="F1063">
        <v>3.9136000000000002</v>
      </c>
    </row>
    <row r="1064" spans="1:6" x14ac:dyDescent="0.25">
      <c r="A1064">
        <v>108000</v>
      </c>
      <c r="B1064">
        <v>4.5957999999999997</v>
      </c>
      <c r="E1064">
        <v>108000</v>
      </c>
      <c r="F1064">
        <v>3.9144000000000001</v>
      </c>
    </row>
    <row r="1065" spans="1:6" x14ac:dyDescent="0.25">
      <c r="A1065">
        <v>108100</v>
      </c>
      <c r="B1065">
        <v>4.5967000000000002</v>
      </c>
      <c r="E1065">
        <v>108100</v>
      </c>
      <c r="F1065">
        <v>3.9152999999999998</v>
      </c>
    </row>
    <row r="1066" spans="1:6" x14ac:dyDescent="0.25">
      <c r="A1066">
        <v>108200</v>
      </c>
      <c r="B1066">
        <v>4.5975999999999999</v>
      </c>
      <c r="E1066">
        <v>108200</v>
      </c>
      <c r="F1066">
        <v>3.9161999999999999</v>
      </c>
    </row>
    <row r="1067" spans="1:6" x14ac:dyDescent="0.25">
      <c r="A1067">
        <v>108300</v>
      </c>
      <c r="B1067">
        <v>4.5986000000000002</v>
      </c>
      <c r="E1067">
        <v>108300</v>
      </c>
      <c r="F1067">
        <v>3.9169999999999998</v>
      </c>
    </row>
    <row r="1068" spans="1:6" x14ac:dyDescent="0.25">
      <c r="A1068">
        <v>108400</v>
      </c>
      <c r="B1068">
        <v>4.5994999999999999</v>
      </c>
      <c r="E1068">
        <v>108400</v>
      </c>
      <c r="F1068">
        <v>3.9178999999999999</v>
      </c>
    </row>
    <row r="1069" spans="1:6" x14ac:dyDescent="0.25">
      <c r="A1069">
        <v>108500</v>
      </c>
      <c r="B1069">
        <v>4.6003999999999996</v>
      </c>
      <c r="E1069">
        <v>108500</v>
      </c>
      <c r="F1069">
        <v>3.9188000000000001</v>
      </c>
    </row>
    <row r="1070" spans="1:6" x14ac:dyDescent="0.25">
      <c r="A1070">
        <v>108600</v>
      </c>
      <c r="B1070">
        <v>4.6013000000000002</v>
      </c>
      <c r="E1070">
        <v>108600</v>
      </c>
      <c r="F1070">
        <v>3.9196</v>
      </c>
    </row>
    <row r="1071" spans="1:6" x14ac:dyDescent="0.25">
      <c r="A1071">
        <v>108700</v>
      </c>
      <c r="B1071">
        <v>4.6022999999999996</v>
      </c>
      <c r="E1071">
        <v>108700</v>
      </c>
      <c r="F1071">
        <v>3.9205000000000001</v>
      </c>
    </row>
    <row r="1072" spans="1:6" x14ac:dyDescent="0.25">
      <c r="A1072">
        <v>108800</v>
      </c>
      <c r="B1072">
        <v>4.6032000000000002</v>
      </c>
      <c r="E1072">
        <v>108800</v>
      </c>
      <c r="F1072">
        <v>3.9213</v>
      </c>
    </row>
    <row r="1073" spans="1:6" x14ac:dyDescent="0.25">
      <c r="A1073">
        <v>108900</v>
      </c>
      <c r="B1073">
        <v>4.6040999999999999</v>
      </c>
      <c r="E1073">
        <v>108900</v>
      </c>
      <c r="F1073">
        <v>3.9222000000000001</v>
      </c>
    </row>
    <row r="1074" spans="1:6" x14ac:dyDescent="0.25">
      <c r="A1074">
        <v>109000</v>
      </c>
      <c r="B1074">
        <v>4.6050000000000004</v>
      </c>
      <c r="E1074">
        <v>109000</v>
      </c>
      <c r="F1074">
        <v>3.923</v>
      </c>
    </row>
    <row r="1075" spans="1:6" x14ac:dyDescent="0.25">
      <c r="A1075">
        <v>109100</v>
      </c>
      <c r="B1075">
        <v>4.6059000000000001</v>
      </c>
      <c r="E1075">
        <v>109100</v>
      </c>
      <c r="F1075">
        <v>3.9239000000000002</v>
      </c>
    </row>
    <row r="1076" spans="1:6" x14ac:dyDescent="0.25">
      <c r="A1076">
        <v>109200</v>
      </c>
      <c r="B1076">
        <v>4.6067999999999998</v>
      </c>
      <c r="E1076">
        <v>109200</v>
      </c>
      <c r="F1076">
        <v>3.9247000000000001</v>
      </c>
    </row>
    <row r="1077" spans="1:6" x14ac:dyDescent="0.25">
      <c r="A1077">
        <v>109300</v>
      </c>
      <c r="B1077">
        <v>4.6077000000000004</v>
      </c>
      <c r="E1077">
        <v>109300</v>
      </c>
      <c r="F1077">
        <v>3.9256000000000002</v>
      </c>
    </row>
    <row r="1078" spans="1:6" x14ac:dyDescent="0.25">
      <c r="A1078">
        <v>109400</v>
      </c>
      <c r="B1078">
        <v>4.6086</v>
      </c>
      <c r="E1078">
        <v>109400</v>
      </c>
      <c r="F1078">
        <v>3.9264000000000001</v>
      </c>
    </row>
    <row r="1079" spans="1:6" x14ac:dyDescent="0.25">
      <c r="A1079">
        <v>109500</v>
      </c>
      <c r="B1079">
        <v>4.6094999999999997</v>
      </c>
      <c r="E1079">
        <v>109500</v>
      </c>
      <c r="F1079">
        <v>3.9272999999999998</v>
      </c>
    </row>
    <row r="1080" spans="1:6" x14ac:dyDescent="0.25">
      <c r="A1080">
        <v>109600</v>
      </c>
      <c r="B1080">
        <v>4.6104000000000003</v>
      </c>
      <c r="E1080">
        <v>109600</v>
      </c>
      <c r="F1080">
        <v>3.9281000000000001</v>
      </c>
    </row>
    <row r="1081" spans="1:6" x14ac:dyDescent="0.25">
      <c r="A1081">
        <v>109700</v>
      </c>
      <c r="B1081">
        <v>4.6113</v>
      </c>
      <c r="E1081">
        <v>109700</v>
      </c>
      <c r="F1081">
        <v>3.9289000000000001</v>
      </c>
    </row>
    <row r="1082" spans="1:6" x14ac:dyDescent="0.25">
      <c r="A1082">
        <v>109800</v>
      </c>
      <c r="B1082">
        <v>4.6121999999999996</v>
      </c>
      <c r="E1082">
        <v>109800</v>
      </c>
      <c r="F1082">
        <v>3.9298000000000002</v>
      </c>
    </row>
    <row r="1083" spans="1:6" x14ac:dyDescent="0.25">
      <c r="A1083">
        <v>109900</v>
      </c>
      <c r="B1083">
        <v>4.6131000000000002</v>
      </c>
      <c r="E1083">
        <v>109900</v>
      </c>
      <c r="F1083">
        <v>3.9306000000000001</v>
      </c>
    </row>
    <row r="1084" spans="1:6" x14ac:dyDescent="0.25">
      <c r="A1084">
        <v>110000</v>
      </c>
      <c r="B1084">
        <v>4.6139999999999999</v>
      </c>
      <c r="E1084">
        <v>110000</v>
      </c>
      <c r="F1084">
        <v>3.9315000000000002</v>
      </c>
    </row>
    <row r="1085" spans="1:6" x14ac:dyDescent="0.25">
      <c r="A1085">
        <v>110100</v>
      </c>
      <c r="B1085">
        <v>4.6148999999999996</v>
      </c>
      <c r="E1085">
        <v>110100</v>
      </c>
      <c r="F1085">
        <v>3.9323000000000001</v>
      </c>
    </row>
    <row r="1086" spans="1:6" x14ac:dyDescent="0.25">
      <c r="A1086">
        <v>110200</v>
      </c>
      <c r="B1086">
        <v>4.6158000000000001</v>
      </c>
      <c r="E1086">
        <v>110200</v>
      </c>
      <c r="F1086">
        <v>3.9331</v>
      </c>
    </row>
    <row r="1087" spans="1:6" x14ac:dyDescent="0.25">
      <c r="A1087">
        <v>110300</v>
      </c>
      <c r="B1087">
        <v>4.6166999999999998</v>
      </c>
      <c r="E1087">
        <v>110300</v>
      </c>
      <c r="F1087">
        <v>3.9340000000000002</v>
      </c>
    </row>
    <row r="1088" spans="1:6" x14ac:dyDescent="0.25">
      <c r="A1088">
        <v>110400</v>
      </c>
      <c r="B1088">
        <v>4.6176000000000004</v>
      </c>
      <c r="E1088">
        <v>110400</v>
      </c>
      <c r="F1088">
        <v>3.9348000000000001</v>
      </c>
    </row>
    <row r="1089" spans="1:6" x14ac:dyDescent="0.25">
      <c r="A1089">
        <v>110500</v>
      </c>
      <c r="B1089">
        <v>4.6185</v>
      </c>
      <c r="E1089">
        <v>110500</v>
      </c>
      <c r="F1089">
        <v>3.9356</v>
      </c>
    </row>
    <row r="1090" spans="1:6" x14ac:dyDescent="0.25">
      <c r="A1090">
        <v>110600</v>
      </c>
      <c r="B1090">
        <v>4.6193999999999997</v>
      </c>
      <c r="E1090">
        <v>110600</v>
      </c>
      <c r="F1090">
        <v>3.9363999999999999</v>
      </c>
    </row>
    <row r="1091" spans="1:6" x14ac:dyDescent="0.25">
      <c r="A1091">
        <v>110700</v>
      </c>
      <c r="B1091">
        <v>4.6203000000000003</v>
      </c>
      <c r="E1091">
        <v>110700</v>
      </c>
      <c r="F1091">
        <v>3.9373</v>
      </c>
    </row>
    <row r="1092" spans="1:6" x14ac:dyDescent="0.25">
      <c r="A1092">
        <v>110800</v>
      </c>
      <c r="B1092">
        <v>4.6212999999999997</v>
      </c>
      <c r="E1092">
        <v>110800</v>
      </c>
      <c r="F1092">
        <v>3.9384000000000001</v>
      </c>
    </row>
    <row r="1093" spans="1:6" x14ac:dyDescent="0.25">
      <c r="A1093">
        <v>110900</v>
      </c>
      <c r="B1093">
        <v>4.6223000000000001</v>
      </c>
      <c r="E1093">
        <v>110900</v>
      </c>
      <c r="F1093">
        <v>3.9394999999999998</v>
      </c>
    </row>
    <row r="1094" spans="1:6" x14ac:dyDescent="0.25">
      <c r="A1094">
        <v>111000</v>
      </c>
      <c r="B1094">
        <v>4.6233000000000004</v>
      </c>
      <c r="E1094">
        <v>111000</v>
      </c>
      <c r="F1094">
        <v>3.9407000000000001</v>
      </c>
    </row>
    <row r="1095" spans="1:6" x14ac:dyDescent="0.25">
      <c r="A1095">
        <v>111100</v>
      </c>
      <c r="B1095">
        <v>4.6242999999999999</v>
      </c>
      <c r="E1095">
        <v>111100</v>
      </c>
      <c r="F1095">
        <v>3.9418000000000002</v>
      </c>
    </row>
    <row r="1096" spans="1:6" x14ac:dyDescent="0.25">
      <c r="A1096">
        <v>111200</v>
      </c>
      <c r="B1096">
        <v>4.6254</v>
      </c>
      <c r="E1096">
        <v>111200</v>
      </c>
      <c r="F1096">
        <v>3.9428999999999998</v>
      </c>
    </row>
    <row r="1097" spans="1:6" x14ac:dyDescent="0.25">
      <c r="A1097">
        <v>111300</v>
      </c>
      <c r="B1097">
        <v>4.6264000000000003</v>
      </c>
      <c r="E1097">
        <v>111300</v>
      </c>
      <c r="F1097">
        <v>3.9441000000000002</v>
      </c>
    </row>
    <row r="1098" spans="1:6" x14ac:dyDescent="0.25">
      <c r="A1098">
        <v>111400</v>
      </c>
      <c r="B1098">
        <v>4.6273999999999997</v>
      </c>
      <c r="E1098">
        <v>111400</v>
      </c>
      <c r="F1098">
        <v>3.9451999999999998</v>
      </c>
    </row>
    <row r="1099" spans="1:6" x14ac:dyDescent="0.25">
      <c r="A1099">
        <v>111500</v>
      </c>
      <c r="B1099">
        <v>4.6284000000000001</v>
      </c>
      <c r="E1099">
        <v>111500</v>
      </c>
      <c r="F1099">
        <v>3.9462999999999999</v>
      </c>
    </row>
    <row r="1100" spans="1:6" x14ac:dyDescent="0.25">
      <c r="A1100">
        <v>111600</v>
      </c>
      <c r="B1100">
        <v>4.6294000000000004</v>
      </c>
      <c r="E1100">
        <v>111600</v>
      </c>
      <c r="F1100">
        <v>3.9474</v>
      </c>
    </row>
    <row r="1101" spans="1:6" x14ac:dyDescent="0.25">
      <c r="A1101">
        <v>111700</v>
      </c>
      <c r="B1101">
        <v>4.6303999999999998</v>
      </c>
      <c r="E1101">
        <v>111700</v>
      </c>
      <c r="F1101">
        <v>3.9485999999999999</v>
      </c>
    </row>
    <row r="1102" spans="1:6" x14ac:dyDescent="0.25">
      <c r="A1102">
        <v>111800</v>
      </c>
      <c r="B1102">
        <v>4.6314000000000002</v>
      </c>
      <c r="E1102">
        <v>111800</v>
      </c>
      <c r="F1102">
        <v>3.9497</v>
      </c>
    </row>
    <row r="1103" spans="1:6" x14ac:dyDescent="0.25">
      <c r="A1103">
        <v>111900</v>
      </c>
      <c r="B1103">
        <v>4.6323999999999996</v>
      </c>
      <c r="E1103">
        <v>111900</v>
      </c>
      <c r="F1103">
        <v>3.9508000000000001</v>
      </c>
    </row>
    <row r="1104" spans="1:6" x14ac:dyDescent="0.25">
      <c r="A1104">
        <v>112000</v>
      </c>
      <c r="B1104">
        <v>4.6334</v>
      </c>
      <c r="E1104">
        <v>112000</v>
      </c>
      <c r="F1104">
        <v>3.9519000000000002</v>
      </c>
    </row>
    <row r="1105" spans="1:6" x14ac:dyDescent="0.25">
      <c r="A1105">
        <v>112100</v>
      </c>
      <c r="B1105">
        <v>4.6344000000000003</v>
      </c>
      <c r="E1105">
        <v>112100</v>
      </c>
      <c r="F1105">
        <v>3.9529999999999998</v>
      </c>
    </row>
    <row r="1106" spans="1:6" x14ac:dyDescent="0.25">
      <c r="A1106">
        <v>112200</v>
      </c>
      <c r="B1106">
        <v>4.6353999999999997</v>
      </c>
      <c r="E1106">
        <v>112200</v>
      </c>
      <c r="F1106">
        <v>3.9540999999999999</v>
      </c>
    </row>
    <row r="1107" spans="1:6" x14ac:dyDescent="0.25">
      <c r="A1107">
        <v>112300</v>
      </c>
      <c r="B1107">
        <v>4.6364000000000001</v>
      </c>
      <c r="E1107">
        <v>112300</v>
      </c>
      <c r="F1107">
        <v>3.9552999999999998</v>
      </c>
    </row>
    <row r="1108" spans="1:6" x14ac:dyDescent="0.25">
      <c r="A1108">
        <v>112400</v>
      </c>
      <c r="B1108">
        <v>4.6374000000000004</v>
      </c>
      <c r="E1108">
        <v>112400</v>
      </c>
      <c r="F1108">
        <v>3.9563999999999999</v>
      </c>
    </row>
    <row r="1109" spans="1:6" x14ac:dyDescent="0.25">
      <c r="A1109">
        <v>112500</v>
      </c>
      <c r="B1109">
        <v>4.6383999999999999</v>
      </c>
      <c r="E1109">
        <v>112500</v>
      </c>
      <c r="F1109">
        <v>3.9575</v>
      </c>
    </row>
    <row r="1110" spans="1:6" x14ac:dyDescent="0.25">
      <c r="A1110">
        <v>112600</v>
      </c>
      <c r="B1110">
        <v>4.6393000000000004</v>
      </c>
      <c r="E1110">
        <v>112600</v>
      </c>
      <c r="F1110">
        <v>3.9586000000000001</v>
      </c>
    </row>
    <row r="1111" spans="1:6" x14ac:dyDescent="0.25">
      <c r="A1111">
        <v>112700</v>
      </c>
      <c r="B1111">
        <v>4.6402999999999999</v>
      </c>
      <c r="E1111">
        <v>112700</v>
      </c>
      <c r="F1111">
        <v>3.9597000000000002</v>
      </c>
    </row>
    <row r="1112" spans="1:6" x14ac:dyDescent="0.25">
      <c r="A1112">
        <v>112800</v>
      </c>
      <c r="B1112">
        <v>4.6413000000000002</v>
      </c>
      <c r="E1112">
        <v>112800</v>
      </c>
      <c r="F1112">
        <v>3.9607999999999999</v>
      </c>
    </row>
    <row r="1113" spans="1:6" x14ac:dyDescent="0.25">
      <c r="A1113">
        <v>112900</v>
      </c>
      <c r="B1113">
        <v>4.6422999999999996</v>
      </c>
      <c r="E1113">
        <v>112900</v>
      </c>
      <c r="F1113">
        <v>3.9619</v>
      </c>
    </row>
    <row r="1114" spans="1:6" x14ac:dyDescent="0.25">
      <c r="A1114">
        <v>113000</v>
      </c>
      <c r="B1114">
        <v>4.6433</v>
      </c>
      <c r="E1114">
        <v>113000</v>
      </c>
      <c r="F1114">
        <v>3.9630000000000001</v>
      </c>
    </row>
    <row r="1115" spans="1:6" x14ac:dyDescent="0.25">
      <c r="A1115">
        <v>113100</v>
      </c>
      <c r="B1115">
        <v>4.6443000000000003</v>
      </c>
      <c r="E1115">
        <v>113100</v>
      </c>
      <c r="F1115">
        <v>3.9641000000000002</v>
      </c>
    </row>
    <row r="1116" spans="1:6" x14ac:dyDescent="0.25">
      <c r="A1116">
        <v>113200</v>
      </c>
      <c r="B1116">
        <v>4.6452</v>
      </c>
      <c r="E1116">
        <v>113200</v>
      </c>
      <c r="F1116">
        <v>3.9651999999999998</v>
      </c>
    </row>
    <row r="1117" spans="1:6" x14ac:dyDescent="0.25">
      <c r="A1117">
        <v>113300</v>
      </c>
      <c r="B1117">
        <v>4.6462000000000003</v>
      </c>
      <c r="E1117">
        <v>113300</v>
      </c>
      <c r="F1117">
        <v>3.9662000000000002</v>
      </c>
    </row>
    <row r="1118" spans="1:6" x14ac:dyDescent="0.25">
      <c r="A1118">
        <v>113400</v>
      </c>
      <c r="B1118">
        <v>4.6471999999999998</v>
      </c>
      <c r="E1118">
        <v>113400</v>
      </c>
      <c r="F1118">
        <v>3.9672999999999998</v>
      </c>
    </row>
    <row r="1119" spans="1:6" x14ac:dyDescent="0.25">
      <c r="A1119">
        <v>113500</v>
      </c>
      <c r="B1119">
        <v>4.6481000000000003</v>
      </c>
      <c r="E1119">
        <v>113500</v>
      </c>
      <c r="F1119">
        <v>3.9683999999999999</v>
      </c>
    </row>
    <row r="1120" spans="1:6" x14ac:dyDescent="0.25">
      <c r="A1120">
        <v>113600</v>
      </c>
      <c r="B1120">
        <v>4.6490999999999998</v>
      </c>
      <c r="E1120">
        <v>113600</v>
      </c>
      <c r="F1120">
        <v>3.9695</v>
      </c>
    </row>
    <row r="1121" spans="1:6" x14ac:dyDescent="0.25">
      <c r="A1121">
        <v>113700</v>
      </c>
      <c r="B1121">
        <v>4.6501000000000001</v>
      </c>
      <c r="E1121">
        <v>113700</v>
      </c>
      <c r="F1121">
        <v>3.9706000000000001</v>
      </c>
    </row>
    <row r="1122" spans="1:6" x14ac:dyDescent="0.25">
      <c r="A1122">
        <v>113800</v>
      </c>
      <c r="B1122">
        <v>4.6510999999999996</v>
      </c>
      <c r="E1122">
        <v>113800</v>
      </c>
      <c r="F1122">
        <v>3.9716999999999998</v>
      </c>
    </row>
    <row r="1123" spans="1:6" x14ac:dyDescent="0.25">
      <c r="A1123">
        <v>113900</v>
      </c>
      <c r="B1123">
        <v>4.6520000000000001</v>
      </c>
      <c r="E1123">
        <v>113900</v>
      </c>
      <c r="F1123">
        <v>3.9727000000000001</v>
      </c>
    </row>
    <row r="1124" spans="1:6" x14ac:dyDescent="0.25">
      <c r="A1124">
        <v>114000</v>
      </c>
      <c r="B1124">
        <v>4.6529999999999996</v>
      </c>
      <c r="E1124">
        <v>114000</v>
      </c>
      <c r="F1124">
        <v>3.9738000000000002</v>
      </c>
    </row>
    <row r="1125" spans="1:6" x14ac:dyDescent="0.25">
      <c r="A1125">
        <v>114100</v>
      </c>
      <c r="B1125">
        <v>4.6539000000000001</v>
      </c>
      <c r="E1125">
        <v>114100</v>
      </c>
      <c r="F1125">
        <v>3.9748999999999999</v>
      </c>
    </row>
    <row r="1126" spans="1:6" x14ac:dyDescent="0.25">
      <c r="A1126">
        <v>114200</v>
      </c>
      <c r="B1126">
        <v>4.6548999999999996</v>
      </c>
      <c r="E1126">
        <v>114200</v>
      </c>
      <c r="F1126">
        <v>3.976</v>
      </c>
    </row>
    <row r="1127" spans="1:6" x14ac:dyDescent="0.25">
      <c r="A1127">
        <v>114300</v>
      </c>
      <c r="B1127">
        <v>4.6558999999999999</v>
      </c>
      <c r="E1127">
        <v>114300</v>
      </c>
      <c r="F1127">
        <v>3.9769999999999999</v>
      </c>
    </row>
    <row r="1128" spans="1:6" x14ac:dyDescent="0.25">
      <c r="A1128">
        <v>114400</v>
      </c>
      <c r="B1128">
        <v>4.6567999999999996</v>
      </c>
      <c r="E1128">
        <v>114400</v>
      </c>
      <c r="F1128">
        <v>3.9781</v>
      </c>
    </row>
    <row r="1129" spans="1:6" x14ac:dyDescent="0.25">
      <c r="A1129">
        <v>114500</v>
      </c>
      <c r="B1129">
        <v>4.6577999999999999</v>
      </c>
      <c r="E1129">
        <v>114500</v>
      </c>
      <c r="F1129">
        <v>3.9792000000000001</v>
      </c>
    </row>
    <row r="1130" spans="1:6" x14ac:dyDescent="0.25">
      <c r="A1130">
        <v>114600</v>
      </c>
      <c r="B1130">
        <v>4.6586999999999996</v>
      </c>
      <c r="E1130">
        <v>114600</v>
      </c>
      <c r="F1130">
        <v>3.9802</v>
      </c>
    </row>
    <row r="1131" spans="1:6" x14ac:dyDescent="0.25">
      <c r="A1131">
        <v>114700</v>
      </c>
      <c r="B1131">
        <v>4.6597</v>
      </c>
      <c r="E1131">
        <v>114700</v>
      </c>
      <c r="F1131">
        <v>3.9813000000000001</v>
      </c>
    </row>
    <row r="1132" spans="1:6" x14ac:dyDescent="0.25">
      <c r="A1132">
        <v>114800</v>
      </c>
      <c r="B1132">
        <v>4.6605999999999996</v>
      </c>
      <c r="E1132">
        <v>114800</v>
      </c>
      <c r="F1132">
        <v>3.9824000000000002</v>
      </c>
    </row>
    <row r="1133" spans="1:6" x14ac:dyDescent="0.25">
      <c r="A1133">
        <v>114900</v>
      </c>
      <c r="B1133">
        <v>4.6616</v>
      </c>
      <c r="E1133">
        <v>114900</v>
      </c>
      <c r="F1133">
        <v>3.9834000000000001</v>
      </c>
    </row>
    <row r="1134" spans="1:6" x14ac:dyDescent="0.25">
      <c r="A1134">
        <v>115000</v>
      </c>
      <c r="B1134">
        <v>4.6624999999999996</v>
      </c>
      <c r="E1134">
        <v>115000</v>
      </c>
      <c r="F1134">
        <v>3.9845000000000002</v>
      </c>
    </row>
    <row r="1135" spans="1:6" x14ac:dyDescent="0.25">
      <c r="A1135">
        <v>115100</v>
      </c>
      <c r="B1135">
        <v>4.6635</v>
      </c>
      <c r="E1135">
        <v>115100</v>
      </c>
      <c r="F1135">
        <v>3.9855</v>
      </c>
    </row>
    <row r="1136" spans="1:6" x14ac:dyDescent="0.25">
      <c r="A1136">
        <v>115200</v>
      </c>
      <c r="B1136">
        <v>4.6643999999999997</v>
      </c>
      <c r="E1136">
        <v>115200</v>
      </c>
      <c r="F1136">
        <v>3.9866000000000001</v>
      </c>
    </row>
    <row r="1137" spans="1:6" x14ac:dyDescent="0.25">
      <c r="A1137">
        <v>115300</v>
      </c>
      <c r="B1137">
        <v>4.6654</v>
      </c>
      <c r="E1137">
        <v>115300</v>
      </c>
      <c r="F1137">
        <v>3.9876</v>
      </c>
    </row>
    <row r="1138" spans="1:6" x14ac:dyDescent="0.25">
      <c r="A1138">
        <v>115400</v>
      </c>
      <c r="B1138">
        <v>4.6662999999999997</v>
      </c>
      <c r="E1138">
        <v>115400</v>
      </c>
      <c r="F1138">
        <v>3.9887000000000001</v>
      </c>
    </row>
    <row r="1139" spans="1:6" x14ac:dyDescent="0.25">
      <c r="A1139">
        <v>115500</v>
      </c>
      <c r="B1139">
        <v>4.6672000000000002</v>
      </c>
      <c r="E1139">
        <v>115500</v>
      </c>
      <c r="F1139">
        <v>3.9897</v>
      </c>
    </row>
    <row r="1140" spans="1:6" x14ac:dyDescent="0.25">
      <c r="A1140">
        <v>115600</v>
      </c>
      <c r="B1140">
        <v>4.6681999999999997</v>
      </c>
      <c r="E1140">
        <v>115600</v>
      </c>
      <c r="F1140">
        <v>3.9908000000000001</v>
      </c>
    </row>
    <row r="1141" spans="1:6" x14ac:dyDescent="0.25">
      <c r="A1141">
        <v>115700</v>
      </c>
      <c r="B1141">
        <v>4.6691000000000003</v>
      </c>
      <c r="E1141">
        <v>115700</v>
      </c>
      <c r="F1141">
        <v>3.9918</v>
      </c>
    </row>
    <row r="1142" spans="1:6" x14ac:dyDescent="0.25">
      <c r="A1142">
        <v>115800</v>
      </c>
      <c r="B1142">
        <v>4.67</v>
      </c>
      <c r="E1142">
        <v>115800</v>
      </c>
      <c r="F1142">
        <v>3.9929000000000001</v>
      </c>
    </row>
    <row r="1143" spans="1:6" x14ac:dyDescent="0.25">
      <c r="A1143">
        <v>115900</v>
      </c>
      <c r="B1143">
        <v>4.6710000000000003</v>
      </c>
      <c r="E1143">
        <v>115900</v>
      </c>
      <c r="F1143">
        <v>3.9939</v>
      </c>
    </row>
    <row r="1144" spans="1:6" x14ac:dyDescent="0.25">
      <c r="A1144">
        <v>116000</v>
      </c>
      <c r="B1144">
        <v>4.6718999999999999</v>
      </c>
      <c r="E1144">
        <v>116000</v>
      </c>
      <c r="F1144">
        <v>3.9950000000000001</v>
      </c>
    </row>
    <row r="1145" spans="1:6" x14ac:dyDescent="0.25">
      <c r="A1145">
        <v>116100</v>
      </c>
      <c r="B1145">
        <v>4.6727999999999996</v>
      </c>
      <c r="E1145">
        <v>116100</v>
      </c>
      <c r="F1145">
        <v>3.996</v>
      </c>
    </row>
    <row r="1146" spans="1:6" x14ac:dyDescent="0.25">
      <c r="A1146">
        <v>116200</v>
      </c>
      <c r="B1146">
        <v>4.6738</v>
      </c>
      <c r="E1146">
        <v>116200</v>
      </c>
      <c r="F1146">
        <v>3.9969999999999999</v>
      </c>
    </row>
    <row r="1147" spans="1:6" x14ac:dyDescent="0.25">
      <c r="A1147">
        <v>116300</v>
      </c>
      <c r="B1147">
        <v>4.6746999999999996</v>
      </c>
      <c r="E1147">
        <v>116300</v>
      </c>
      <c r="F1147">
        <v>3.9981</v>
      </c>
    </row>
    <row r="1148" spans="1:6" x14ac:dyDescent="0.25">
      <c r="A1148">
        <v>116400</v>
      </c>
      <c r="B1148">
        <v>4.6756000000000002</v>
      </c>
      <c r="E1148">
        <v>116400</v>
      </c>
      <c r="F1148">
        <v>3.9990999999999999</v>
      </c>
    </row>
    <row r="1149" spans="1:6" x14ac:dyDescent="0.25">
      <c r="A1149">
        <v>116500</v>
      </c>
      <c r="B1149">
        <v>4.6764999999999999</v>
      </c>
      <c r="E1149">
        <v>116500</v>
      </c>
      <c r="F1149">
        <v>4.0000999999999998</v>
      </c>
    </row>
    <row r="1150" spans="1:6" x14ac:dyDescent="0.25">
      <c r="A1150">
        <v>116600</v>
      </c>
      <c r="B1150">
        <v>4.6773999999999996</v>
      </c>
      <c r="E1150">
        <v>116600</v>
      </c>
      <c r="F1150">
        <v>4.0011999999999999</v>
      </c>
    </row>
    <row r="1151" spans="1:6" x14ac:dyDescent="0.25">
      <c r="A1151">
        <v>116700</v>
      </c>
      <c r="B1151">
        <v>4.6783999999999999</v>
      </c>
      <c r="E1151">
        <v>116700</v>
      </c>
      <c r="F1151">
        <v>4.0022000000000002</v>
      </c>
    </row>
    <row r="1152" spans="1:6" x14ac:dyDescent="0.25">
      <c r="A1152">
        <v>116800</v>
      </c>
      <c r="B1152">
        <v>4.6792999999999996</v>
      </c>
      <c r="E1152">
        <v>116800</v>
      </c>
      <c r="F1152">
        <v>4.0031999999999996</v>
      </c>
    </row>
    <row r="1153" spans="1:6" x14ac:dyDescent="0.25">
      <c r="A1153">
        <v>116900</v>
      </c>
      <c r="B1153">
        <v>4.6802000000000001</v>
      </c>
      <c r="E1153">
        <v>116900</v>
      </c>
      <c r="F1153">
        <v>4.0042</v>
      </c>
    </row>
    <row r="1154" spans="1:6" x14ac:dyDescent="0.25">
      <c r="A1154">
        <v>117000</v>
      </c>
      <c r="B1154">
        <v>4.6810999999999998</v>
      </c>
      <c r="E1154">
        <v>117000</v>
      </c>
      <c r="F1154">
        <v>4.0053000000000001</v>
      </c>
    </row>
    <row r="1155" spans="1:6" x14ac:dyDescent="0.25">
      <c r="A1155">
        <v>117100</v>
      </c>
      <c r="B1155">
        <v>4.6820000000000004</v>
      </c>
      <c r="E1155">
        <v>117100</v>
      </c>
      <c r="F1155">
        <v>4.0063000000000004</v>
      </c>
    </row>
    <row r="1156" spans="1:6" x14ac:dyDescent="0.25">
      <c r="A1156">
        <v>117200</v>
      </c>
      <c r="B1156">
        <v>4.6829000000000001</v>
      </c>
      <c r="E1156">
        <v>117200</v>
      </c>
      <c r="F1156">
        <v>4.0072999999999999</v>
      </c>
    </row>
    <row r="1157" spans="1:6" x14ac:dyDescent="0.25">
      <c r="A1157">
        <v>117300</v>
      </c>
      <c r="B1157">
        <v>4.6837999999999997</v>
      </c>
      <c r="E1157">
        <v>117300</v>
      </c>
      <c r="F1157">
        <v>4.0083000000000002</v>
      </c>
    </row>
    <row r="1158" spans="1:6" x14ac:dyDescent="0.25">
      <c r="A1158">
        <v>117400</v>
      </c>
      <c r="B1158">
        <v>4.6848000000000001</v>
      </c>
      <c r="E1158">
        <v>117400</v>
      </c>
      <c r="F1158">
        <v>4.0092999999999996</v>
      </c>
    </row>
    <row r="1159" spans="1:6" x14ac:dyDescent="0.25">
      <c r="A1159">
        <v>117500</v>
      </c>
      <c r="B1159">
        <v>4.6856999999999998</v>
      </c>
      <c r="E1159">
        <v>117500</v>
      </c>
      <c r="F1159">
        <v>4.0103</v>
      </c>
    </row>
    <row r="1160" spans="1:6" x14ac:dyDescent="0.25">
      <c r="A1160">
        <v>117600</v>
      </c>
      <c r="B1160">
        <v>4.6866000000000003</v>
      </c>
      <c r="E1160">
        <v>117600</v>
      </c>
      <c r="F1160">
        <v>4.0114000000000001</v>
      </c>
    </row>
    <row r="1161" spans="1:6" x14ac:dyDescent="0.25">
      <c r="A1161">
        <v>117700</v>
      </c>
      <c r="B1161">
        <v>4.6875</v>
      </c>
      <c r="E1161">
        <v>117700</v>
      </c>
      <c r="F1161">
        <v>4.0124000000000004</v>
      </c>
    </row>
    <row r="1162" spans="1:6" x14ac:dyDescent="0.25">
      <c r="A1162">
        <v>117800</v>
      </c>
      <c r="B1162">
        <v>4.6883999999999997</v>
      </c>
      <c r="E1162">
        <v>117800</v>
      </c>
      <c r="F1162">
        <v>4.0133999999999999</v>
      </c>
    </row>
    <row r="1163" spans="1:6" x14ac:dyDescent="0.25">
      <c r="A1163">
        <v>117900</v>
      </c>
      <c r="B1163">
        <v>4.6893000000000002</v>
      </c>
      <c r="E1163">
        <v>117900</v>
      </c>
      <c r="F1163">
        <v>4.0144000000000002</v>
      </c>
    </row>
    <row r="1164" spans="1:6" x14ac:dyDescent="0.25">
      <c r="A1164">
        <v>118000</v>
      </c>
      <c r="B1164">
        <v>4.6901999999999999</v>
      </c>
      <c r="E1164">
        <v>118000</v>
      </c>
      <c r="F1164">
        <v>4.0153999999999996</v>
      </c>
    </row>
    <row r="1165" spans="1:6" x14ac:dyDescent="0.25">
      <c r="A1165">
        <v>118100</v>
      </c>
      <c r="B1165">
        <v>4.6910999999999996</v>
      </c>
      <c r="E1165">
        <v>118100</v>
      </c>
      <c r="F1165">
        <v>4.0164</v>
      </c>
    </row>
    <row r="1166" spans="1:6" x14ac:dyDescent="0.25">
      <c r="A1166">
        <v>118200</v>
      </c>
      <c r="B1166">
        <v>4.6920000000000002</v>
      </c>
      <c r="E1166">
        <v>118200</v>
      </c>
      <c r="F1166">
        <v>4.0174000000000003</v>
      </c>
    </row>
    <row r="1167" spans="1:6" x14ac:dyDescent="0.25">
      <c r="A1167">
        <v>118300</v>
      </c>
      <c r="B1167">
        <v>4.6928999999999998</v>
      </c>
      <c r="E1167">
        <v>118300</v>
      </c>
      <c r="F1167">
        <v>4.0183999999999997</v>
      </c>
    </row>
    <row r="1168" spans="1:6" x14ac:dyDescent="0.25">
      <c r="A1168">
        <v>118400</v>
      </c>
      <c r="B1168">
        <v>4.6938000000000004</v>
      </c>
      <c r="E1168">
        <v>118400</v>
      </c>
      <c r="F1168">
        <v>4.0194000000000001</v>
      </c>
    </row>
    <row r="1169" spans="1:6" x14ac:dyDescent="0.25">
      <c r="A1169">
        <v>118500</v>
      </c>
      <c r="B1169">
        <v>4.6946000000000003</v>
      </c>
      <c r="E1169">
        <v>118500</v>
      </c>
      <c r="F1169">
        <v>4.0204000000000004</v>
      </c>
    </row>
    <row r="1170" spans="1:6" x14ac:dyDescent="0.25">
      <c r="A1170">
        <v>118600</v>
      </c>
      <c r="B1170">
        <v>4.6955</v>
      </c>
      <c r="E1170">
        <v>118600</v>
      </c>
      <c r="F1170">
        <v>4.0213999999999999</v>
      </c>
    </row>
    <row r="1171" spans="1:6" x14ac:dyDescent="0.25">
      <c r="A1171">
        <v>118700</v>
      </c>
      <c r="B1171">
        <v>4.6963999999999997</v>
      </c>
      <c r="E1171">
        <v>118700</v>
      </c>
      <c r="F1171">
        <v>4.0224000000000002</v>
      </c>
    </row>
    <row r="1172" spans="1:6" x14ac:dyDescent="0.25">
      <c r="A1172">
        <v>118800</v>
      </c>
      <c r="B1172">
        <v>4.6973000000000003</v>
      </c>
      <c r="E1172">
        <v>118800</v>
      </c>
      <c r="F1172">
        <v>4.0233999999999996</v>
      </c>
    </row>
    <row r="1173" spans="1:6" x14ac:dyDescent="0.25">
      <c r="A1173">
        <v>118900</v>
      </c>
      <c r="B1173">
        <v>4.6981999999999999</v>
      </c>
      <c r="E1173">
        <v>118900</v>
      </c>
      <c r="F1173">
        <v>4.0243000000000002</v>
      </c>
    </row>
    <row r="1174" spans="1:6" x14ac:dyDescent="0.25">
      <c r="A1174">
        <v>119000</v>
      </c>
      <c r="B1174">
        <v>4.6990999999999996</v>
      </c>
      <c r="E1174">
        <v>119000</v>
      </c>
      <c r="F1174">
        <v>4.0252999999999997</v>
      </c>
    </row>
    <row r="1175" spans="1:6" x14ac:dyDescent="0.25">
      <c r="A1175">
        <v>119100</v>
      </c>
      <c r="B1175">
        <v>4.7</v>
      </c>
      <c r="E1175">
        <v>119100</v>
      </c>
      <c r="F1175">
        <v>4.0263</v>
      </c>
    </row>
    <row r="1176" spans="1:6" x14ac:dyDescent="0.25">
      <c r="A1176">
        <v>119200</v>
      </c>
      <c r="B1176">
        <v>4.7008000000000001</v>
      </c>
      <c r="E1176">
        <v>119200</v>
      </c>
      <c r="F1176">
        <v>4.0273000000000003</v>
      </c>
    </row>
    <row r="1177" spans="1:6" x14ac:dyDescent="0.25">
      <c r="A1177">
        <v>119300</v>
      </c>
      <c r="B1177">
        <v>4.7016999999999998</v>
      </c>
      <c r="E1177">
        <v>119300</v>
      </c>
      <c r="F1177">
        <v>4.0282999999999998</v>
      </c>
    </row>
    <row r="1178" spans="1:6" x14ac:dyDescent="0.25">
      <c r="A1178">
        <v>119400</v>
      </c>
      <c r="B1178">
        <v>4.7026000000000003</v>
      </c>
      <c r="E1178">
        <v>119400</v>
      </c>
      <c r="F1178">
        <v>4.0293000000000001</v>
      </c>
    </row>
    <row r="1179" spans="1:6" x14ac:dyDescent="0.25">
      <c r="A1179">
        <v>119500</v>
      </c>
      <c r="B1179">
        <v>4.7035</v>
      </c>
      <c r="E1179">
        <v>119500</v>
      </c>
      <c r="F1179">
        <v>4.0303000000000004</v>
      </c>
    </row>
    <row r="1180" spans="1:6" x14ac:dyDescent="0.25">
      <c r="A1180">
        <v>119600</v>
      </c>
      <c r="B1180">
        <v>4.7042999999999999</v>
      </c>
      <c r="E1180">
        <v>119600</v>
      </c>
      <c r="F1180">
        <v>4.0312000000000001</v>
      </c>
    </row>
    <row r="1181" spans="1:6" x14ac:dyDescent="0.25">
      <c r="A1181">
        <v>119700</v>
      </c>
      <c r="B1181">
        <v>4.7051999999999996</v>
      </c>
      <c r="E1181">
        <v>119700</v>
      </c>
      <c r="F1181">
        <v>4.0321999999999996</v>
      </c>
    </row>
    <row r="1182" spans="1:6" x14ac:dyDescent="0.25">
      <c r="A1182">
        <v>119800</v>
      </c>
      <c r="B1182">
        <v>4.7061000000000002</v>
      </c>
      <c r="E1182">
        <v>119800</v>
      </c>
      <c r="F1182">
        <v>4.0331999999999999</v>
      </c>
    </row>
    <row r="1183" spans="1:6" x14ac:dyDescent="0.25">
      <c r="A1183">
        <v>119900</v>
      </c>
      <c r="B1183">
        <v>4.7069999999999999</v>
      </c>
      <c r="E1183">
        <v>119900</v>
      </c>
      <c r="F1183">
        <v>4.0342000000000002</v>
      </c>
    </row>
    <row r="1184" spans="1:6" x14ac:dyDescent="0.25">
      <c r="A1184">
        <v>120000</v>
      </c>
      <c r="B1184">
        <v>4.7077999999999998</v>
      </c>
      <c r="E1184">
        <v>120000</v>
      </c>
      <c r="F1184">
        <v>4.0350999999999999</v>
      </c>
    </row>
    <row r="1185" spans="1:6" x14ac:dyDescent="0.25">
      <c r="A1185">
        <v>120100</v>
      </c>
      <c r="B1185">
        <v>4.7087000000000003</v>
      </c>
      <c r="E1185">
        <v>120100</v>
      </c>
      <c r="F1185">
        <v>4.0361000000000002</v>
      </c>
    </row>
    <row r="1186" spans="1:6" x14ac:dyDescent="0.25">
      <c r="A1186">
        <v>120200</v>
      </c>
      <c r="B1186">
        <v>4.7096</v>
      </c>
      <c r="E1186">
        <v>120200</v>
      </c>
      <c r="F1186">
        <v>4.0370999999999997</v>
      </c>
    </row>
    <row r="1187" spans="1:6" x14ac:dyDescent="0.25">
      <c r="A1187">
        <v>120300</v>
      </c>
      <c r="B1187">
        <v>4.7103999999999999</v>
      </c>
      <c r="E1187">
        <v>120300</v>
      </c>
      <c r="F1187">
        <v>4.0380000000000003</v>
      </c>
    </row>
    <row r="1188" spans="1:6" x14ac:dyDescent="0.25">
      <c r="A1188">
        <v>120400</v>
      </c>
      <c r="B1188">
        <v>4.7112999999999996</v>
      </c>
      <c r="E1188">
        <v>120400</v>
      </c>
      <c r="F1188">
        <v>4.0389999999999997</v>
      </c>
    </row>
    <row r="1189" spans="1:6" x14ac:dyDescent="0.25">
      <c r="A1189">
        <v>120500</v>
      </c>
      <c r="B1189">
        <v>4.7122000000000002</v>
      </c>
      <c r="E1189">
        <v>120500</v>
      </c>
      <c r="F1189">
        <v>4.04</v>
      </c>
    </row>
    <row r="1190" spans="1:6" x14ac:dyDescent="0.25">
      <c r="A1190">
        <v>120600</v>
      </c>
      <c r="B1190">
        <v>4.7130000000000001</v>
      </c>
      <c r="E1190">
        <v>120600</v>
      </c>
      <c r="F1190">
        <v>4.0408999999999997</v>
      </c>
    </row>
    <row r="1191" spans="1:6" x14ac:dyDescent="0.25">
      <c r="A1191">
        <v>120700</v>
      </c>
      <c r="B1191">
        <v>4.7138999999999998</v>
      </c>
      <c r="E1191">
        <v>120700</v>
      </c>
      <c r="F1191">
        <v>4.0419</v>
      </c>
    </row>
    <row r="1192" spans="1:6" x14ac:dyDescent="0.25">
      <c r="A1192">
        <v>120800</v>
      </c>
      <c r="B1192">
        <v>4.7146999999999997</v>
      </c>
      <c r="E1192">
        <v>120800</v>
      </c>
      <c r="F1192">
        <v>4.0427999999999997</v>
      </c>
    </row>
    <row r="1193" spans="1:6" x14ac:dyDescent="0.25">
      <c r="A1193">
        <v>120900</v>
      </c>
      <c r="B1193">
        <v>4.7156000000000002</v>
      </c>
      <c r="E1193">
        <v>120900</v>
      </c>
      <c r="F1193">
        <v>4.0438000000000001</v>
      </c>
    </row>
    <row r="1194" spans="1:6" x14ac:dyDescent="0.25">
      <c r="A1194">
        <v>121000</v>
      </c>
      <c r="B1194">
        <v>4.7164000000000001</v>
      </c>
      <c r="E1194">
        <v>121000</v>
      </c>
      <c r="F1194">
        <v>4.0448000000000004</v>
      </c>
    </row>
    <row r="1195" spans="1:6" x14ac:dyDescent="0.25">
      <c r="A1195">
        <v>121100</v>
      </c>
      <c r="B1195">
        <v>4.7172999999999998</v>
      </c>
      <c r="E1195">
        <v>121100</v>
      </c>
      <c r="F1195">
        <v>4.0457000000000001</v>
      </c>
    </row>
    <row r="1196" spans="1:6" x14ac:dyDescent="0.25">
      <c r="A1196">
        <v>121200</v>
      </c>
      <c r="B1196">
        <v>4.7182000000000004</v>
      </c>
      <c r="E1196">
        <v>121200</v>
      </c>
      <c r="F1196">
        <v>4.0467000000000004</v>
      </c>
    </row>
    <row r="1197" spans="1:6" x14ac:dyDescent="0.25">
      <c r="A1197">
        <v>121300</v>
      </c>
      <c r="B1197">
        <v>4.7190000000000003</v>
      </c>
      <c r="E1197">
        <v>121300</v>
      </c>
      <c r="F1197">
        <v>4.0476000000000001</v>
      </c>
    </row>
    <row r="1198" spans="1:6" x14ac:dyDescent="0.25">
      <c r="A1198">
        <v>121400</v>
      </c>
      <c r="B1198">
        <v>4.7199</v>
      </c>
      <c r="E1198">
        <v>121400</v>
      </c>
      <c r="F1198">
        <v>4.0486000000000004</v>
      </c>
    </row>
    <row r="1199" spans="1:6" x14ac:dyDescent="0.25">
      <c r="A1199">
        <v>121500</v>
      </c>
      <c r="B1199">
        <v>4.7206999999999999</v>
      </c>
      <c r="E1199">
        <v>121500</v>
      </c>
      <c r="F1199">
        <v>4.0495000000000001</v>
      </c>
    </row>
    <row r="1200" spans="1:6" x14ac:dyDescent="0.25">
      <c r="A1200">
        <v>121600</v>
      </c>
      <c r="B1200">
        <v>4.7214999999999998</v>
      </c>
      <c r="E1200">
        <v>121600</v>
      </c>
      <c r="F1200">
        <v>4.0505000000000004</v>
      </c>
    </row>
    <row r="1201" spans="1:6" x14ac:dyDescent="0.25">
      <c r="A1201">
        <v>121700</v>
      </c>
      <c r="B1201">
        <v>4.7224000000000004</v>
      </c>
      <c r="E1201">
        <v>121700</v>
      </c>
      <c r="F1201">
        <v>4.0514000000000001</v>
      </c>
    </row>
    <row r="1202" spans="1:6" x14ac:dyDescent="0.25">
      <c r="A1202">
        <v>121800</v>
      </c>
      <c r="B1202">
        <v>4.7232000000000003</v>
      </c>
      <c r="E1202">
        <v>121800</v>
      </c>
      <c r="F1202">
        <v>4.0522999999999998</v>
      </c>
    </row>
    <row r="1203" spans="1:6" x14ac:dyDescent="0.25">
      <c r="A1203">
        <v>121900</v>
      </c>
      <c r="B1203">
        <v>4.7241</v>
      </c>
      <c r="E1203">
        <v>121900</v>
      </c>
      <c r="F1203">
        <v>4.0533000000000001</v>
      </c>
    </row>
    <row r="1204" spans="1:6" x14ac:dyDescent="0.25">
      <c r="A1204">
        <v>122000</v>
      </c>
      <c r="B1204">
        <v>4.7248999999999999</v>
      </c>
      <c r="E1204">
        <v>122000</v>
      </c>
      <c r="F1204">
        <v>4.0541999999999998</v>
      </c>
    </row>
    <row r="1205" spans="1:6" x14ac:dyDescent="0.25">
      <c r="A1205">
        <v>122100</v>
      </c>
      <c r="B1205">
        <v>4.7257999999999996</v>
      </c>
      <c r="E1205">
        <v>122100</v>
      </c>
      <c r="F1205">
        <v>4.0552000000000001</v>
      </c>
    </row>
    <row r="1206" spans="1:6" x14ac:dyDescent="0.25">
      <c r="A1206">
        <v>122200</v>
      </c>
      <c r="B1206">
        <v>4.7266000000000004</v>
      </c>
      <c r="E1206">
        <v>122200</v>
      </c>
      <c r="F1206">
        <v>4.0560999999999998</v>
      </c>
    </row>
    <row r="1207" spans="1:6" x14ac:dyDescent="0.25">
      <c r="A1207">
        <v>122300</v>
      </c>
      <c r="B1207">
        <v>4.7274000000000003</v>
      </c>
      <c r="E1207">
        <v>122300</v>
      </c>
      <c r="F1207">
        <v>4.0570000000000004</v>
      </c>
    </row>
    <row r="1208" spans="1:6" x14ac:dyDescent="0.25">
      <c r="A1208">
        <v>122400</v>
      </c>
      <c r="B1208">
        <v>4.7282999999999999</v>
      </c>
      <c r="E1208">
        <v>122400</v>
      </c>
      <c r="F1208">
        <v>4.0579999999999998</v>
      </c>
    </row>
    <row r="1209" spans="1:6" x14ac:dyDescent="0.25">
      <c r="A1209">
        <v>122500</v>
      </c>
      <c r="B1209">
        <v>4.7290999999999999</v>
      </c>
      <c r="E1209">
        <v>122500</v>
      </c>
      <c r="F1209">
        <v>4.0589000000000004</v>
      </c>
    </row>
    <row r="1210" spans="1:6" x14ac:dyDescent="0.25">
      <c r="A1210">
        <v>122600</v>
      </c>
      <c r="B1210">
        <v>4.7298999999999998</v>
      </c>
      <c r="E1210">
        <v>122600</v>
      </c>
      <c r="F1210">
        <v>4.0598000000000001</v>
      </c>
    </row>
    <row r="1211" spans="1:6" x14ac:dyDescent="0.25">
      <c r="A1211">
        <v>122700</v>
      </c>
      <c r="B1211">
        <v>4.7308000000000003</v>
      </c>
      <c r="E1211">
        <v>122700</v>
      </c>
      <c r="F1211">
        <v>4.0608000000000004</v>
      </c>
    </row>
    <row r="1212" spans="1:6" x14ac:dyDescent="0.25">
      <c r="A1212">
        <v>122800</v>
      </c>
      <c r="B1212">
        <v>4.7316000000000003</v>
      </c>
      <c r="E1212">
        <v>122800</v>
      </c>
      <c r="F1212">
        <v>4.0617000000000001</v>
      </c>
    </row>
    <row r="1213" spans="1:6" x14ac:dyDescent="0.25">
      <c r="A1213">
        <v>122900</v>
      </c>
      <c r="B1213">
        <v>4.7324000000000002</v>
      </c>
      <c r="E1213">
        <v>122900</v>
      </c>
      <c r="F1213">
        <v>4.0625999999999998</v>
      </c>
    </row>
    <row r="1214" spans="1:6" x14ac:dyDescent="0.25">
      <c r="A1214">
        <v>123000</v>
      </c>
      <c r="B1214">
        <v>4.7332999999999998</v>
      </c>
      <c r="E1214">
        <v>123000</v>
      </c>
      <c r="F1214">
        <v>4.0635000000000003</v>
      </c>
    </row>
    <row r="1215" spans="1:6" x14ac:dyDescent="0.25">
      <c r="A1215">
        <v>123100</v>
      </c>
      <c r="B1215">
        <v>4.7340999999999998</v>
      </c>
      <c r="E1215">
        <v>123100</v>
      </c>
      <c r="F1215">
        <v>4.0644999999999998</v>
      </c>
    </row>
    <row r="1216" spans="1:6" x14ac:dyDescent="0.25">
      <c r="A1216">
        <v>123200</v>
      </c>
      <c r="B1216">
        <v>4.7348999999999997</v>
      </c>
      <c r="E1216">
        <v>123200</v>
      </c>
      <c r="F1216">
        <v>4.0654000000000003</v>
      </c>
    </row>
    <row r="1217" spans="1:6" x14ac:dyDescent="0.25">
      <c r="A1217">
        <v>123300</v>
      </c>
      <c r="B1217">
        <v>4.7356999999999996</v>
      </c>
      <c r="E1217">
        <v>123300</v>
      </c>
      <c r="F1217">
        <v>4.0663</v>
      </c>
    </row>
    <row r="1218" spans="1:6" x14ac:dyDescent="0.25">
      <c r="A1218">
        <v>123400</v>
      </c>
      <c r="B1218">
        <v>4.7365000000000004</v>
      </c>
      <c r="E1218">
        <v>123400</v>
      </c>
      <c r="F1218">
        <v>4.0671999999999997</v>
      </c>
    </row>
    <row r="1219" spans="1:6" x14ac:dyDescent="0.25">
      <c r="A1219">
        <v>123500</v>
      </c>
      <c r="B1219">
        <v>4.7374000000000001</v>
      </c>
      <c r="E1219">
        <v>123500</v>
      </c>
      <c r="F1219">
        <v>4.0681000000000003</v>
      </c>
    </row>
    <row r="1220" spans="1:6" x14ac:dyDescent="0.25">
      <c r="A1220">
        <v>123600</v>
      </c>
      <c r="B1220">
        <v>4.7382</v>
      </c>
      <c r="E1220">
        <v>123600</v>
      </c>
      <c r="F1220">
        <v>4.0690999999999997</v>
      </c>
    </row>
    <row r="1221" spans="1:6" x14ac:dyDescent="0.25">
      <c r="A1221">
        <v>123700</v>
      </c>
      <c r="B1221">
        <v>4.7389999999999999</v>
      </c>
      <c r="E1221">
        <v>123700</v>
      </c>
      <c r="F1221">
        <v>4.07</v>
      </c>
    </row>
    <row r="1222" spans="1:6" x14ac:dyDescent="0.25">
      <c r="A1222">
        <v>123800</v>
      </c>
      <c r="B1222">
        <v>4.7397999999999998</v>
      </c>
      <c r="E1222">
        <v>123800</v>
      </c>
      <c r="F1222">
        <v>4.0709</v>
      </c>
    </row>
    <row r="1223" spans="1:6" x14ac:dyDescent="0.25">
      <c r="A1223">
        <v>123900</v>
      </c>
      <c r="B1223">
        <v>4.7405999999999997</v>
      </c>
      <c r="E1223">
        <v>123900</v>
      </c>
      <c r="F1223">
        <v>4.0717999999999996</v>
      </c>
    </row>
    <row r="1224" spans="1:6" x14ac:dyDescent="0.25">
      <c r="A1224">
        <v>124000</v>
      </c>
      <c r="B1224">
        <v>4.7415000000000003</v>
      </c>
      <c r="E1224">
        <v>124000</v>
      </c>
      <c r="F1224">
        <v>4.0727000000000002</v>
      </c>
    </row>
    <row r="1225" spans="1:6" x14ac:dyDescent="0.25">
      <c r="A1225">
        <v>124100</v>
      </c>
      <c r="B1225">
        <v>4.7423000000000002</v>
      </c>
      <c r="E1225">
        <v>124100</v>
      </c>
      <c r="F1225">
        <v>4.0735999999999999</v>
      </c>
    </row>
    <row r="1226" spans="1:6" x14ac:dyDescent="0.25">
      <c r="A1226">
        <v>124200</v>
      </c>
      <c r="B1226">
        <v>4.7431000000000001</v>
      </c>
      <c r="E1226">
        <v>124200</v>
      </c>
      <c r="F1226">
        <v>4.0744999999999996</v>
      </c>
    </row>
    <row r="1227" spans="1:6" x14ac:dyDescent="0.25">
      <c r="A1227">
        <v>124300</v>
      </c>
      <c r="B1227">
        <v>4.7439</v>
      </c>
      <c r="E1227">
        <v>124300</v>
      </c>
      <c r="F1227">
        <v>4.0754000000000001</v>
      </c>
    </row>
    <row r="1228" spans="1:6" x14ac:dyDescent="0.25">
      <c r="A1228">
        <v>124400</v>
      </c>
      <c r="B1228">
        <v>4.7446999999999999</v>
      </c>
      <c r="E1228">
        <v>124400</v>
      </c>
      <c r="F1228">
        <v>4.0762999999999998</v>
      </c>
    </row>
    <row r="1229" spans="1:6" x14ac:dyDescent="0.25">
      <c r="A1229">
        <v>124500</v>
      </c>
      <c r="B1229">
        <v>4.7454999999999998</v>
      </c>
      <c r="E1229">
        <v>124500</v>
      </c>
      <c r="F1229">
        <v>4.0772000000000004</v>
      </c>
    </row>
    <row r="1230" spans="1:6" x14ac:dyDescent="0.25">
      <c r="A1230">
        <v>124600</v>
      </c>
      <c r="B1230">
        <v>4.7462999999999997</v>
      </c>
      <c r="E1230">
        <v>124600</v>
      </c>
      <c r="F1230">
        <v>4.0781000000000001</v>
      </c>
    </row>
    <row r="1231" spans="1:6" x14ac:dyDescent="0.25">
      <c r="A1231">
        <v>124700</v>
      </c>
      <c r="B1231">
        <v>4.7470999999999997</v>
      </c>
      <c r="E1231">
        <v>124700</v>
      </c>
      <c r="F1231">
        <v>4.0789999999999997</v>
      </c>
    </row>
    <row r="1232" spans="1:6" x14ac:dyDescent="0.25">
      <c r="A1232">
        <v>124800</v>
      </c>
      <c r="B1232">
        <v>4.7478999999999996</v>
      </c>
      <c r="E1232">
        <v>124800</v>
      </c>
      <c r="F1232">
        <v>4.0799000000000003</v>
      </c>
    </row>
    <row r="1233" spans="1:6" x14ac:dyDescent="0.25">
      <c r="A1233">
        <v>124900</v>
      </c>
      <c r="B1233">
        <v>4.7487000000000004</v>
      </c>
      <c r="E1233">
        <v>124900</v>
      </c>
      <c r="F1233">
        <v>4.0808</v>
      </c>
    </row>
    <row r="1234" spans="1:6" x14ac:dyDescent="0.25">
      <c r="A1234">
        <v>125000</v>
      </c>
      <c r="B1234">
        <v>4.7495000000000003</v>
      </c>
      <c r="E1234">
        <v>125000</v>
      </c>
      <c r="F1234">
        <v>4.0816999999999997</v>
      </c>
    </row>
    <row r="1235" spans="1:6" x14ac:dyDescent="0.25">
      <c r="A1235">
        <v>125100</v>
      </c>
      <c r="B1235">
        <v>4.7503000000000002</v>
      </c>
      <c r="E1235">
        <v>125100</v>
      </c>
      <c r="F1235">
        <v>4.0826000000000002</v>
      </c>
    </row>
    <row r="1236" spans="1:6" x14ac:dyDescent="0.25">
      <c r="A1236">
        <v>125200</v>
      </c>
      <c r="B1236">
        <v>4.7511000000000001</v>
      </c>
      <c r="E1236">
        <v>125200</v>
      </c>
      <c r="F1236">
        <v>4.0834999999999999</v>
      </c>
    </row>
    <row r="1237" spans="1:6" x14ac:dyDescent="0.25">
      <c r="A1237">
        <v>125300</v>
      </c>
      <c r="B1237">
        <v>4.7519</v>
      </c>
      <c r="E1237">
        <v>125300</v>
      </c>
      <c r="F1237">
        <v>4.0843999999999996</v>
      </c>
    </row>
    <row r="1238" spans="1:6" x14ac:dyDescent="0.25">
      <c r="A1238">
        <v>125400</v>
      </c>
      <c r="B1238">
        <v>4.7526999999999999</v>
      </c>
      <c r="E1238">
        <v>125400</v>
      </c>
      <c r="F1238">
        <v>4.0853000000000002</v>
      </c>
    </row>
    <row r="1239" spans="1:6" x14ac:dyDescent="0.25">
      <c r="A1239">
        <v>125500</v>
      </c>
      <c r="B1239">
        <v>4.7534999999999998</v>
      </c>
      <c r="E1239">
        <v>125500</v>
      </c>
      <c r="F1239">
        <v>4.0861999999999998</v>
      </c>
    </row>
    <row r="1240" spans="1:6" x14ac:dyDescent="0.25">
      <c r="A1240">
        <v>125600</v>
      </c>
      <c r="B1240">
        <v>4.7542999999999997</v>
      </c>
      <c r="E1240">
        <v>125600</v>
      </c>
      <c r="F1240">
        <v>4.0871000000000004</v>
      </c>
    </row>
    <row r="1241" spans="1:6" x14ac:dyDescent="0.25">
      <c r="A1241">
        <v>125700</v>
      </c>
      <c r="B1241">
        <v>4.7550999999999997</v>
      </c>
      <c r="E1241">
        <v>125700</v>
      </c>
      <c r="F1241">
        <v>4.0879000000000003</v>
      </c>
    </row>
    <row r="1242" spans="1:6" x14ac:dyDescent="0.25">
      <c r="A1242">
        <v>125800</v>
      </c>
      <c r="B1242">
        <v>4.7558999999999996</v>
      </c>
      <c r="E1242">
        <v>125800</v>
      </c>
      <c r="F1242">
        <v>4.0888</v>
      </c>
    </row>
    <row r="1243" spans="1:6" x14ac:dyDescent="0.25">
      <c r="A1243">
        <v>125900</v>
      </c>
      <c r="B1243">
        <v>4.7567000000000004</v>
      </c>
      <c r="E1243">
        <v>125900</v>
      </c>
      <c r="F1243">
        <v>4.0896999999999997</v>
      </c>
    </row>
    <row r="1244" spans="1:6" x14ac:dyDescent="0.25">
      <c r="A1244">
        <v>126000</v>
      </c>
      <c r="B1244">
        <v>4.7575000000000003</v>
      </c>
      <c r="E1244">
        <v>126000</v>
      </c>
      <c r="F1244">
        <v>4.0906000000000002</v>
      </c>
    </row>
    <row r="1245" spans="1:6" x14ac:dyDescent="0.25">
      <c r="A1245">
        <v>126100</v>
      </c>
      <c r="B1245">
        <v>4.7582000000000004</v>
      </c>
      <c r="E1245">
        <v>126100</v>
      </c>
      <c r="F1245">
        <v>4.0914999999999999</v>
      </c>
    </row>
    <row r="1246" spans="1:6" x14ac:dyDescent="0.25">
      <c r="A1246">
        <v>126200</v>
      </c>
      <c r="B1246">
        <v>4.7590000000000003</v>
      </c>
      <c r="E1246">
        <v>126200</v>
      </c>
      <c r="F1246">
        <v>4.0923999999999996</v>
      </c>
    </row>
    <row r="1247" spans="1:6" x14ac:dyDescent="0.25">
      <c r="A1247">
        <v>126300</v>
      </c>
      <c r="B1247">
        <v>4.7598000000000003</v>
      </c>
      <c r="E1247">
        <v>126300</v>
      </c>
      <c r="F1247">
        <v>4.0932000000000004</v>
      </c>
    </row>
    <row r="1248" spans="1:6" x14ac:dyDescent="0.25">
      <c r="A1248">
        <v>126400</v>
      </c>
      <c r="B1248">
        <v>4.7606000000000002</v>
      </c>
      <c r="E1248">
        <v>126400</v>
      </c>
      <c r="F1248">
        <v>4.0941000000000001</v>
      </c>
    </row>
    <row r="1249" spans="1:6" x14ac:dyDescent="0.25">
      <c r="A1249">
        <v>126500</v>
      </c>
      <c r="B1249">
        <v>4.7614000000000001</v>
      </c>
      <c r="E1249">
        <v>126500</v>
      </c>
      <c r="F1249">
        <v>4.0949999999999998</v>
      </c>
    </row>
    <row r="1250" spans="1:6" x14ac:dyDescent="0.25">
      <c r="A1250">
        <v>126600</v>
      </c>
      <c r="B1250">
        <v>4.7622</v>
      </c>
      <c r="E1250">
        <v>126600</v>
      </c>
      <c r="F1250">
        <v>4.0959000000000003</v>
      </c>
    </row>
    <row r="1251" spans="1:6" x14ac:dyDescent="0.25">
      <c r="A1251">
        <v>126700</v>
      </c>
      <c r="B1251">
        <v>4.7629000000000001</v>
      </c>
      <c r="E1251">
        <v>126700</v>
      </c>
      <c r="F1251">
        <v>4.0967000000000002</v>
      </c>
    </row>
    <row r="1252" spans="1:6" x14ac:dyDescent="0.25">
      <c r="A1252">
        <v>126800</v>
      </c>
      <c r="B1252">
        <v>4.7637</v>
      </c>
      <c r="E1252">
        <v>126800</v>
      </c>
      <c r="F1252">
        <v>4.0975999999999999</v>
      </c>
    </row>
    <row r="1253" spans="1:6" x14ac:dyDescent="0.25">
      <c r="A1253">
        <v>126900</v>
      </c>
      <c r="B1253">
        <v>4.7645</v>
      </c>
      <c r="E1253">
        <v>126900</v>
      </c>
      <c r="F1253">
        <v>4.0984999999999996</v>
      </c>
    </row>
    <row r="1254" spans="1:6" x14ac:dyDescent="0.25">
      <c r="A1254">
        <v>127000</v>
      </c>
      <c r="B1254">
        <v>4.7652999999999999</v>
      </c>
      <c r="E1254">
        <v>127000</v>
      </c>
      <c r="F1254">
        <v>4.0993000000000004</v>
      </c>
    </row>
    <row r="1255" spans="1:6" x14ac:dyDescent="0.25">
      <c r="A1255">
        <v>127100</v>
      </c>
      <c r="B1255">
        <v>4.7660999999999998</v>
      </c>
      <c r="E1255">
        <v>127100</v>
      </c>
      <c r="F1255">
        <v>4.1002000000000001</v>
      </c>
    </row>
    <row r="1256" spans="1:6" x14ac:dyDescent="0.25">
      <c r="A1256">
        <v>127200</v>
      </c>
      <c r="B1256">
        <v>4.7667999999999999</v>
      </c>
      <c r="E1256">
        <v>127200</v>
      </c>
      <c r="F1256">
        <v>4.1010999999999997</v>
      </c>
    </row>
    <row r="1257" spans="1:6" x14ac:dyDescent="0.25">
      <c r="A1257">
        <v>127300</v>
      </c>
      <c r="B1257">
        <v>4.7675999999999998</v>
      </c>
      <c r="E1257">
        <v>127300</v>
      </c>
      <c r="F1257">
        <v>4.1018999999999997</v>
      </c>
    </row>
    <row r="1258" spans="1:6" x14ac:dyDescent="0.25">
      <c r="A1258">
        <v>127400</v>
      </c>
      <c r="B1258">
        <v>4.7683999999999997</v>
      </c>
      <c r="E1258">
        <v>127400</v>
      </c>
      <c r="F1258">
        <v>4.1028000000000002</v>
      </c>
    </row>
    <row r="1259" spans="1:6" x14ac:dyDescent="0.25">
      <c r="A1259">
        <v>127500</v>
      </c>
      <c r="B1259">
        <v>4.7690999999999999</v>
      </c>
      <c r="E1259">
        <v>127500</v>
      </c>
      <c r="F1259">
        <v>4.1036000000000001</v>
      </c>
    </row>
    <row r="1260" spans="1:6" x14ac:dyDescent="0.25">
      <c r="A1260">
        <v>127600</v>
      </c>
      <c r="B1260">
        <v>4.7698999999999998</v>
      </c>
      <c r="E1260">
        <v>127600</v>
      </c>
      <c r="F1260">
        <v>4.1044999999999998</v>
      </c>
    </row>
    <row r="1261" spans="1:6" x14ac:dyDescent="0.25">
      <c r="A1261">
        <v>127700</v>
      </c>
      <c r="B1261">
        <v>4.7706999999999997</v>
      </c>
      <c r="E1261">
        <v>127700</v>
      </c>
      <c r="F1261">
        <v>4.1054000000000004</v>
      </c>
    </row>
    <row r="1262" spans="1:6" x14ac:dyDescent="0.25">
      <c r="A1262">
        <v>127800</v>
      </c>
      <c r="B1262">
        <v>4.7713999999999999</v>
      </c>
      <c r="E1262">
        <v>127800</v>
      </c>
      <c r="F1262">
        <v>4.1062000000000003</v>
      </c>
    </row>
    <row r="1263" spans="1:6" x14ac:dyDescent="0.25">
      <c r="A1263">
        <v>127900</v>
      </c>
      <c r="B1263">
        <v>4.7721999999999998</v>
      </c>
      <c r="E1263">
        <v>127900</v>
      </c>
      <c r="F1263">
        <v>4.1071</v>
      </c>
    </row>
    <row r="1264" spans="1:6" x14ac:dyDescent="0.25">
      <c r="A1264">
        <v>128000</v>
      </c>
      <c r="B1264">
        <v>4.7729999999999997</v>
      </c>
      <c r="E1264">
        <v>128000</v>
      </c>
      <c r="F1264">
        <v>4.1078999999999999</v>
      </c>
    </row>
    <row r="1265" spans="1:6" x14ac:dyDescent="0.25">
      <c r="A1265">
        <v>128100</v>
      </c>
      <c r="B1265">
        <v>4.7736999999999998</v>
      </c>
      <c r="E1265">
        <v>128100</v>
      </c>
      <c r="F1265">
        <v>4.1087999999999996</v>
      </c>
    </row>
    <row r="1266" spans="1:6" x14ac:dyDescent="0.25">
      <c r="A1266">
        <v>128200</v>
      </c>
      <c r="B1266">
        <v>4.7744999999999997</v>
      </c>
      <c r="E1266">
        <v>128200</v>
      </c>
      <c r="F1266">
        <v>4.1096000000000004</v>
      </c>
    </row>
    <row r="1267" spans="1:6" x14ac:dyDescent="0.25">
      <c r="A1267">
        <v>128300</v>
      </c>
      <c r="B1267">
        <v>4.7752999999999997</v>
      </c>
      <c r="E1267">
        <v>128300</v>
      </c>
      <c r="F1267">
        <v>4.1105</v>
      </c>
    </row>
    <row r="1268" spans="1:6" x14ac:dyDescent="0.25">
      <c r="A1268">
        <v>128400</v>
      </c>
      <c r="B1268">
        <v>4.7759999999999998</v>
      </c>
      <c r="E1268">
        <v>128400</v>
      </c>
      <c r="F1268">
        <v>4.1113</v>
      </c>
    </row>
    <row r="1269" spans="1:6" x14ac:dyDescent="0.25">
      <c r="A1269">
        <v>128500</v>
      </c>
      <c r="B1269">
        <v>4.7767999999999997</v>
      </c>
      <c r="E1269">
        <v>128500</v>
      </c>
      <c r="F1269">
        <v>4.1121999999999996</v>
      </c>
    </row>
    <row r="1270" spans="1:6" x14ac:dyDescent="0.25">
      <c r="A1270">
        <v>128600</v>
      </c>
      <c r="B1270">
        <v>4.7774999999999999</v>
      </c>
      <c r="E1270">
        <v>128600</v>
      </c>
      <c r="F1270">
        <v>4.1130000000000004</v>
      </c>
    </row>
    <row r="1271" spans="1:6" x14ac:dyDescent="0.25">
      <c r="A1271">
        <v>128700</v>
      </c>
      <c r="B1271">
        <v>4.7782999999999998</v>
      </c>
      <c r="E1271">
        <v>128700</v>
      </c>
      <c r="F1271">
        <v>4.1139000000000001</v>
      </c>
    </row>
    <row r="1272" spans="1:6" x14ac:dyDescent="0.25">
      <c r="A1272">
        <v>128800</v>
      </c>
      <c r="B1272">
        <v>4.7789999999999999</v>
      </c>
      <c r="E1272">
        <v>128800</v>
      </c>
      <c r="F1272">
        <v>4.1147</v>
      </c>
    </row>
    <row r="1273" spans="1:6" x14ac:dyDescent="0.25">
      <c r="A1273">
        <v>128900</v>
      </c>
      <c r="B1273">
        <v>4.7797999999999998</v>
      </c>
      <c r="E1273">
        <v>128900</v>
      </c>
      <c r="F1273">
        <v>4.1155999999999997</v>
      </c>
    </row>
    <row r="1274" spans="1:6" x14ac:dyDescent="0.25">
      <c r="A1274">
        <v>129000</v>
      </c>
      <c r="B1274">
        <v>4.7805</v>
      </c>
      <c r="E1274">
        <v>129000</v>
      </c>
      <c r="F1274">
        <v>4.1163999999999996</v>
      </c>
    </row>
    <row r="1275" spans="1:6" x14ac:dyDescent="0.25">
      <c r="A1275">
        <v>129100</v>
      </c>
      <c r="B1275">
        <v>4.7812999999999999</v>
      </c>
      <c r="E1275">
        <v>129100</v>
      </c>
      <c r="F1275">
        <v>4.1172000000000004</v>
      </c>
    </row>
    <row r="1276" spans="1:6" x14ac:dyDescent="0.25">
      <c r="A1276">
        <v>129200</v>
      </c>
      <c r="B1276">
        <v>4.782</v>
      </c>
      <c r="E1276">
        <v>129200</v>
      </c>
      <c r="F1276">
        <v>4.1181000000000001</v>
      </c>
    </row>
    <row r="1277" spans="1:6" x14ac:dyDescent="0.25">
      <c r="A1277">
        <v>129300</v>
      </c>
      <c r="B1277">
        <v>4.7827999999999999</v>
      </c>
      <c r="E1277">
        <v>129300</v>
      </c>
      <c r="F1277">
        <v>4.1189</v>
      </c>
    </row>
    <row r="1278" spans="1:6" x14ac:dyDescent="0.25">
      <c r="A1278">
        <v>129400</v>
      </c>
      <c r="B1278">
        <v>4.7835000000000001</v>
      </c>
      <c r="E1278">
        <v>129400</v>
      </c>
      <c r="F1278">
        <v>4.1196999999999999</v>
      </c>
    </row>
    <row r="1279" spans="1:6" x14ac:dyDescent="0.25">
      <c r="A1279">
        <v>129500</v>
      </c>
      <c r="B1279">
        <v>4.7843</v>
      </c>
      <c r="E1279">
        <v>129500</v>
      </c>
      <c r="F1279">
        <v>4.1205999999999996</v>
      </c>
    </row>
    <row r="1280" spans="1:6" x14ac:dyDescent="0.25">
      <c r="A1280">
        <v>129600</v>
      </c>
      <c r="B1280">
        <v>4.7850000000000001</v>
      </c>
      <c r="E1280">
        <v>129600</v>
      </c>
      <c r="F1280">
        <v>4.1214000000000004</v>
      </c>
    </row>
    <row r="1281" spans="1:6" x14ac:dyDescent="0.25">
      <c r="A1281">
        <v>129700</v>
      </c>
      <c r="B1281">
        <v>4.7858000000000001</v>
      </c>
      <c r="E1281">
        <v>129700</v>
      </c>
      <c r="F1281">
        <v>4.1222000000000003</v>
      </c>
    </row>
    <row r="1282" spans="1:6" x14ac:dyDescent="0.25">
      <c r="A1282">
        <v>129800</v>
      </c>
      <c r="B1282">
        <v>4.7865000000000002</v>
      </c>
      <c r="E1282">
        <v>129800</v>
      </c>
      <c r="F1282">
        <v>4.1231</v>
      </c>
    </row>
    <row r="1283" spans="1:6" x14ac:dyDescent="0.25">
      <c r="A1283">
        <v>129900</v>
      </c>
      <c r="B1283">
        <v>4.7873000000000001</v>
      </c>
      <c r="E1283">
        <v>129900</v>
      </c>
      <c r="F1283">
        <v>4.1238999999999999</v>
      </c>
    </row>
    <row r="1284" spans="1:6" x14ac:dyDescent="0.25">
      <c r="A1284">
        <v>130000</v>
      </c>
      <c r="B1284">
        <v>4.7880000000000003</v>
      </c>
      <c r="E1284">
        <v>130000</v>
      </c>
      <c r="F1284">
        <v>4.1246999999999998</v>
      </c>
    </row>
    <row r="1285" spans="1:6" x14ac:dyDescent="0.25">
      <c r="A1285">
        <v>130100</v>
      </c>
      <c r="B1285">
        <v>4.7887000000000004</v>
      </c>
      <c r="E1285">
        <v>130100</v>
      </c>
      <c r="F1285">
        <v>4.1256000000000004</v>
      </c>
    </row>
    <row r="1286" spans="1:6" x14ac:dyDescent="0.25">
      <c r="A1286">
        <v>130200</v>
      </c>
      <c r="B1286">
        <v>4.7895000000000003</v>
      </c>
      <c r="E1286">
        <v>130200</v>
      </c>
      <c r="F1286">
        <v>4.1264000000000003</v>
      </c>
    </row>
    <row r="1287" spans="1:6" x14ac:dyDescent="0.25">
      <c r="A1287">
        <v>130300</v>
      </c>
      <c r="B1287">
        <v>4.7901999999999996</v>
      </c>
      <c r="E1287">
        <v>130300</v>
      </c>
      <c r="F1287">
        <v>4.1272000000000002</v>
      </c>
    </row>
    <row r="1288" spans="1:6" x14ac:dyDescent="0.25">
      <c r="A1288">
        <v>130400</v>
      </c>
      <c r="B1288">
        <v>4.7910000000000004</v>
      </c>
      <c r="E1288">
        <v>130400</v>
      </c>
      <c r="F1288">
        <v>4.1280000000000001</v>
      </c>
    </row>
    <row r="1289" spans="1:6" x14ac:dyDescent="0.25">
      <c r="A1289">
        <v>130500</v>
      </c>
      <c r="B1289">
        <v>4.7916999999999996</v>
      </c>
      <c r="E1289">
        <v>130500</v>
      </c>
      <c r="F1289">
        <v>4.1288999999999998</v>
      </c>
    </row>
    <row r="1290" spans="1:6" x14ac:dyDescent="0.25">
      <c r="A1290">
        <v>130600</v>
      </c>
      <c r="B1290">
        <v>4.7923999999999998</v>
      </c>
      <c r="E1290">
        <v>130600</v>
      </c>
      <c r="F1290">
        <v>4.1296999999999997</v>
      </c>
    </row>
    <row r="1291" spans="1:6" x14ac:dyDescent="0.25">
      <c r="A1291">
        <v>130700</v>
      </c>
      <c r="B1291">
        <v>4.7931999999999997</v>
      </c>
      <c r="E1291">
        <v>130700</v>
      </c>
      <c r="F1291">
        <v>4.1304999999999996</v>
      </c>
    </row>
    <row r="1292" spans="1:6" x14ac:dyDescent="0.25">
      <c r="A1292">
        <v>130800</v>
      </c>
      <c r="B1292">
        <v>4.7938999999999998</v>
      </c>
      <c r="E1292">
        <v>130800</v>
      </c>
      <c r="F1292">
        <v>4.1313000000000004</v>
      </c>
    </row>
    <row r="1293" spans="1:6" x14ac:dyDescent="0.25">
      <c r="A1293">
        <v>130900</v>
      </c>
      <c r="B1293">
        <v>4.7946</v>
      </c>
      <c r="E1293">
        <v>130900</v>
      </c>
      <c r="F1293">
        <v>4.1321000000000003</v>
      </c>
    </row>
    <row r="1294" spans="1:6" x14ac:dyDescent="0.25">
      <c r="A1294">
        <v>131000</v>
      </c>
      <c r="B1294">
        <v>4.7953000000000001</v>
      </c>
      <c r="E1294">
        <v>131000</v>
      </c>
      <c r="F1294">
        <v>4.1329000000000002</v>
      </c>
    </row>
    <row r="1295" spans="1:6" x14ac:dyDescent="0.25">
      <c r="A1295">
        <v>131100</v>
      </c>
      <c r="B1295">
        <v>4.7961</v>
      </c>
      <c r="E1295">
        <v>131100</v>
      </c>
      <c r="F1295">
        <v>4.1337999999999999</v>
      </c>
    </row>
    <row r="1296" spans="1:6" x14ac:dyDescent="0.25">
      <c r="A1296">
        <v>131200</v>
      </c>
      <c r="B1296">
        <v>4.7968000000000002</v>
      </c>
      <c r="E1296">
        <v>131200</v>
      </c>
      <c r="F1296">
        <v>4.1345999999999998</v>
      </c>
    </row>
    <row r="1297" spans="1:6" x14ac:dyDescent="0.25">
      <c r="A1297">
        <v>131300</v>
      </c>
      <c r="B1297">
        <v>4.7975000000000003</v>
      </c>
      <c r="E1297">
        <v>131300</v>
      </c>
      <c r="F1297">
        <v>4.1353999999999997</v>
      </c>
    </row>
    <row r="1298" spans="1:6" x14ac:dyDescent="0.25">
      <c r="A1298">
        <v>131400</v>
      </c>
      <c r="B1298">
        <v>4.7981999999999996</v>
      </c>
      <c r="E1298">
        <v>131400</v>
      </c>
      <c r="F1298">
        <v>4.1361999999999997</v>
      </c>
    </row>
    <row r="1299" spans="1:6" x14ac:dyDescent="0.25">
      <c r="A1299">
        <v>131500</v>
      </c>
      <c r="B1299">
        <v>4.7990000000000004</v>
      </c>
      <c r="E1299">
        <v>131500</v>
      </c>
      <c r="F1299">
        <v>4.1369999999999996</v>
      </c>
    </row>
    <row r="1300" spans="1:6" x14ac:dyDescent="0.25">
      <c r="A1300">
        <v>131600</v>
      </c>
      <c r="B1300">
        <v>4.7996999999999996</v>
      </c>
      <c r="E1300">
        <v>131600</v>
      </c>
      <c r="F1300">
        <v>4.1378000000000004</v>
      </c>
    </row>
    <row r="1301" spans="1:6" x14ac:dyDescent="0.25">
      <c r="A1301">
        <v>131700</v>
      </c>
      <c r="B1301">
        <v>4.8003999999999998</v>
      </c>
      <c r="E1301">
        <v>131700</v>
      </c>
      <c r="F1301">
        <v>4.1386000000000003</v>
      </c>
    </row>
    <row r="1302" spans="1:6" x14ac:dyDescent="0.25">
      <c r="A1302">
        <v>131800</v>
      </c>
      <c r="B1302">
        <v>4.8010999999999999</v>
      </c>
      <c r="E1302">
        <v>131800</v>
      </c>
      <c r="F1302">
        <v>4.1394000000000002</v>
      </c>
    </row>
    <row r="1303" spans="1:6" x14ac:dyDescent="0.25">
      <c r="A1303">
        <v>131900</v>
      </c>
      <c r="B1303">
        <v>4.8018999999999998</v>
      </c>
      <c r="E1303">
        <v>131900</v>
      </c>
      <c r="F1303">
        <v>4.1402000000000001</v>
      </c>
    </row>
    <row r="1304" spans="1:6" x14ac:dyDescent="0.25">
      <c r="A1304">
        <v>132000</v>
      </c>
      <c r="B1304">
        <v>4.8026</v>
      </c>
      <c r="E1304">
        <v>132000</v>
      </c>
      <c r="F1304">
        <v>4.141</v>
      </c>
    </row>
    <row r="1305" spans="1:6" x14ac:dyDescent="0.25">
      <c r="A1305">
        <v>132100</v>
      </c>
      <c r="B1305">
        <v>4.8033000000000001</v>
      </c>
      <c r="E1305">
        <v>132100</v>
      </c>
      <c r="F1305">
        <v>4.1417999999999999</v>
      </c>
    </row>
    <row r="1306" spans="1:6" x14ac:dyDescent="0.25">
      <c r="A1306">
        <v>132200</v>
      </c>
      <c r="B1306">
        <v>4.8040000000000003</v>
      </c>
      <c r="E1306">
        <v>132200</v>
      </c>
      <c r="F1306">
        <v>4.1425999999999998</v>
      </c>
    </row>
    <row r="1307" spans="1:6" x14ac:dyDescent="0.25">
      <c r="A1307">
        <v>132300</v>
      </c>
      <c r="B1307">
        <v>4.8047000000000004</v>
      </c>
      <c r="E1307">
        <v>132300</v>
      </c>
      <c r="F1307">
        <v>4.1433999999999997</v>
      </c>
    </row>
    <row r="1308" spans="1:6" x14ac:dyDescent="0.25">
      <c r="A1308">
        <v>132400</v>
      </c>
      <c r="B1308">
        <v>4.8053999999999997</v>
      </c>
      <c r="E1308">
        <v>132400</v>
      </c>
      <c r="F1308">
        <v>4.1441999999999997</v>
      </c>
    </row>
    <row r="1309" spans="1:6" x14ac:dyDescent="0.25">
      <c r="A1309">
        <v>132500</v>
      </c>
      <c r="B1309">
        <v>4.8061999999999996</v>
      </c>
      <c r="E1309">
        <v>132500</v>
      </c>
      <c r="F1309">
        <v>4.1449999999999996</v>
      </c>
    </row>
    <row r="1310" spans="1:6" x14ac:dyDescent="0.25">
      <c r="A1310">
        <v>132600</v>
      </c>
      <c r="B1310">
        <v>4.8068999999999997</v>
      </c>
      <c r="E1310">
        <v>132600</v>
      </c>
      <c r="F1310">
        <v>4.1458000000000004</v>
      </c>
    </row>
    <row r="1311" spans="1:6" x14ac:dyDescent="0.25">
      <c r="A1311">
        <v>132700</v>
      </c>
      <c r="B1311">
        <v>4.8075999999999999</v>
      </c>
      <c r="E1311">
        <v>132700</v>
      </c>
      <c r="F1311">
        <v>4.1466000000000003</v>
      </c>
    </row>
    <row r="1312" spans="1:6" x14ac:dyDescent="0.25">
      <c r="A1312">
        <v>132800</v>
      </c>
      <c r="B1312">
        <v>4.8083</v>
      </c>
      <c r="E1312">
        <v>132800</v>
      </c>
      <c r="F1312">
        <v>4.1474000000000002</v>
      </c>
    </row>
    <row r="1313" spans="1:6" x14ac:dyDescent="0.25">
      <c r="A1313">
        <v>132900</v>
      </c>
      <c r="B1313">
        <v>4.8090000000000002</v>
      </c>
      <c r="E1313">
        <v>132900</v>
      </c>
      <c r="F1313">
        <v>4.1482000000000001</v>
      </c>
    </row>
    <row r="1314" spans="1:6" x14ac:dyDescent="0.25">
      <c r="A1314">
        <v>133000</v>
      </c>
      <c r="B1314">
        <v>4.8097000000000003</v>
      </c>
      <c r="E1314">
        <v>133000</v>
      </c>
      <c r="F1314">
        <v>4.149</v>
      </c>
    </row>
    <row r="1315" spans="1:6" x14ac:dyDescent="0.25">
      <c r="A1315">
        <v>133100</v>
      </c>
      <c r="B1315">
        <v>4.8103999999999996</v>
      </c>
      <c r="E1315">
        <v>133100</v>
      </c>
      <c r="F1315">
        <v>4.1497999999999999</v>
      </c>
    </row>
    <row r="1316" spans="1:6" x14ac:dyDescent="0.25">
      <c r="A1316">
        <v>133200</v>
      </c>
      <c r="B1316">
        <v>4.8110999999999997</v>
      </c>
      <c r="E1316">
        <v>133200</v>
      </c>
      <c r="F1316">
        <v>4.1505999999999998</v>
      </c>
    </row>
    <row r="1317" spans="1:6" x14ac:dyDescent="0.25">
      <c r="A1317">
        <v>133300</v>
      </c>
      <c r="B1317">
        <v>4.8117999999999999</v>
      </c>
      <c r="E1317">
        <v>133300</v>
      </c>
      <c r="F1317">
        <v>4.1513999999999998</v>
      </c>
    </row>
    <row r="1318" spans="1:6" x14ac:dyDescent="0.25">
      <c r="A1318">
        <v>133400</v>
      </c>
      <c r="B1318">
        <v>4.8125</v>
      </c>
      <c r="E1318">
        <v>133400</v>
      </c>
      <c r="F1318">
        <v>4.1520999999999999</v>
      </c>
    </row>
    <row r="1319" spans="1:6" x14ac:dyDescent="0.25">
      <c r="A1319">
        <v>133500</v>
      </c>
      <c r="B1319">
        <v>4.8132000000000001</v>
      </c>
      <c r="E1319">
        <v>133500</v>
      </c>
      <c r="F1319">
        <v>4.1528999999999998</v>
      </c>
    </row>
    <row r="1320" spans="1:6" x14ac:dyDescent="0.25">
      <c r="A1320">
        <v>133600</v>
      </c>
      <c r="B1320">
        <v>4.8139000000000003</v>
      </c>
      <c r="E1320">
        <v>133600</v>
      </c>
      <c r="F1320">
        <v>4.1536999999999997</v>
      </c>
    </row>
    <row r="1321" spans="1:6" x14ac:dyDescent="0.25">
      <c r="A1321">
        <v>133700</v>
      </c>
      <c r="B1321">
        <v>4.8146000000000004</v>
      </c>
      <c r="E1321">
        <v>133700</v>
      </c>
      <c r="F1321">
        <v>4.1544999999999996</v>
      </c>
    </row>
    <row r="1322" spans="1:6" x14ac:dyDescent="0.25">
      <c r="A1322">
        <v>133800</v>
      </c>
      <c r="B1322">
        <v>4.8152999999999997</v>
      </c>
      <c r="E1322">
        <v>133800</v>
      </c>
      <c r="F1322">
        <v>4.1553000000000004</v>
      </c>
    </row>
    <row r="1323" spans="1:6" x14ac:dyDescent="0.25">
      <c r="A1323">
        <v>133900</v>
      </c>
      <c r="B1323">
        <v>4.8159999999999998</v>
      </c>
      <c r="E1323">
        <v>133900</v>
      </c>
      <c r="F1323">
        <v>4.1559999999999997</v>
      </c>
    </row>
    <row r="1324" spans="1:6" x14ac:dyDescent="0.25">
      <c r="A1324">
        <v>134000</v>
      </c>
      <c r="B1324">
        <v>4.8167</v>
      </c>
      <c r="E1324">
        <v>134000</v>
      </c>
      <c r="F1324">
        <v>4.1567999999999996</v>
      </c>
    </row>
    <row r="1325" spans="1:6" x14ac:dyDescent="0.25">
      <c r="A1325">
        <v>134100</v>
      </c>
      <c r="B1325">
        <v>4.8174000000000001</v>
      </c>
      <c r="E1325">
        <v>134100</v>
      </c>
      <c r="F1325">
        <v>4.1576000000000004</v>
      </c>
    </row>
    <row r="1326" spans="1:6" x14ac:dyDescent="0.25">
      <c r="A1326">
        <v>134200</v>
      </c>
      <c r="B1326">
        <v>4.8181000000000003</v>
      </c>
      <c r="E1326">
        <v>134200</v>
      </c>
      <c r="F1326">
        <v>4.1584000000000003</v>
      </c>
    </row>
    <row r="1327" spans="1:6" x14ac:dyDescent="0.25">
      <c r="A1327">
        <v>134300</v>
      </c>
      <c r="B1327">
        <v>4.8188000000000004</v>
      </c>
      <c r="E1327">
        <v>134300</v>
      </c>
      <c r="F1327">
        <v>4.1592000000000002</v>
      </c>
    </row>
    <row r="1328" spans="1:6" x14ac:dyDescent="0.25">
      <c r="A1328">
        <v>134400</v>
      </c>
      <c r="B1328">
        <v>4.8194999999999997</v>
      </c>
      <c r="E1328">
        <v>134400</v>
      </c>
      <c r="F1328">
        <v>4.1599000000000004</v>
      </c>
    </row>
    <row r="1329" spans="1:6" x14ac:dyDescent="0.25">
      <c r="A1329">
        <v>134500</v>
      </c>
      <c r="B1329">
        <v>4.8201999999999998</v>
      </c>
      <c r="E1329">
        <v>134500</v>
      </c>
      <c r="F1329">
        <v>4.1607000000000003</v>
      </c>
    </row>
    <row r="1330" spans="1:6" x14ac:dyDescent="0.25">
      <c r="A1330">
        <v>134600</v>
      </c>
      <c r="B1330">
        <v>4.8209</v>
      </c>
      <c r="E1330">
        <v>134600</v>
      </c>
      <c r="F1330">
        <v>4.1615000000000002</v>
      </c>
    </row>
    <row r="1331" spans="1:6" x14ac:dyDescent="0.25">
      <c r="A1331">
        <v>134700</v>
      </c>
      <c r="B1331">
        <v>4.8216000000000001</v>
      </c>
      <c r="E1331">
        <v>134700</v>
      </c>
      <c r="F1331">
        <v>4.1622000000000003</v>
      </c>
    </row>
    <row r="1332" spans="1:6" x14ac:dyDescent="0.25">
      <c r="A1332">
        <v>134800</v>
      </c>
      <c r="B1332">
        <v>4.8223000000000003</v>
      </c>
      <c r="E1332">
        <v>134800</v>
      </c>
      <c r="F1332">
        <v>4.1630000000000003</v>
      </c>
    </row>
    <row r="1333" spans="1:6" x14ac:dyDescent="0.25">
      <c r="A1333">
        <v>134900</v>
      </c>
      <c r="B1333">
        <v>4.8228999999999997</v>
      </c>
      <c r="E1333">
        <v>134900</v>
      </c>
      <c r="F1333">
        <v>4.1638000000000002</v>
      </c>
    </row>
    <row r="1334" spans="1:6" x14ac:dyDescent="0.25">
      <c r="A1334">
        <v>135000</v>
      </c>
      <c r="B1334">
        <v>4.8235999999999999</v>
      </c>
      <c r="E1334">
        <v>135000</v>
      </c>
      <c r="F1334">
        <v>4.1646000000000001</v>
      </c>
    </row>
    <row r="1335" spans="1:6" x14ac:dyDescent="0.25">
      <c r="A1335">
        <v>135100</v>
      </c>
      <c r="B1335">
        <v>4.8243</v>
      </c>
      <c r="E1335">
        <v>135100</v>
      </c>
      <c r="F1335">
        <v>4.1653000000000002</v>
      </c>
    </row>
    <row r="1336" spans="1:6" x14ac:dyDescent="0.25">
      <c r="A1336">
        <v>135200</v>
      </c>
      <c r="B1336">
        <v>4.8250000000000002</v>
      </c>
      <c r="E1336">
        <v>135200</v>
      </c>
      <c r="F1336">
        <v>4.1661000000000001</v>
      </c>
    </row>
    <row r="1337" spans="1:6" x14ac:dyDescent="0.25">
      <c r="A1337">
        <v>135300</v>
      </c>
      <c r="B1337">
        <v>4.8257000000000003</v>
      </c>
      <c r="E1337">
        <v>135300</v>
      </c>
      <c r="F1337">
        <v>4.1669</v>
      </c>
    </row>
    <row r="1338" spans="1:6" x14ac:dyDescent="0.25">
      <c r="A1338">
        <v>135400</v>
      </c>
      <c r="B1338">
        <v>4.8263999999999996</v>
      </c>
      <c r="E1338">
        <v>135400</v>
      </c>
      <c r="F1338">
        <v>4.1676000000000002</v>
      </c>
    </row>
    <row r="1339" spans="1:6" x14ac:dyDescent="0.25">
      <c r="A1339">
        <v>135500</v>
      </c>
      <c r="B1339">
        <v>4.827</v>
      </c>
      <c r="E1339">
        <v>135500</v>
      </c>
      <c r="F1339">
        <v>4.1684000000000001</v>
      </c>
    </row>
    <row r="1340" spans="1:6" x14ac:dyDescent="0.25">
      <c r="A1340">
        <v>135600</v>
      </c>
      <c r="B1340">
        <v>4.8277000000000001</v>
      </c>
      <c r="E1340">
        <v>135600</v>
      </c>
      <c r="F1340">
        <v>4.1691000000000003</v>
      </c>
    </row>
    <row r="1341" spans="1:6" x14ac:dyDescent="0.25">
      <c r="A1341">
        <v>135700</v>
      </c>
      <c r="B1341">
        <v>4.8284000000000002</v>
      </c>
      <c r="E1341">
        <v>135700</v>
      </c>
      <c r="F1341">
        <v>4.1699000000000002</v>
      </c>
    </row>
    <row r="1342" spans="1:6" x14ac:dyDescent="0.25">
      <c r="A1342">
        <v>135800</v>
      </c>
      <c r="B1342">
        <v>4.8291000000000004</v>
      </c>
      <c r="E1342">
        <v>135800</v>
      </c>
      <c r="F1342">
        <v>4.1707000000000001</v>
      </c>
    </row>
    <row r="1343" spans="1:6" x14ac:dyDescent="0.25">
      <c r="A1343">
        <v>135900</v>
      </c>
      <c r="B1343">
        <v>4.8297999999999996</v>
      </c>
      <c r="E1343">
        <v>135900</v>
      </c>
      <c r="F1343">
        <v>4.1714000000000002</v>
      </c>
    </row>
    <row r="1344" spans="1:6" x14ac:dyDescent="0.25">
      <c r="A1344">
        <v>136000</v>
      </c>
      <c r="B1344">
        <v>4.8304</v>
      </c>
      <c r="E1344">
        <v>136000</v>
      </c>
      <c r="F1344">
        <v>4.1722000000000001</v>
      </c>
    </row>
    <row r="1345" spans="1:6" x14ac:dyDescent="0.25">
      <c r="A1345">
        <v>136100</v>
      </c>
      <c r="B1345">
        <v>4.8311000000000002</v>
      </c>
      <c r="E1345">
        <v>136100</v>
      </c>
      <c r="F1345">
        <v>4.1729000000000003</v>
      </c>
    </row>
    <row r="1346" spans="1:6" x14ac:dyDescent="0.25">
      <c r="A1346">
        <v>136200</v>
      </c>
      <c r="B1346">
        <v>4.8318000000000003</v>
      </c>
      <c r="E1346">
        <v>136200</v>
      </c>
      <c r="F1346">
        <v>4.1737000000000002</v>
      </c>
    </row>
    <row r="1347" spans="1:6" x14ac:dyDescent="0.25">
      <c r="A1347">
        <v>136300</v>
      </c>
      <c r="B1347">
        <v>4.8324999999999996</v>
      </c>
      <c r="E1347">
        <v>136300</v>
      </c>
      <c r="F1347">
        <v>4.1744000000000003</v>
      </c>
    </row>
    <row r="1348" spans="1:6" x14ac:dyDescent="0.25">
      <c r="A1348">
        <v>136400</v>
      </c>
      <c r="B1348">
        <v>4.8331</v>
      </c>
      <c r="E1348">
        <v>136400</v>
      </c>
      <c r="F1348">
        <v>4.1752000000000002</v>
      </c>
    </row>
    <row r="1349" spans="1:6" x14ac:dyDescent="0.25">
      <c r="A1349">
        <v>136500</v>
      </c>
      <c r="B1349">
        <v>4.8338000000000001</v>
      </c>
      <c r="E1349">
        <v>136500</v>
      </c>
      <c r="F1349">
        <v>4.1759000000000004</v>
      </c>
    </row>
    <row r="1350" spans="1:6" x14ac:dyDescent="0.25">
      <c r="A1350">
        <v>136600</v>
      </c>
      <c r="B1350">
        <v>4.8345000000000002</v>
      </c>
      <c r="E1350">
        <v>136600</v>
      </c>
      <c r="F1350">
        <v>4.1767000000000003</v>
      </c>
    </row>
    <row r="1351" spans="1:6" x14ac:dyDescent="0.25">
      <c r="A1351">
        <v>136700</v>
      </c>
      <c r="B1351">
        <v>4.8350999999999997</v>
      </c>
      <c r="E1351">
        <v>136700</v>
      </c>
      <c r="F1351">
        <v>4.1773999999999996</v>
      </c>
    </row>
    <row r="1352" spans="1:6" x14ac:dyDescent="0.25">
      <c r="A1352">
        <v>136800</v>
      </c>
      <c r="B1352">
        <v>4.8357999999999999</v>
      </c>
      <c r="E1352">
        <v>136800</v>
      </c>
      <c r="F1352">
        <v>4.1782000000000004</v>
      </c>
    </row>
    <row r="1353" spans="1:6" x14ac:dyDescent="0.25">
      <c r="A1353">
        <v>136900</v>
      </c>
      <c r="B1353">
        <v>4.8365</v>
      </c>
      <c r="E1353">
        <v>136900</v>
      </c>
      <c r="F1353">
        <v>4.1788999999999996</v>
      </c>
    </row>
    <row r="1354" spans="1:6" x14ac:dyDescent="0.25">
      <c r="A1354">
        <v>137000</v>
      </c>
      <c r="B1354">
        <v>4.8372000000000002</v>
      </c>
      <c r="E1354">
        <v>137000</v>
      </c>
      <c r="F1354">
        <v>4.1797000000000004</v>
      </c>
    </row>
    <row r="1355" spans="1:6" x14ac:dyDescent="0.25">
      <c r="A1355">
        <v>137100</v>
      </c>
      <c r="B1355">
        <v>4.8379000000000003</v>
      </c>
      <c r="E1355">
        <v>137100</v>
      </c>
      <c r="F1355">
        <v>4.1807999999999996</v>
      </c>
    </row>
    <row r="1356" spans="1:6" x14ac:dyDescent="0.25">
      <c r="A1356">
        <v>137200</v>
      </c>
      <c r="B1356">
        <v>4.8387000000000002</v>
      </c>
      <c r="E1356">
        <v>137200</v>
      </c>
      <c r="F1356">
        <v>4.1818999999999997</v>
      </c>
    </row>
    <row r="1357" spans="1:6" x14ac:dyDescent="0.25">
      <c r="A1357">
        <v>137300</v>
      </c>
      <c r="B1357">
        <v>4.8395000000000001</v>
      </c>
      <c r="E1357">
        <v>137300</v>
      </c>
      <c r="F1357">
        <v>4.1829999999999998</v>
      </c>
    </row>
    <row r="1358" spans="1:6" x14ac:dyDescent="0.25">
      <c r="A1358">
        <v>137400</v>
      </c>
      <c r="B1358">
        <v>4.8402000000000003</v>
      </c>
      <c r="E1358">
        <v>137400</v>
      </c>
      <c r="F1358">
        <v>4.1840999999999999</v>
      </c>
    </row>
    <row r="1359" spans="1:6" x14ac:dyDescent="0.25">
      <c r="A1359">
        <v>137500</v>
      </c>
      <c r="B1359">
        <v>4.8410000000000002</v>
      </c>
      <c r="E1359">
        <v>137500</v>
      </c>
      <c r="F1359">
        <v>4.1852</v>
      </c>
    </row>
    <row r="1360" spans="1:6" x14ac:dyDescent="0.25">
      <c r="A1360">
        <v>137600</v>
      </c>
      <c r="B1360">
        <v>4.8418000000000001</v>
      </c>
      <c r="E1360">
        <v>137600</v>
      </c>
      <c r="F1360">
        <v>4.1863000000000001</v>
      </c>
    </row>
    <row r="1361" spans="1:6" x14ac:dyDescent="0.25">
      <c r="A1361">
        <v>137700</v>
      </c>
      <c r="B1361">
        <v>4.8426</v>
      </c>
      <c r="E1361">
        <v>137700</v>
      </c>
      <c r="F1361">
        <v>4.1874000000000002</v>
      </c>
    </row>
    <row r="1362" spans="1:6" x14ac:dyDescent="0.25">
      <c r="A1362">
        <v>137800</v>
      </c>
      <c r="B1362">
        <v>4.8433000000000002</v>
      </c>
      <c r="E1362">
        <v>137800</v>
      </c>
      <c r="F1362">
        <v>4.1885000000000003</v>
      </c>
    </row>
    <row r="1363" spans="1:6" x14ac:dyDescent="0.25">
      <c r="A1363">
        <v>137900</v>
      </c>
      <c r="B1363">
        <v>4.8441000000000001</v>
      </c>
      <c r="E1363">
        <v>137900</v>
      </c>
      <c r="F1363">
        <v>4.1896000000000004</v>
      </c>
    </row>
    <row r="1364" spans="1:6" x14ac:dyDescent="0.25">
      <c r="A1364">
        <v>138000</v>
      </c>
      <c r="B1364">
        <v>4.8449</v>
      </c>
      <c r="E1364">
        <v>138000</v>
      </c>
      <c r="F1364">
        <v>4.1906999999999996</v>
      </c>
    </row>
    <row r="1365" spans="1:6" x14ac:dyDescent="0.25">
      <c r="A1365">
        <v>138100</v>
      </c>
      <c r="B1365">
        <v>4.8456000000000001</v>
      </c>
      <c r="E1365">
        <v>138100</v>
      </c>
      <c r="F1365">
        <v>4.1917999999999997</v>
      </c>
    </row>
    <row r="1366" spans="1:6" x14ac:dyDescent="0.25">
      <c r="A1366">
        <v>138200</v>
      </c>
      <c r="B1366">
        <v>4.8464</v>
      </c>
      <c r="E1366">
        <v>138200</v>
      </c>
      <c r="F1366">
        <v>4.1928999999999998</v>
      </c>
    </row>
    <row r="1367" spans="1:6" x14ac:dyDescent="0.25">
      <c r="A1367">
        <v>138300</v>
      </c>
      <c r="B1367">
        <v>4.8471000000000002</v>
      </c>
      <c r="E1367">
        <v>138300</v>
      </c>
      <c r="F1367">
        <v>4.194</v>
      </c>
    </row>
    <row r="1368" spans="1:6" x14ac:dyDescent="0.25">
      <c r="A1368">
        <v>138400</v>
      </c>
      <c r="B1368">
        <v>4.8479000000000001</v>
      </c>
      <c r="E1368">
        <v>138400</v>
      </c>
      <c r="F1368">
        <v>4.1951000000000001</v>
      </c>
    </row>
    <row r="1369" spans="1:6" x14ac:dyDescent="0.25">
      <c r="A1369">
        <v>138500</v>
      </c>
      <c r="B1369">
        <v>4.8487</v>
      </c>
      <c r="E1369">
        <v>138500</v>
      </c>
      <c r="F1369">
        <v>4.1961000000000004</v>
      </c>
    </row>
    <row r="1370" spans="1:6" x14ac:dyDescent="0.25">
      <c r="A1370">
        <v>138600</v>
      </c>
      <c r="B1370">
        <v>4.8494000000000002</v>
      </c>
      <c r="E1370">
        <v>138600</v>
      </c>
      <c r="F1370">
        <v>4.1971999999999996</v>
      </c>
    </row>
    <row r="1371" spans="1:6" x14ac:dyDescent="0.25">
      <c r="A1371">
        <v>138700</v>
      </c>
      <c r="B1371">
        <v>4.8502000000000001</v>
      </c>
      <c r="E1371">
        <v>138700</v>
      </c>
      <c r="F1371">
        <v>4.1982999999999997</v>
      </c>
    </row>
    <row r="1372" spans="1:6" x14ac:dyDescent="0.25">
      <c r="A1372">
        <v>138800</v>
      </c>
      <c r="B1372">
        <v>4.8509000000000002</v>
      </c>
      <c r="E1372">
        <v>138800</v>
      </c>
      <c r="F1372">
        <v>4.1993999999999998</v>
      </c>
    </row>
    <row r="1373" spans="1:6" x14ac:dyDescent="0.25">
      <c r="A1373">
        <v>138900</v>
      </c>
      <c r="B1373">
        <v>4.8517000000000001</v>
      </c>
      <c r="E1373">
        <v>138900</v>
      </c>
      <c r="F1373">
        <v>4.2004999999999999</v>
      </c>
    </row>
    <row r="1374" spans="1:6" x14ac:dyDescent="0.25">
      <c r="A1374">
        <v>139000</v>
      </c>
      <c r="B1374">
        <v>4.8524000000000003</v>
      </c>
      <c r="E1374">
        <v>139000</v>
      </c>
      <c r="F1374">
        <v>4.2015000000000002</v>
      </c>
    </row>
    <row r="1375" spans="1:6" x14ac:dyDescent="0.25">
      <c r="A1375">
        <v>139100</v>
      </c>
      <c r="B1375">
        <v>4.8532000000000002</v>
      </c>
      <c r="E1375">
        <v>139100</v>
      </c>
      <c r="F1375">
        <v>4.2026000000000003</v>
      </c>
    </row>
    <row r="1376" spans="1:6" x14ac:dyDescent="0.25">
      <c r="A1376">
        <v>139200</v>
      </c>
      <c r="B1376">
        <v>4.8540000000000001</v>
      </c>
      <c r="E1376">
        <v>139200</v>
      </c>
      <c r="F1376">
        <v>4.2037000000000004</v>
      </c>
    </row>
    <row r="1377" spans="1:6" x14ac:dyDescent="0.25">
      <c r="A1377">
        <v>139300</v>
      </c>
      <c r="B1377">
        <v>4.8547000000000002</v>
      </c>
      <c r="E1377">
        <v>139300</v>
      </c>
      <c r="F1377">
        <v>4.2047999999999996</v>
      </c>
    </row>
    <row r="1378" spans="1:6" x14ac:dyDescent="0.25">
      <c r="A1378">
        <v>139400</v>
      </c>
      <c r="B1378">
        <v>4.8555000000000001</v>
      </c>
      <c r="E1378">
        <v>139400</v>
      </c>
      <c r="F1378">
        <v>4.2058</v>
      </c>
    </row>
    <row r="1379" spans="1:6" x14ac:dyDescent="0.25">
      <c r="A1379">
        <v>139500</v>
      </c>
      <c r="B1379">
        <v>4.8562000000000003</v>
      </c>
      <c r="E1379">
        <v>139500</v>
      </c>
      <c r="F1379">
        <v>4.2069000000000001</v>
      </c>
    </row>
    <row r="1380" spans="1:6" x14ac:dyDescent="0.25">
      <c r="A1380">
        <v>139600</v>
      </c>
      <c r="B1380">
        <v>4.8569000000000004</v>
      </c>
      <c r="E1380">
        <v>139600</v>
      </c>
      <c r="F1380">
        <v>4.2080000000000002</v>
      </c>
    </row>
    <row r="1381" spans="1:6" x14ac:dyDescent="0.25">
      <c r="A1381">
        <v>139700</v>
      </c>
      <c r="B1381">
        <v>4.8577000000000004</v>
      </c>
      <c r="E1381">
        <v>139700</v>
      </c>
      <c r="F1381">
        <v>4.2091000000000003</v>
      </c>
    </row>
    <row r="1382" spans="1:6" x14ac:dyDescent="0.25">
      <c r="A1382">
        <v>139800</v>
      </c>
      <c r="B1382">
        <v>4.8583999999999996</v>
      </c>
      <c r="E1382">
        <v>139800</v>
      </c>
      <c r="F1382">
        <v>4.2100999999999997</v>
      </c>
    </row>
    <row r="1383" spans="1:6" x14ac:dyDescent="0.25">
      <c r="A1383">
        <v>139900</v>
      </c>
      <c r="B1383">
        <v>4.8592000000000004</v>
      </c>
      <c r="E1383">
        <v>139900</v>
      </c>
      <c r="F1383">
        <v>4.2111999999999998</v>
      </c>
    </row>
    <row r="1384" spans="1:6" x14ac:dyDescent="0.25">
      <c r="A1384">
        <v>140000</v>
      </c>
      <c r="B1384">
        <v>4.8598999999999997</v>
      </c>
      <c r="E1384">
        <v>140000</v>
      </c>
      <c r="F1384">
        <v>4.2122999999999999</v>
      </c>
    </row>
    <row r="1385" spans="1:6" x14ac:dyDescent="0.25">
      <c r="A1385">
        <v>140100</v>
      </c>
      <c r="B1385">
        <v>4.8606999999999996</v>
      </c>
      <c r="E1385">
        <v>140100</v>
      </c>
      <c r="F1385">
        <v>4.2133000000000003</v>
      </c>
    </row>
    <row r="1386" spans="1:6" x14ac:dyDescent="0.25">
      <c r="A1386">
        <v>140200</v>
      </c>
      <c r="B1386">
        <v>4.8613999999999997</v>
      </c>
      <c r="E1386">
        <v>140200</v>
      </c>
      <c r="F1386">
        <v>4.2144000000000004</v>
      </c>
    </row>
    <row r="1387" spans="1:6" x14ac:dyDescent="0.25">
      <c r="A1387">
        <v>140300</v>
      </c>
      <c r="B1387">
        <v>4.8621999999999996</v>
      </c>
      <c r="E1387">
        <v>140300</v>
      </c>
      <c r="F1387">
        <v>4.2153999999999998</v>
      </c>
    </row>
    <row r="1388" spans="1:6" x14ac:dyDescent="0.25">
      <c r="A1388">
        <v>140400</v>
      </c>
      <c r="B1388">
        <v>4.8628999999999998</v>
      </c>
      <c r="E1388">
        <v>140400</v>
      </c>
      <c r="F1388">
        <v>4.2164999999999999</v>
      </c>
    </row>
    <row r="1389" spans="1:6" x14ac:dyDescent="0.25">
      <c r="A1389">
        <v>140500</v>
      </c>
      <c r="B1389">
        <v>4.8635999999999999</v>
      </c>
      <c r="E1389">
        <v>140500</v>
      </c>
      <c r="F1389">
        <v>4.2175000000000002</v>
      </c>
    </row>
    <row r="1390" spans="1:6" x14ac:dyDescent="0.25">
      <c r="A1390">
        <v>140600</v>
      </c>
      <c r="B1390">
        <v>4.8643999999999998</v>
      </c>
      <c r="E1390">
        <v>140600</v>
      </c>
      <c r="F1390">
        <v>4.2186000000000003</v>
      </c>
    </row>
    <row r="1391" spans="1:6" x14ac:dyDescent="0.25">
      <c r="A1391">
        <v>140700</v>
      </c>
      <c r="B1391">
        <v>4.8651</v>
      </c>
      <c r="E1391">
        <v>140700</v>
      </c>
      <c r="F1391">
        <v>4.2196999999999996</v>
      </c>
    </row>
    <row r="1392" spans="1:6" x14ac:dyDescent="0.25">
      <c r="A1392">
        <v>140800</v>
      </c>
      <c r="B1392">
        <v>4.8658000000000001</v>
      </c>
      <c r="E1392">
        <v>140800</v>
      </c>
      <c r="F1392">
        <v>4.2206999999999999</v>
      </c>
    </row>
    <row r="1393" spans="1:6" x14ac:dyDescent="0.25">
      <c r="A1393">
        <v>140900</v>
      </c>
      <c r="B1393">
        <v>4.8666</v>
      </c>
      <c r="E1393">
        <v>140900</v>
      </c>
      <c r="F1393">
        <v>4.2218</v>
      </c>
    </row>
    <row r="1394" spans="1:6" x14ac:dyDescent="0.25">
      <c r="A1394">
        <v>141000</v>
      </c>
      <c r="B1394">
        <v>4.8673000000000002</v>
      </c>
      <c r="E1394">
        <v>141000</v>
      </c>
      <c r="F1394">
        <v>4.2228000000000003</v>
      </c>
    </row>
    <row r="1395" spans="1:6" x14ac:dyDescent="0.25">
      <c r="A1395">
        <v>141100</v>
      </c>
      <c r="B1395">
        <v>4.8680000000000003</v>
      </c>
      <c r="E1395">
        <v>141100</v>
      </c>
      <c r="F1395">
        <v>4.2237999999999998</v>
      </c>
    </row>
    <row r="1396" spans="1:6" x14ac:dyDescent="0.25">
      <c r="A1396">
        <v>141200</v>
      </c>
      <c r="B1396">
        <v>4.8688000000000002</v>
      </c>
      <c r="E1396">
        <v>141200</v>
      </c>
      <c r="F1396">
        <v>4.2248999999999999</v>
      </c>
    </row>
    <row r="1397" spans="1:6" x14ac:dyDescent="0.25">
      <c r="A1397">
        <v>141300</v>
      </c>
      <c r="B1397">
        <v>4.8695000000000004</v>
      </c>
      <c r="E1397">
        <v>141300</v>
      </c>
      <c r="F1397">
        <v>4.2259000000000002</v>
      </c>
    </row>
    <row r="1398" spans="1:6" x14ac:dyDescent="0.25">
      <c r="A1398">
        <v>141400</v>
      </c>
      <c r="B1398">
        <v>4.8701999999999996</v>
      </c>
      <c r="E1398">
        <v>141400</v>
      </c>
      <c r="F1398">
        <v>4.2270000000000003</v>
      </c>
    </row>
    <row r="1399" spans="1:6" x14ac:dyDescent="0.25">
      <c r="A1399">
        <v>141500</v>
      </c>
      <c r="B1399">
        <v>4.8710000000000004</v>
      </c>
      <c r="E1399">
        <v>141500</v>
      </c>
      <c r="F1399">
        <v>4.2279999999999998</v>
      </c>
    </row>
    <row r="1400" spans="1:6" x14ac:dyDescent="0.25">
      <c r="A1400">
        <v>141600</v>
      </c>
      <c r="B1400">
        <v>4.8716999999999997</v>
      </c>
      <c r="E1400">
        <v>141600</v>
      </c>
      <c r="F1400">
        <v>4.2290999999999999</v>
      </c>
    </row>
    <row r="1401" spans="1:6" x14ac:dyDescent="0.25">
      <c r="A1401">
        <v>141700</v>
      </c>
      <c r="B1401">
        <v>4.8723999999999998</v>
      </c>
      <c r="E1401">
        <v>141700</v>
      </c>
      <c r="F1401">
        <v>4.2301000000000002</v>
      </c>
    </row>
    <row r="1402" spans="1:6" x14ac:dyDescent="0.25">
      <c r="A1402">
        <v>141800</v>
      </c>
      <c r="B1402">
        <v>4.8731</v>
      </c>
      <c r="E1402">
        <v>141800</v>
      </c>
      <c r="F1402">
        <v>4.2310999999999996</v>
      </c>
    </row>
    <row r="1403" spans="1:6" x14ac:dyDescent="0.25">
      <c r="A1403">
        <v>141900</v>
      </c>
      <c r="B1403">
        <v>4.8738999999999999</v>
      </c>
      <c r="E1403">
        <v>141900</v>
      </c>
      <c r="F1403">
        <v>4.2321999999999997</v>
      </c>
    </row>
    <row r="1404" spans="1:6" x14ac:dyDescent="0.25">
      <c r="A1404">
        <v>142000</v>
      </c>
      <c r="B1404">
        <v>4.8746</v>
      </c>
      <c r="E1404">
        <v>142000</v>
      </c>
      <c r="F1404">
        <v>4.2332000000000001</v>
      </c>
    </row>
    <row r="1405" spans="1:6" x14ac:dyDescent="0.25">
      <c r="A1405">
        <v>142100</v>
      </c>
      <c r="B1405">
        <v>4.8753000000000002</v>
      </c>
      <c r="E1405">
        <v>142100</v>
      </c>
      <c r="F1405">
        <v>4.2342000000000004</v>
      </c>
    </row>
    <row r="1406" spans="1:6" x14ac:dyDescent="0.25">
      <c r="A1406">
        <v>142200</v>
      </c>
      <c r="B1406">
        <v>4.8760000000000003</v>
      </c>
      <c r="E1406">
        <v>142200</v>
      </c>
      <c r="F1406">
        <v>4.2352999999999996</v>
      </c>
    </row>
    <row r="1407" spans="1:6" x14ac:dyDescent="0.25">
      <c r="A1407">
        <v>142300</v>
      </c>
      <c r="B1407">
        <v>4.8766999999999996</v>
      </c>
      <c r="E1407">
        <v>142300</v>
      </c>
      <c r="F1407">
        <v>4.2363</v>
      </c>
    </row>
    <row r="1408" spans="1:6" x14ac:dyDescent="0.25">
      <c r="A1408">
        <v>142400</v>
      </c>
      <c r="B1408">
        <v>4.8775000000000004</v>
      </c>
      <c r="E1408">
        <v>142400</v>
      </c>
      <c r="F1408">
        <v>4.2373000000000003</v>
      </c>
    </row>
    <row r="1409" spans="1:6" x14ac:dyDescent="0.25">
      <c r="A1409">
        <v>142500</v>
      </c>
      <c r="B1409">
        <v>4.8781999999999996</v>
      </c>
      <c r="E1409">
        <v>142500</v>
      </c>
      <c r="F1409">
        <v>4.2384000000000004</v>
      </c>
    </row>
    <row r="1410" spans="1:6" x14ac:dyDescent="0.25">
      <c r="A1410">
        <v>142600</v>
      </c>
      <c r="B1410">
        <v>4.8788999999999998</v>
      </c>
      <c r="E1410">
        <v>142600</v>
      </c>
      <c r="F1410">
        <v>4.2393999999999998</v>
      </c>
    </row>
    <row r="1411" spans="1:6" x14ac:dyDescent="0.25">
      <c r="A1411">
        <v>142700</v>
      </c>
      <c r="B1411">
        <v>4.8795999999999999</v>
      </c>
      <c r="E1411">
        <v>142700</v>
      </c>
      <c r="F1411">
        <v>4.2404000000000002</v>
      </c>
    </row>
    <row r="1412" spans="1:6" x14ac:dyDescent="0.25">
      <c r="A1412">
        <v>142800</v>
      </c>
      <c r="B1412">
        <v>4.8803000000000001</v>
      </c>
      <c r="E1412">
        <v>142800</v>
      </c>
      <c r="F1412">
        <v>4.2413999999999996</v>
      </c>
    </row>
    <row r="1413" spans="1:6" x14ac:dyDescent="0.25">
      <c r="A1413">
        <v>142900</v>
      </c>
      <c r="B1413">
        <v>4.8810000000000002</v>
      </c>
      <c r="E1413">
        <v>142900</v>
      </c>
      <c r="F1413">
        <v>4.2423999999999999</v>
      </c>
    </row>
    <row r="1414" spans="1:6" x14ac:dyDescent="0.25">
      <c r="A1414">
        <v>143000</v>
      </c>
      <c r="B1414">
        <v>4.8817000000000004</v>
      </c>
      <c r="E1414">
        <v>143000</v>
      </c>
      <c r="F1414">
        <v>4.2435</v>
      </c>
    </row>
    <row r="1415" spans="1:6" x14ac:dyDescent="0.25">
      <c r="A1415">
        <v>143100</v>
      </c>
      <c r="B1415">
        <v>4.8825000000000003</v>
      </c>
      <c r="E1415">
        <v>143100</v>
      </c>
      <c r="F1415">
        <v>4.2445000000000004</v>
      </c>
    </row>
    <row r="1416" spans="1:6" x14ac:dyDescent="0.25">
      <c r="A1416">
        <v>143200</v>
      </c>
      <c r="B1416">
        <v>4.8832000000000004</v>
      </c>
      <c r="E1416">
        <v>143200</v>
      </c>
      <c r="F1416">
        <v>4.2454999999999998</v>
      </c>
    </row>
    <row r="1417" spans="1:6" x14ac:dyDescent="0.25">
      <c r="A1417">
        <v>143300</v>
      </c>
      <c r="B1417">
        <v>4.8838999999999997</v>
      </c>
      <c r="E1417">
        <v>143300</v>
      </c>
      <c r="F1417">
        <v>4.2465000000000002</v>
      </c>
    </row>
    <row r="1418" spans="1:6" x14ac:dyDescent="0.25">
      <c r="A1418">
        <v>143400</v>
      </c>
      <c r="B1418">
        <v>4.8845999999999998</v>
      </c>
      <c r="E1418">
        <v>143400</v>
      </c>
      <c r="F1418">
        <v>4.2474999999999996</v>
      </c>
    </row>
    <row r="1419" spans="1:6" x14ac:dyDescent="0.25">
      <c r="A1419">
        <v>143500</v>
      </c>
      <c r="B1419">
        <v>4.8853</v>
      </c>
      <c r="E1419">
        <v>143500</v>
      </c>
      <c r="F1419">
        <v>4.2484999999999999</v>
      </c>
    </row>
    <row r="1420" spans="1:6" x14ac:dyDescent="0.25">
      <c r="A1420">
        <v>143600</v>
      </c>
      <c r="B1420">
        <v>4.8860000000000001</v>
      </c>
      <c r="E1420">
        <v>143600</v>
      </c>
      <c r="F1420">
        <v>4.2495000000000003</v>
      </c>
    </row>
    <row r="1421" spans="1:6" x14ac:dyDescent="0.25">
      <c r="A1421">
        <v>143700</v>
      </c>
      <c r="B1421">
        <v>4.8867000000000003</v>
      </c>
      <c r="E1421">
        <v>143700</v>
      </c>
      <c r="F1421">
        <v>4.2506000000000004</v>
      </c>
    </row>
    <row r="1422" spans="1:6" x14ac:dyDescent="0.25">
      <c r="A1422">
        <v>143800</v>
      </c>
      <c r="B1422">
        <v>4.8874000000000004</v>
      </c>
      <c r="E1422">
        <v>143800</v>
      </c>
      <c r="F1422">
        <v>4.2515999999999998</v>
      </c>
    </row>
    <row r="1423" spans="1:6" x14ac:dyDescent="0.25">
      <c r="A1423">
        <v>143900</v>
      </c>
      <c r="B1423">
        <v>4.8880999999999997</v>
      </c>
      <c r="E1423">
        <v>143900</v>
      </c>
      <c r="F1423">
        <v>4.2526000000000002</v>
      </c>
    </row>
    <row r="1424" spans="1:6" x14ac:dyDescent="0.25">
      <c r="A1424">
        <v>144000</v>
      </c>
      <c r="B1424">
        <v>4.8887999999999998</v>
      </c>
      <c r="E1424">
        <v>144000</v>
      </c>
      <c r="F1424">
        <v>4.2535999999999996</v>
      </c>
    </row>
    <row r="1425" spans="1:6" x14ac:dyDescent="0.25">
      <c r="A1425">
        <v>144100</v>
      </c>
      <c r="B1425">
        <v>4.8895</v>
      </c>
      <c r="E1425">
        <v>144100</v>
      </c>
      <c r="F1425">
        <v>4.2545999999999999</v>
      </c>
    </row>
    <row r="1426" spans="1:6" x14ac:dyDescent="0.25">
      <c r="A1426">
        <v>144200</v>
      </c>
      <c r="B1426">
        <v>4.8902000000000001</v>
      </c>
      <c r="E1426">
        <v>144200</v>
      </c>
      <c r="F1426">
        <v>4.2556000000000003</v>
      </c>
    </row>
    <row r="1427" spans="1:6" x14ac:dyDescent="0.25">
      <c r="A1427">
        <v>144300</v>
      </c>
      <c r="B1427">
        <v>4.8909000000000002</v>
      </c>
      <c r="E1427">
        <v>144300</v>
      </c>
      <c r="F1427">
        <v>4.2565999999999997</v>
      </c>
    </row>
    <row r="1428" spans="1:6" x14ac:dyDescent="0.25">
      <c r="A1428">
        <v>144400</v>
      </c>
      <c r="B1428">
        <v>4.8916000000000004</v>
      </c>
      <c r="E1428">
        <v>144400</v>
      </c>
      <c r="F1428">
        <v>4.2576000000000001</v>
      </c>
    </row>
    <row r="1429" spans="1:6" x14ac:dyDescent="0.25">
      <c r="A1429">
        <v>144500</v>
      </c>
      <c r="B1429">
        <v>4.8922999999999996</v>
      </c>
      <c r="E1429">
        <v>144500</v>
      </c>
      <c r="F1429">
        <v>4.2586000000000004</v>
      </c>
    </row>
    <row r="1430" spans="1:6" x14ac:dyDescent="0.25">
      <c r="A1430">
        <v>144600</v>
      </c>
      <c r="B1430">
        <v>4.8929999999999998</v>
      </c>
      <c r="E1430">
        <v>144600</v>
      </c>
      <c r="F1430">
        <v>4.2595999999999998</v>
      </c>
    </row>
    <row r="1431" spans="1:6" x14ac:dyDescent="0.25">
      <c r="A1431">
        <v>144700</v>
      </c>
      <c r="B1431">
        <v>4.8936999999999999</v>
      </c>
      <c r="E1431">
        <v>144700</v>
      </c>
      <c r="F1431">
        <v>4.2606000000000002</v>
      </c>
    </row>
    <row r="1432" spans="1:6" x14ac:dyDescent="0.25">
      <c r="A1432">
        <v>144800</v>
      </c>
      <c r="B1432">
        <v>4.8944000000000001</v>
      </c>
      <c r="E1432">
        <v>144800</v>
      </c>
      <c r="F1432">
        <v>4.2615999999999996</v>
      </c>
    </row>
    <row r="1433" spans="1:6" x14ac:dyDescent="0.25">
      <c r="A1433">
        <v>144900</v>
      </c>
      <c r="B1433">
        <v>4.8951000000000002</v>
      </c>
      <c r="E1433">
        <v>144900</v>
      </c>
      <c r="F1433">
        <v>4.2625999999999999</v>
      </c>
    </row>
    <row r="1434" spans="1:6" x14ac:dyDescent="0.25">
      <c r="A1434">
        <v>145000</v>
      </c>
      <c r="B1434">
        <v>4.8958000000000004</v>
      </c>
      <c r="E1434">
        <v>145000</v>
      </c>
      <c r="F1434">
        <v>4.2636000000000003</v>
      </c>
    </row>
    <row r="1435" spans="1:6" x14ac:dyDescent="0.25">
      <c r="A1435">
        <v>145100</v>
      </c>
      <c r="B1435">
        <v>4.8964999999999996</v>
      </c>
      <c r="E1435">
        <v>145100</v>
      </c>
      <c r="F1435">
        <v>4.2645</v>
      </c>
    </row>
    <row r="1436" spans="1:6" x14ac:dyDescent="0.25">
      <c r="A1436">
        <v>145200</v>
      </c>
      <c r="B1436">
        <v>4.8971999999999998</v>
      </c>
      <c r="E1436">
        <v>145200</v>
      </c>
      <c r="F1436">
        <v>4.2655000000000003</v>
      </c>
    </row>
    <row r="1437" spans="1:6" x14ac:dyDescent="0.25">
      <c r="A1437">
        <v>145300</v>
      </c>
      <c r="B1437">
        <v>4.8978999999999999</v>
      </c>
      <c r="E1437">
        <v>145300</v>
      </c>
      <c r="F1437">
        <v>4.2664999999999997</v>
      </c>
    </row>
    <row r="1438" spans="1:6" x14ac:dyDescent="0.25">
      <c r="A1438">
        <v>145400</v>
      </c>
      <c r="B1438">
        <v>4.8986000000000001</v>
      </c>
      <c r="E1438">
        <v>145400</v>
      </c>
      <c r="F1438">
        <v>4.2675000000000001</v>
      </c>
    </row>
    <row r="1439" spans="1:6" x14ac:dyDescent="0.25">
      <c r="A1439">
        <v>145500</v>
      </c>
      <c r="B1439">
        <v>4.8992000000000004</v>
      </c>
      <c r="E1439">
        <v>145500</v>
      </c>
      <c r="F1439">
        <v>4.2685000000000004</v>
      </c>
    </row>
    <row r="1440" spans="1:6" x14ac:dyDescent="0.25">
      <c r="A1440">
        <v>145600</v>
      </c>
      <c r="B1440">
        <v>4.8998999999999997</v>
      </c>
      <c r="E1440">
        <v>145600</v>
      </c>
      <c r="F1440">
        <v>4.2694999999999999</v>
      </c>
    </row>
    <row r="1441" spans="1:6" x14ac:dyDescent="0.25">
      <c r="A1441">
        <v>145700</v>
      </c>
      <c r="B1441">
        <v>4.9005999999999998</v>
      </c>
      <c r="E1441">
        <v>145700</v>
      </c>
      <c r="F1441">
        <v>4.2705000000000002</v>
      </c>
    </row>
    <row r="1442" spans="1:6" x14ac:dyDescent="0.25">
      <c r="A1442">
        <v>145800</v>
      </c>
      <c r="B1442">
        <v>4.9013</v>
      </c>
      <c r="E1442">
        <v>145800</v>
      </c>
      <c r="F1442">
        <v>4.2713999999999999</v>
      </c>
    </row>
    <row r="1443" spans="1:6" x14ac:dyDescent="0.25">
      <c r="A1443">
        <v>145900</v>
      </c>
      <c r="B1443">
        <v>4.9020000000000001</v>
      </c>
      <c r="E1443">
        <v>145900</v>
      </c>
      <c r="F1443">
        <v>4.2724000000000002</v>
      </c>
    </row>
    <row r="1444" spans="1:6" x14ac:dyDescent="0.25">
      <c r="A1444">
        <v>146000</v>
      </c>
      <c r="B1444">
        <v>4.9027000000000003</v>
      </c>
      <c r="E1444">
        <v>146000</v>
      </c>
      <c r="F1444">
        <v>4.2733999999999996</v>
      </c>
    </row>
    <row r="1445" spans="1:6" x14ac:dyDescent="0.25">
      <c r="A1445">
        <v>146100</v>
      </c>
      <c r="B1445">
        <v>4.9034000000000004</v>
      </c>
      <c r="E1445">
        <v>146100</v>
      </c>
      <c r="F1445">
        <v>4.2744</v>
      </c>
    </row>
    <row r="1446" spans="1:6" x14ac:dyDescent="0.25">
      <c r="A1446">
        <v>146200</v>
      </c>
      <c r="B1446">
        <v>4.9039999999999999</v>
      </c>
      <c r="E1446">
        <v>146200</v>
      </c>
      <c r="F1446">
        <v>4.2752999999999997</v>
      </c>
    </row>
    <row r="1447" spans="1:6" x14ac:dyDescent="0.25">
      <c r="A1447">
        <v>146300</v>
      </c>
      <c r="B1447">
        <v>4.9047000000000001</v>
      </c>
      <c r="E1447">
        <v>146300</v>
      </c>
      <c r="F1447">
        <v>4.2763</v>
      </c>
    </row>
    <row r="1448" spans="1:6" x14ac:dyDescent="0.25">
      <c r="A1448">
        <v>146400</v>
      </c>
      <c r="B1448">
        <v>4.9054000000000002</v>
      </c>
      <c r="E1448">
        <v>146400</v>
      </c>
      <c r="F1448">
        <v>4.2773000000000003</v>
      </c>
    </row>
    <row r="1449" spans="1:6" x14ac:dyDescent="0.25">
      <c r="A1449">
        <v>146500</v>
      </c>
      <c r="B1449">
        <v>4.9061000000000003</v>
      </c>
      <c r="E1449">
        <v>146500</v>
      </c>
      <c r="F1449">
        <v>4.2782999999999998</v>
      </c>
    </row>
    <row r="1450" spans="1:6" x14ac:dyDescent="0.25">
      <c r="A1450">
        <v>146600</v>
      </c>
      <c r="B1450">
        <v>4.9067999999999996</v>
      </c>
      <c r="E1450">
        <v>146600</v>
      </c>
      <c r="F1450">
        <v>4.2792000000000003</v>
      </c>
    </row>
    <row r="1451" spans="1:6" x14ac:dyDescent="0.25">
      <c r="A1451">
        <v>146700</v>
      </c>
      <c r="B1451">
        <v>4.9074</v>
      </c>
      <c r="E1451">
        <v>146700</v>
      </c>
      <c r="F1451">
        <v>4.2801999999999998</v>
      </c>
    </row>
    <row r="1452" spans="1:6" x14ac:dyDescent="0.25">
      <c r="A1452">
        <v>146800</v>
      </c>
      <c r="B1452">
        <v>4.9081000000000001</v>
      </c>
      <c r="E1452">
        <v>146800</v>
      </c>
      <c r="F1452">
        <v>4.2812000000000001</v>
      </c>
    </row>
    <row r="1453" spans="1:6" x14ac:dyDescent="0.25">
      <c r="A1453">
        <v>146900</v>
      </c>
      <c r="B1453">
        <v>4.9088000000000003</v>
      </c>
      <c r="E1453">
        <v>146900</v>
      </c>
      <c r="F1453">
        <v>4.2820999999999998</v>
      </c>
    </row>
    <row r="1454" spans="1:6" x14ac:dyDescent="0.25">
      <c r="A1454">
        <v>147000</v>
      </c>
      <c r="B1454">
        <v>4.9095000000000004</v>
      </c>
      <c r="E1454">
        <v>147000</v>
      </c>
      <c r="F1454">
        <v>4.2831000000000001</v>
      </c>
    </row>
    <row r="1455" spans="1:6" x14ac:dyDescent="0.25">
      <c r="A1455">
        <v>147100</v>
      </c>
      <c r="B1455">
        <v>4.9100999999999999</v>
      </c>
      <c r="E1455">
        <v>147100</v>
      </c>
      <c r="F1455">
        <v>4.2840999999999996</v>
      </c>
    </row>
    <row r="1456" spans="1:6" x14ac:dyDescent="0.25">
      <c r="A1456">
        <v>147200</v>
      </c>
      <c r="B1456">
        <v>4.9108000000000001</v>
      </c>
      <c r="E1456">
        <v>147200</v>
      </c>
      <c r="F1456">
        <v>4.2850000000000001</v>
      </c>
    </row>
    <row r="1457" spans="1:6" x14ac:dyDescent="0.25">
      <c r="A1457">
        <v>147300</v>
      </c>
      <c r="B1457">
        <v>4.9115000000000002</v>
      </c>
      <c r="E1457">
        <v>147300</v>
      </c>
      <c r="F1457">
        <v>4.2859999999999996</v>
      </c>
    </row>
    <row r="1458" spans="1:6" x14ac:dyDescent="0.25">
      <c r="A1458">
        <v>147400</v>
      </c>
      <c r="B1458">
        <v>4.9120999999999997</v>
      </c>
      <c r="E1458">
        <v>147400</v>
      </c>
      <c r="F1458">
        <v>4.2869000000000002</v>
      </c>
    </row>
    <row r="1459" spans="1:6" x14ac:dyDescent="0.25">
      <c r="A1459">
        <v>147500</v>
      </c>
      <c r="B1459">
        <v>4.9127999999999998</v>
      </c>
      <c r="E1459">
        <v>147500</v>
      </c>
      <c r="F1459">
        <v>4.2878999999999996</v>
      </c>
    </row>
    <row r="1460" spans="1:6" x14ac:dyDescent="0.25">
      <c r="A1460">
        <v>147600</v>
      </c>
      <c r="B1460">
        <v>4.9135</v>
      </c>
      <c r="E1460">
        <v>147600</v>
      </c>
      <c r="F1460">
        <v>4.2888999999999999</v>
      </c>
    </row>
    <row r="1461" spans="1:6" x14ac:dyDescent="0.25">
      <c r="A1461">
        <v>147700</v>
      </c>
      <c r="B1461">
        <v>4.9142000000000001</v>
      </c>
      <c r="E1461">
        <v>147700</v>
      </c>
      <c r="F1461">
        <v>4.2897999999999996</v>
      </c>
    </row>
    <row r="1462" spans="1:6" x14ac:dyDescent="0.25">
      <c r="A1462">
        <v>147800</v>
      </c>
      <c r="B1462">
        <v>4.9147999999999996</v>
      </c>
      <c r="E1462">
        <v>147800</v>
      </c>
      <c r="F1462">
        <v>4.2907999999999999</v>
      </c>
    </row>
    <row r="1463" spans="1:6" x14ac:dyDescent="0.25">
      <c r="A1463">
        <v>147900</v>
      </c>
      <c r="B1463">
        <v>4.9154999999999998</v>
      </c>
      <c r="E1463">
        <v>147900</v>
      </c>
      <c r="F1463">
        <v>4.2916999999999996</v>
      </c>
    </row>
    <row r="1464" spans="1:6" x14ac:dyDescent="0.25">
      <c r="A1464">
        <v>148000</v>
      </c>
      <c r="B1464">
        <v>4.9161000000000001</v>
      </c>
      <c r="E1464">
        <v>148000</v>
      </c>
      <c r="F1464">
        <v>4.2927</v>
      </c>
    </row>
    <row r="1465" spans="1:6" x14ac:dyDescent="0.25">
      <c r="A1465">
        <v>148100</v>
      </c>
      <c r="B1465">
        <v>4.9168000000000003</v>
      </c>
      <c r="E1465">
        <v>148100</v>
      </c>
      <c r="F1465">
        <v>4.2935999999999996</v>
      </c>
    </row>
    <row r="1466" spans="1:6" x14ac:dyDescent="0.25">
      <c r="A1466">
        <v>148200</v>
      </c>
      <c r="B1466">
        <v>4.9175000000000004</v>
      </c>
      <c r="E1466">
        <v>148200</v>
      </c>
      <c r="F1466">
        <v>4.2946</v>
      </c>
    </row>
    <row r="1467" spans="1:6" x14ac:dyDescent="0.25">
      <c r="A1467">
        <v>148300</v>
      </c>
      <c r="B1467">
        <v>4.9180999999999999</v>
      </c>
      <c r="E1467">
        <v>148300</v>
      </c>
      <c r="F1467">
        <v>4.2954999999999997</v>
      </c>
    </row>
    <row r="1468" spans="1:6" x14ac:dyDescent="0.25">
      <c r="A1468">
        <v>148400</v>
      </c>
      <c r="B1468">
        <v>4.9188000000000001</v>
      </c>
      <c r="E1468">
        <v>148400</v>
      </c>
      <c r="F1468">
        <v>4.2965</v>
      </c>
    </row>
    <row r="1469" spans="1:6" x14ac:dyDescent="0.25">
      <c r="A1469">
        <v>148500</v>
      </c>
      <c r="B1469">
        <v>4.9195000000000002</v>
      </c>
      <c r="E1469">
        <v>148500</v>
      </c>
      <c r="F1469">
        <v>4.2973999999999997</v>
      </c>
    </row>
    <row r="1470" spans="1:6" x14ac:dyDescent="0.25">
      <c r="A1470">
        <v>148600</v>
      </c>
      <c r="B1470">
        <v>4.9200999999999997</v>
      </c>
      <c r="E1470">
        <v>148600</v>
      </c>
      <c r="F1470">
        <v>4.2984</v>
      </c>
    </row>
    <row r="1471" spans="1:6" x14ac:dyDescent="0.25">
      <c r="A1471">
        <v>148700</v>
      </c>
      <c r="B1471">
        <v>4.9207999999999998</v>
      </c>
      <c r="E1471">
        <v>148700</v>
      </c>
      <c r="F1471">
        <v>4.2992999999999997</v>
      </c>
    </row>
    <row r="1472" spans="1:6" x14ac:dyDescent="0.25">
      <c r="A1472">
        <v>148800</v>
      </c>
      <c r="B1472">
        <v>4.9214000000000002</v>
      </c>
      <c r="E1472">
        <v>148800</v>
      </c>
      <c r="F1472">
        <v>4.3002000000000002</v>
      </c>
    </row>
    <row r="1473" spans="1:6" x14ac:dyDescent="0.25">
      <c r="A1473">
        <v>148900</v>
      </c>
      <c r="B1473">
        <v>4.9221000000000004</v>
      </c>
      <c r="E1473">
        <v>148900</v>
      </c>
      <c r="F1473">
        <v>4.3011999999999997</v>
      </c>
    </row>
    <row r="1474" spans="1:6" x14ac:dyDescent="0.25">
      <c r="A1474">
        <v>149000</v>
      </c>
      <c r="B1474">
        <v>4.9227999999999996</v>
      </c>
      <c r="E1474">
        <v>149000</v>
      </c>
      <c r="F1474">
        <v>4.3021000000000003</v>
      </c>
    </row>
    <row r="1475" spans="1:6" x14ac:dyDescent="0.25">
      <c r="A1475">
        <v>149100</v>
      </c>
      <c r="B1475">
        <v>4.9234</v>
      </c>
      <c r="E1475">
        <v>149100</v>
      </c>
      <c r="F1475">
        <v>4.3030999999999997</v>
      </c>
    </row>
    <row r="1476" spans="1:6" x14ac:dyDescent="0.25">
      <c r="A1476">
        <v>149200</v>
      </c>
      <c r="B1476">
        <v>4.9241000000000001</v>
      </c>
      <c r="E1476">
        <v>149200</v>
      </c>
      <c r="F1476">
        <v>4.3040000000000003</v>
      </c>
    </row>
    <row r="1477" spans="1:6" x14ac:dyDescent="0.25">
      <c r="A1477">
        <v>149300</v>
      </c>
      <c r="B1477">
        <v>4.9246999999999996</v>
      </c>
      <c r="E1477">
        <v>149300</v>
      </c>
      <c r="F1477">
        <v>4.3048999999999999</v>
      </c>
    </row>
    <row r="1478" spans="1:6" x14ac:dyDescent="0.25">
      <c r="A1478">
        <v>149400</v>
      </c>
      <c r="B1478">
        <v>4.9253999999999998</v>
      </c>
      <c r="E1478">
        <v>149400</v>
      </c>
      <c r="F1478">
        <v>4.3059000000000003</v>
      </c>
    </row>
    <row r="1479" spans="1:6" x14ac:dyDescent="0.25">
      <c r="A1479">
        <v>149500</v>
      </c>
      <c r="B1479">
        <v>4.9260000000000002</v>
      </c>
      <c r="E1479">
        <v>149500</v>
      </c>
      <c r="F1479">
        <v>4.3068</v>
      </c>
    </row>
    <row r="1480" spans="1:6" x14ac:dyDescent="0.25">
      <c r="A1480">
        <v>149600</v>
      </c>
      <c r="B1480">
        <v>4.9267000000000003</v>
      </c>
      <c r="E1480">
        <v>149600</v>
      </c>
      <c r="F1480">
        <v>4.3076999999999996</v>
      </c>
    </row>
    <row r="1481" spans="1:6" x14ac:dyDescent="0.25">
      <c r="A1481">
        <v>149700</v>
      </c>
      <c r="B1481">
        <v>4.9272999999999998</v>
      </c>
      <c r="E1481">
        <v>149700</v>
      </c>
      <c r="F1481">
        <v>4.3087</v>
      </c>
    </row>
    <row r="1482" spans="1:6" x14ac:dyDescent="0.25">
      <c r="A1482">
        <v>149800</v>
      </c>
      <c r="B1482">
        <v>4.9279999999999999</v>
      </c>
      <c r="E1482">
        <v>149800</v>
      </c>
      <c r="F1482">
        <v>4.3095999999999997</v>
      </c>
    </row>
    <row r="1483" spans="1:6" x14ac:dyDescent="0.25">
      <c r="A1483">
        <v>149900</v>
      </c>
      <c r="B1483">
        <v>4.9286000000000003</v>
      </c>
      <c r="E1483">
        <v>149900</v>
      </c>
      <c r="F1483">
        <v>4.3105000000000002</v>
      </c>
    </row>
    <row r="1484" spans="1:6" x14ac:dyDescent="0.25">
      <c r="A1484">
        <v>150000</v>
      </c>
      <c r="B1484">
        <v>4.9292999999999996</v>
      </c>
      <c r="E1484">
        <v>150000</v>
      </c>
      <c r="F1484">
        <v>4.3113999999999999</v>
      </c>
    </row>
    <row r="1485" spans="1:6" x14ac:dyDescent="0.25">
      <c r="A1485">
        <v>150100</v>
      </c>
      <c r="B1485">
        <v>4.9298999999999999</v>
      </c>
      <c r="E1485">
        <v>150100</v>
      </c>
      <c r="F1485">
        <v>4.3124000000000002</v>
      </c>
    </row>
    <row r="1486" spans="1:6" x14ac:dyDescent="0.25">
      <c r="A1486">
        <v>150200</v>
      </c>
      <c r="B1486">
        <v>4.9306000000000001</v>
      </c>
      <c r="E1486">
        <v>150200</v>
      </c>
      <c r="F1486">
        <v>4.3132999999999999</v>
      </c>
    </row>
    <row r="1487" spans="1:6" x14ac:dyDescent="0.25">
      <c r="A1487">
        <v>150300</v>
      </c>
      <c r="B1487">
        <v>4.9311999999999996</v>
      </c>
      <c r="E1487">
        <v>150300</v>
      </c>
      <c r="F1487">
        <v>4.3141999999999996</v>
      </c>
    </row>
    <row r="1488" spans="1:6" x14ac:dyDescent="0.25">
      <c r="A1488">
        <v>150400</v>
      </c>
      <c r="B1488">
        <v>4.9318</v>
      </c>
      <c r="E1488">
        <v>150400</v>
      </c>
      <c r="F1488">
        <v>4.3151000000000002</v>
      </c>
    </row>
    <row r="1489" spans="1:6" x14ac:dyDescent="0.25">
      <c r="A1489">
        <v>150500</v>
      </c>
      <c r="B1489">
        <v>4.9325000000000001</v>
      </c>
      <c r="E1489">
        <v>150500</v>
      </c>
      <c r="F1489">
        <v>4.3159999999999998</v>
      </c>
    </row>
    <row r="1490" spans="1:6" x14ac:dyDescent="0.25">
      <c r="A1490">
        <v>150600</v>
      </c>
      <c r="B1490">
        <v>4.9330999999999996</v>
      </c>
      <c r="E1490">
        <v>150600</v>
      </c>
      <c r="F1490">
        <v>4.3170000000000002</v>
      </c>
    </row>
    <row r="1491" spans="1:6" x14ac:dyDescent="0.25">
      <c r="A1491">
        <v>150700</v>
      </c>
      <c r="B1491">
        <v>4.9337999999999997</v>
      </c>
      <c r="E1491">
        <v>150700</v>
      </c>
      <c r="F1491">
        <v>4.3178999999999998</v>
      </c>
    </row>
    <row r="1492" spans="1:6" x14ac:dyDescent="0.25">
      <c r="A1492">
        <v>150800</v>
      </c>
      <c r="B1492">
        <v>4.9344000000000001</v>
      </c>
      <c r="E1492">
        <v>150800</v>
      </c>
      <c r="F1492">
        <v>4.3188000000000004</v>
      </c>
    </row>
    <row r="1493" spans="1:6" x14ac:dyDescent="0.25">
      <c r="A1493">
        <v>150900</v>
      </c>
      <c r="B1493">
        <v>4.9351000000000003</v>
      </c>
      <c r="E1493">
        <v>150900</v>
      </c>
      <c r="F1493">
        <v>4.3197000000000001</v>
      </c>
    </row>
    <row r="1494" spans="1:6" x14ac:dyDescent="0.25">
      <c r="A1494">
        <v>151000</v>
      </c>
      <c r="B1494">
        <v>4.9356999999999998</v>
      </c>
      <c r="E1494">
        <v>151000</v>
      </c>
      <c r="F1494">
        <v>4.3205999999999998</v>
      </c>
    </row>
    <row r="1495" spans="1:6" x14ac:dyDescent="0.25">
      <c r="A1495">
        <v>151100</v>
      </c>
      <c r="B1495">
        <v>4.9363000000000001</v>
      </c>
      <c r="E1495">
        <v>151100</v>
      </c>
      <c r="F1495">
        <v>4.3215000000000003</v>
      </c>
    </row>
    <row r="1496" spans="1:6" x14ac:dyDescent="0.25">
      <c r="A1496">
        <v>151200</v>
      </c>
      <c r="B1496">
        <v>4.9370000000000003</v>
      </c>
      <c r="E1496">
        <v>151200</v>
      </c>
      <c r="F1496">
        <v>4.3224999999999998</v>
      </c>
    </row>
    <row r="1497" spans="1:6" x14ac:dyDescent="0.25">
      <c r="A1497">
        <v>151300</v>
      </c>
      <c r="B1497">
        <v>4.9375999999999998</v>
      </c>
      <c r="E1497">
        <v>151300</v>
      </c>
      <c r="F1497">
        <v>4.3234000000000004</v>
      </c>
    </row>
    <row r="1498" spans="1:6" x14ac:dyDescent="0.25">
      <c r="A1498">
        <v>151400</v>
      </c>
      <c r="B1498">
        <v>4.9382000000000001</v>
      </c>
      <c r="E1498">
        <v>151400</v>
      </c>
      <c r="F1498">
        <v>4.3243</v>
      </c>
    </row>
    <row r="1499" spans="1:6" x14ac:dyDescent="0.25">
      <c r="A1499">
        <v>151500</v>
      </c>
      <c r="B1499">
        <v>4.9389000000000003</v>
      </c>
      <c r="E1499">
        <v>151500</v>
      </c>
      <c r="F1499">
        <v>4.3251999999999997</v>
      </c>
    </row>
    <row r="1500" spans="1:6" x14ac:dyDescent="0.25">
      <c r="A1500">
        <v>151600</v>
      </c>
      <c r="B1500">
        <v>4.9394999999999998</v>
      </c>
      <c r="E1500">
        <v>151600</v>
      </c>
      <c r="F1500">
        <v>4.3261000000000003</v>
      </c>
    </row>
    <row r="1501" spans="1:6" x14ac:dyDescent="0.25">
      <c r="A1501">
        <v>151700</v>
      </c>
      <c r="B1501">
        <v>4.9401000000000002</v>
      </c>
      <c r="E1501">
        <v>151700</v>
      </c>
      <c r="F1501">
        <v>4.327</v>
      </c>
    </row>
    <row r="1502" spans="1:6" x14ac:dyDescent="0.25">
      <c r="A1502">
        <v>151800</v>
      </c>
      <c r="B1502">
        <v>4.9408000000000003</v>
      </c>
      <c r="E1502">
        <v>151800</v>
      </c>
      <c r="F1502">
        <v>4.3278999999999996</v>
      </c>
    </row>
    <row r="1503" spans="1:6" x14ac:dyDescent="0.25">
      <c r="A1503">
        <v>151900</v>
      </c>
      <c r="B1503">
        <v>4.9413999999999998</v>
      </c>
      <c r="E1503">
        <v>151900</v>
      </c>
      <c r="F1503">
        <v>4.3288000000000002</v>
      </c>
    </row>
    <row r="1504" spans="1:6" x14ac:dyDescent="0.25">
      <c r="A1504">
        <v>152000</v>
      </c>
      <c r="B1504">
        <v>4.9420000000000002</v>
      </c>
      <c r="E1504">
        <v>152000</v>
      </c>
      <c r="F1504">
        <v>4.3296999999999999</v>
      </c>
    </row>
    <row r="1505" spans="1:6" x14ac:dyDescent="0.25">
      <c r="A1505">
        <v>152100</v>
      </c>
      <c r="B1505">
        <v>4.9427000000000003</v>
      </c>
      <c r="E1505">
        <v>152100</v>
      </c>
      <c r="F1505">
        <v>4.3305999999999996</v>
      </c>
    </row>
    <row r="1506" spans="1:6" x14ac:dyDescent="0.25">
      <c r="A1506">
        <v>152200</v>
      </c>
      <c r="B1506">
        <v>4.9432999999999998</v>
      </c>
      <c r="E1506">
        <v>152200</v>
      </c>
      <c r="F1506">
        <v>4.3315000000000001</v>
      </c>
    </row>
    <row r="1507" spans="1:6" x14ac:dyDescent="0.25">
      <c r="A1507">
        <v>152300</v>
      </c>
      <c r="B1507">
        <v>4.9439000000000002</v>
      </c>
      <c r="E1507">
        <v>152300</v>
      </c>
      <c r="F1507">
        <v>4.3323999999999998</v>
      </c>
    </row>
    <row r="1508" spans="1:6" x14ac:dyDescent="0.25">
      <c r="A1508">
        <v>152400</v>
      </c>
      <c r="B1508">
        <v>4.9446000000000003</v>
      </c>
      <c r="E1508">
        <v>152400</v>
      </c>
      <c r="F1508">
        <v>4.3333000000000004</v>
      </c>
    </row>
    <row r="1509" spans="1:6" x14ac:dyDescent="0.25">
      <c r="A1509">
        <v>152500</v>
      </c>
      <c r="B1509">
        <v>4.9451999999999998</v>
      </c>
      <c r="E1509">
        <v>152500</v>
      </c>
      <c r="F1509">
        <v>4.3342000000000001</v>
      </c>
    </row>
    <row r="1510" spans="1:6" x14ac:dyDescent="0.25">
      <c r="A1510">
        <v>152600</v>
      </c>
      <c r="B1510">
        <v>4.9458000000000002</v>
      </c>
      <c r="E1510">
        <v>152600</v>
      </c>
      <c r="F1510">
        <v>4.3350999999999997</v>
      </c>
    </row>
    <row r="1511" spans="1:6" x14ac:dyDescent="0.25">
      <c r="A1511">
        <v>152700</v>
      </c>
      <c r="B1511">
        <v>4.9463999999999997</v>
      </c>
      <c r="E1511">
        <v>152700</v>
      </c>
      <c r="F1511">
        <v>4.3360000000000003</v>
      </c>
    </row>
    <row r="1512" spans="1:6" x14ac:dyDescent="0.25">
      <c r="A1512">
        <v>152800</v>
      </c>
      <c r="B1512">
        <v>4.9470999999999998</v>
      </c>
      <c r="E1512">
        <v>152800</v>
      </c>
      <c r="F1512">
        <v>4.3369</v>
      </c>
    </row>
    <row r="1513" spans="1:6" x14ac:dyDescent="0.25">
      <c r="A1513">
        <v>152900</v>
      </c>
      <c r="B1513">
        <v>4.9477000000000002</v>
      </c>
      <c r="E1513">
        <v>152900</v>
      </c>
      <c r="F1513">
        <v>4.3377999999999997</v>
      </c>
    </row>
    <row r="1514" spans="1:6" x14ac:dyDescent="0.25">
      <c r="A1514">
        <v>153000</v>
      </c>
      <c r="B1514">
        <v>4.9482999999999997</v>
      </c>
      <c r="E1514">
        <v>153000</v>
      </c>
      <c r="F1514">
        <v>4.3387000000000002</v>
      </c>
    </row>
    <row r="1515" spans="1:6" x14ac:dyDescent="0.25">
      <c r="A1515">
        <v>153100</v>
      </c>
      <c r="B1515">
        <v>4.9489000000000001</v>
      </c>
      <c r="E1515">
        <v>153100</v>
      </c>
      <c r="F1515">
        <v>4.3395000000000001</v>
      </c>
    </row>
    <row r="1516" spans="1:6" x14ac:dyDescent="0.25">
      <c r="A1516">
        <v>153200</v>
      </c>
      <c r="B1516">
        <v>4.9494999999999996</v>
      </c>
      <c r="E1516">
        <v>153200</v>
      </c>
      <c r="F1516">
        <v>4.3403999999999998</v>
      </c>
    </row>
    <row r="1517" spans="1:6" x14ac:dyDescent="0.25">
      <c r="A1517">
        <v>153300</v>
      </c>
      <c r="B1517">
        <v>4.9501999999999997</v>
      </c>
      <c r="E1517">
        <v>153300</v>
      </c>
      <c r="F1517">
        <v>4.3413000000000004</v>
      </c>
    </row>
    <row r="1518" spans="1:6" x14ac:dyDescent="0.25">
      <c r="A1518">
        <v>153400</v>
      </c>
      <c r="B1518">
        <v>4.9508000000000001</v>
      </c>
      <c r="E1518">
        <v>153400</v>
      </c>
      <c r="F1518">
        <v>4.3422000000000001</v>
      </c>
    </row>
    <row r="1519" spans="1:6" x14ac:dyDescent="0.25">
      <c r="A1519">
        <v>153500</v>
      </c>
      <c r="B1519">
        <v>4.9513999999999996</v>
      </c>
      <c r="E1519">
        <v>153500</v>
      </c>
      <c r="F1519">
        <v>4.3430999999999997</v>
      </c>
    </row>
    <row r="1520" spans="1:6" x14ac:dyDescent="0.25">
      <c r="A1520">
        <v>153600</v>
      </c>
      <c r="B1520">
        <v>4.952</v>
      </c>
      <c r="E1520">
        <v>153600</v>
      </c>
      <c r="F1520">
        <v>4.3440000000000003</v>
      </c>
    </row>
    <row r="1521" spans="1:6" x14ac:dyDescent="0.25">
      <c r="A1521">
        <v>153700</v>
      </c>
      <c r="B1521">
        <v>4.9526000000000003</v>
      </c>
      <c r="E1521">
        <v>153700</v>
      </c>
      <c r="F1521">
        <v>4.3449</v>
      </c>
    </row>
    <row r="1522" spans="1:6" x14ac:dyDescent="0.25">
      <c r="A1522">
        <v>153800</v>
      </c>
      <c r="B1522">
        <v>4.9532999999999996</v>
      </c>
      <c r="E1522">
        <v>153800</v>
      </c>
      <c r="F1522">
        <v>4.3456999999999999</v>
      </c>
    </row>
    <row r="1523" spans="1:6" x14ac:dyDescent="0.25">
      <c r="A1523">
        <v>153900</v>
      </c>
      <c r="B1523">
        <v>4.9539</v>
      </c>
      <c r="E1523">
        <v>153900</v>
      </c>
      <c r="F1523">
        <v>4.3465999999999996</v>
      </c>
    </row>
    <row r="1524" spans="1:6" x14ac:dyDescent="0.25">
      <c r="A1524">
        <v>154000</v>
      </c>
      <c r="B1524">
        <v>4.9545000000000003</v>
      </c>
      <c r="E1524">
        <v>154000</v>
      </c>
      <c r="F1524">
        <v>4.3475000000000001</v>
      </c>
    </row>
    <row r="1525" spans="1:6" x14ac:dyDescent="0.25">
      <c r="A1525">
        <v>154100</v>
      </c>
      <c r="B1525">
        <v>4.9550999999999998</v>
      </c>
      <c r="E1525">
        <v>154100</v>
      </c>
      <c r="F1525">
        <v>4.3483999999999998</v>
      </c>
    </row>
    <row r="1526" spans="1:6" x14ac:dyDescent="0.25">
      <c r="A1526">
        <v>154200</v>
      </c>
      <c r="B1526">
        <v>4.9557000000000002</v>
      </c>
      <c r="E1526">
        <v>154200</v>
      </c>
      <c r="F1526">
        <v>4.3493000000000004</v>
      </c>
    </row>
    <row r="1527" spans="1:6" x14ac:dyDescent="0.25">
      <c r="A1527">
        <v>154300</v>
      </c>
      <c r="B1527">
        <v>4.9562999999999997</v>
      </c>
      <c r="E1527">
        <v>154300</v>
      </c>
      <c r="F1527">
        <v>4.3501000000000003</v>
      </c>
    </row>
    <row r="1528" spans="1:6" x14ac:dyDescent="0.25">
      <c r="A1528">
        <v>154400</v>
      </c>
      <c r="B1528">
        <v>4.9569000000000001</v>
      </c>
      <c r="E1528">
        <v>154400</v>
      </c>
      <c r="F1528">
        <v>4.351</v>
      </c>
    </row>
    <row r="1529" spans="1:6" x14ac:dyDescent="0.25">
      <c r="A1529">
        <v>154500</v>
      </c>
      <c r="B1529">
        <v>4.9574999999999996</v>
      </c>
      <c r="E1529">
        <v>154500</v>
      </c>
      <c r="F1529">
        <v>4.3518999999999997</v>
      </c>
    </row>
    <row r="1530" spans="1:6" x14ac:dyDescent="0.25">
      <c r="A1530">
        <v>154600</v>
      </c>
      <c r="B1530">
        <v>4.9581999999999997</v>
      </c>
      <c r="E1530">
        <v>154600</v>
      </c>
      <c r="F1530">
        <v>4.3526999999999996</v>
      </c>
    </row>
    <row r="1531" spans="1:6" x14ac:dyDescent="0.25">
      <c r="A1531">
        <v>154700</v>
      </c>
      <c r="B1531">
        <v>4.9588000000000001</v>
      </c>
      <c r="E1531">
        <v>154700</v>
      </c>
      <c r="F1531">
        <v>4.3536000000000001</v>
      </c>
    </row>
    <row r="1532" spans="1:6" x14ac:dyDescent="0.25">
      <c r="A1532">
        <v>154800</v>
      </c>
      <c r="B1532">
        <v>4.9593999999999996</v>
      </c>
      <c r="E1532">
        <v>154800</v>
      </c>
      <c r="F1532">
        <v>4.3544999999999998</v>
      </c>
    </row>
    <row r="1533" spans="1:6" x14ac:dyDescent="0.25">
      <c r="A1533">
        <v>154900</v>
      </c>
      <c r="B1533">
        <v>4.96</v>
      </c>
      <c r="E1533">
        <v>154900</v>
      </c>
      <c r="F1533">
        <v>4.3554000000000004</v>
      </c>
    </row>
    <row r="1534" spans="1:6" x14ac:dyDescent="0.25">
      <c r="A1534">
        <v>155000</v>
      </c>
      <c r="B1534">
        <v>4.9606000000000003</v>
      </c>
      <c r="E1534">
        <v>155000</v>
      </c>
      <c r="F1534">
        <v>4.3562000000000003</v>
      </c>
    </row>
    <row r="1535" spans="1:6" x14ac:dyDescent="0.25">
      <c r="A1535">
        <v>155100</v>
      </c>
      <c r="B1535">
        <v>4.9611999999999998</v>
      </c>
      <c r="E1535">
        <v>155100</v>
      </c>
      <c r="F1535">
        <v>4.3571</v>
      </c>
    </row>
    <row r="1536" spans="1:6" x14ac:dyDescent="0.25">
      <c r="A1536">
        <v>155200</v>
      </c>
      <c r="B1536">
        <v>4.9618000000000002</v>
      </c>
      <c r="E1536">
        <v>155200</v>
      </c>
      <c r="F1536">
        <v>4.3579999999999997</v>
      </c>
    </row>
    <row r="1537" spans="1:6" x14ac:dyDescent="0.25">
      <c r="A1537">
        <v>155300</v>
      </c>
      <c r="B1537">
        <v>4.9623999999999997</v>
      </c>
      <c r="E1537">
        <v>155300</v>
      </c>
      <c r="F1537">
        <v>4.3587999999999996</v>
      </c>
    </row>
    <row r="1538" spans="1:6" x14ac:dyDescent="0.25">
      <c r="A1538">
        <v>155400</v>
      </c>
      <c r="B1538">
        <v>4.9630000000000001</v>
      </c>
      <c r="E1538">
        <v>155400</v>
      </c>
      <c r="F1538">
        <v>4.3597000000000001</v>
      </c>
    </row>
    <row r="1539" spans="1:6" x14ac:dyDescent="0.25">
      <c r="A1539">
        <v>155500</v>
      </c>
      <c r="B1539">
        <v>4.9635999999999996</v>
      </c>
      <c r="E1539">
        <v>155500</v>
      </c>
      <c r="F1539">
        <v>4.3605</v>
      </c>
    </row>
    <row r="1540" spans="1:6" x14ac:dyDescent="0.25">
      <c r="A1540">
        <v>155600</v>
      </c>
      <c r="B1540">
        <v>4.9641999999999999</v>
      </c>
      <c r="E1540">
        <v>155600</v>
      </c>
      <c r="F1540">
        <v>4.3613999999999997</v>
      </c>
    </row>
    <row r="1541" spans="1:6" x14ac:dyDescent="0.25">
      <c r="A1541">
        <v>155700</v>
      </c>
      <c r="B1541">
        <v>4.9648000000000003</v>
      </c>
      <c r="E1541">
        <v>155700</v>
      </c>
      <c r="F1541">
        <v>4.3623000000000003</v>
      </c>
    </row>
    <row r="1542" spans="1:6" x14ac:dyDescent="0.25">
      <c r="A1542">
        <v>155800</v>
      </c>
      <c r="B1542">
        <v>4.9653999999999998</v>
      </c>
      <c r="E1542">
        <v>155800</v>
      </c>
      <c r="F1542">
        <v>4.3631000000000002</v>
      </c>
    </row>
    <row r="1543" spans="1:6" x14ac:dyDescent="0.25">
      <c r="A1543">
        <v>155900</v>
      </c>
      <c r="B1543">
        <v>4.9660000000000002</v>
      </c>
      <c r="E1543">
        <v>155900</v>
      </c>
      <c r="F1543">
        <v>4.3639999999999999</v>
      </c>
    </row>
    <row r="1544" spans="1:6" x14ac:dyDescent="0.25">
      <c r="A1544">
        <v>156000</v>
      </c>
      <c r="B1544">
        <v>4.9665999999999997</v>
      </c>
      <c r="E1544">
        <v>156000</v>
      </c>
      <c r="F1544">
        <v>4.3647999999999998</v>
      </c>
    </row>
    <row r="1545" spans="1:6" x14ac:dyDescent="0.25">
      <c r="A1545">
        <v>156100</v>
      </c>
      <c r="B1545">
        <v>4.9672000000000001</v>
      </c>
      <c r="E1545">
        <v>156100</v>
      </c>
      <c r="F1545">
        <v>4.3657000000000004</v>
      </c>
    </row>
    <row r="1546" spans="1:6" x14ac:dyDescent="0.25">
      <c r="A1546">
        <v>156200</v>
      </c>
      <c r="B1546">
        <v>4.9678000000000004</v>
      </c>
      <c r="E1546">
        <v>156200</v>
      </c>
      <c r="F1546">
        <v>4.3665000000000003</v>
      </c>
    </row>
    <row r="1547" spans="1:6" x14ac:dyDescent="0.25">
      <c r="A1547">
        <v>156300</v>
      </c>
      <c r="B1547">
        <v>4.9683999999999999</v>
      </c>
      <c r="E1547">
        <v>156300</v>
      </c>
      <c r="F1547">
        <v>4.3673999999999999</v>
      </c>
    </row>
    <row r="1548" spans="1:6" x14ac:dyDescent="0.25">
      <c r="A1548">
        <v>156400</v>
      </c>
      <c r="B1548">
        <v>4.9690000000000003</v>
      </c>
      <c r="E1548">
        <v>156400</v>
      </c>
      <c r="F1548">
        <v>4.3682999999999996</v>
      </c>
    </row>
    <row r="1549" spans="1:6" x14ac:dyDescent="0.25">
      <c r="A1549">
        <v>156500</v>
      </c>
      <c r="B1549">
        <v>4.9695999999999998</v>
      </c>
      <c r="E1549">
        <v>156500</v>
      </c>
      <c r="F1549">
        <v>4.3691000000000004</v>
      </c>
    </row>
    <row r="1550" spans="1:6" x14ac:dyDescent="0.25">
      <c r="A1550">
        <v>156600</v>
      </c>
      <c r="B1550">
        <v>4.9702000000000002</v>
      </c>
      <c r="E1550">
        <v>156600</v>
      </c>
      <c r="F1550">
        <v>4.37</v>
      </c>
    </row>
    <row r="1551" spans="1:6" x14ac:dyDescent="0.25">
      <c r="A1551">
        <v>156700</v>
      </c>
      <c r="B1551">
        <v>4.9707999999999997</v>
      </c>
      <c r="E1551">
        <v>156700</v>
      </c>
      <c r="F1551">
        <v>4.3708</v>
      </c>
    </row>
    <row r="1552" spans="1:6" x14ac:dyDescent="0.25">
      <c r="A1552">
        <v>156800</v>
      </c>
      <c r="B1552">
        <v>4.9714</v>
      </c>
      <c r="E1552">
        <v>156800</v>
      </c>
      <c r="F1552">
        <v>4.3716999999999997</v>
      </c>
    </row>
    <row r="1553" spans="1:6" x14ac:dyDescent="0.25">
      <c r="A1553">
        <v>156900</v>
      </c>
      <c r="B1553">
        <v>4.9720000000000004</v>
      </c>
      <c r="E1553">
        <v>156900</v>
      </c>
      <c r="F1553">
        <v>4.3724999999999996</v>
      </c>
    </row>
    <row r="1554" spans="1:6" x14ac:dyDescent="0.25">
      <c r="A1554">
        <v>157000</v>
      </c>
      <c r="B1554">
        <v>4.9725000000000001</v>
      </c>
      <c r="E1554">
        <v>157000</v>
      </c>
      <c r="F1554">
        <v>4.3733000000000004</v>
      </c>
    </row>
    <row r="1555" spans="1:6" x14ac:dyDescent="0.25">
      <c r="A1555">
        <v>157100</v>
      </c>
      <c r="B1555">
        <v>4.9730999999999996</v>
      </c>
      <c r="E1555">
        <v>157100</v>
      </c>
      <c r="F1555">
        <v>4.3742000000000001</v>
      </c>
    </row>
    <row r="1556" spans="1:6" x14ac:dyDescent="0.25">
      <c r="A1556">
        <v>157200</v>
      </c>
      <c r="B1556">
        <v>4.9737</v>
      </c>
      <c r="E1556">
        <v>157200</v>
      </c>
      <c r="F1556">
        <v>4.375</v>
      </c>
    </row>
    <row r="1557" spans="1:6" x14ac:dyDescent="0.25">
      <c r="A1557">
        <v>157300</v>
      </c>
      <c r="B1557">
        <v>4.9743000000000004</v>
      </c>
      <c r="E1557">
        <v>157300</v>
      </c>
      <c r="F1557">
        <v>4.3758999999999997</v>
      </c>
    </row>
    <row r="1558" spans="1:6" x14ac:dyDescent="0.25">
      <c r="A1558">
        <v>157400</v>
      </c>
      <c r="B1558">
        <v>4.9748999999999999</v>
      </c>
      <c r="E1558">
        <v>157400</v>
      </c>
      <c r="F1558">
        <v>4.3766999999999996</v>
      </c>
    </row>
    <row r="1559" spans="1:6" x14ac:dyDescent="0.25">
      <c r="A1559">
        <v>157500</v>
      </c>
      <c r="B1559">
        <v>4.9755000000000003</v>
      </c>
      <c r="E1559">
        <v>157500</v>
      </c>
      <c r="F1559">
        <v>4.3776000000000002</v>
      </c>
    </row>
    <row r="1560" spans="1:6" x14ac:dyDescent="0.25">
      <c r="A1560">
        <v>157600</v>
      </c>
      <c r="B1560">
        <v>4.9760999999999997</v>
      </c>
      <c r="E1560">
        <v>157600</v>
      </c>
      <c r="F1560">
        <v>4.3784000000000001</v>
      </c>
    </row>
    <row r="1561" spans="1:6" x14ac:dyDescent="0.25">
      <c r="A1561">
        <v>157700</v>
      </c>
      <c r="B1561">
        <v>4.9767000000000001</v>
      </c>
      <c r="E1561">
        <v>157700</v>
      </c>
      <c r="F1561">
        <v>4.3792</v>
      </c>
    </row>
    <row r="1562" spans="1:6" x14ac:dyDescent="0.25">
      <c r="A1562">
        <v>157800</v>
      </c>
      <c r="B1562">
        <v>4.9771999999999998</v>
      </c>
      <c r="E1562">
        <v>157800</v>
      </c>
      <c r="F1562">
        <v>4.3800999999999997</v>
      </c>
    </row>
    <row r="1563" spans="1:6" x14ac:dyDescent="0.25">
      <c r="A1563">
        <v>157900</v>
      </c>
      <c r="B1563">
        <v>4.9778000000000002</v>
      </c>
      <c r="E1563">
        <v>157900</v>
      </c>
      <c r="F1563">
        <v>4.3808999999999996</v>
      </c>
    </row>
    <row r="1564" spans="1:6" x14ac:dyDescent="0.25">
      <c r="A1564">
        <v>158000</v>
      </c>
      <c r="B1564">
        <v>4.9783999999999997</v>
      </c>
      <c r="E1564">
        <v>158000</v>
      </c>
      <c r="F1564">
        <v>4.3817000000000004</v>
      </c>
    </row>
    <row r="1565" spans="1:6" x14ac:dyDescent="0.25">
      <c r="A1565">
        <v>158100</v>
      </c>
      <c r="B1565">
        <v>4.9790000000000001</v>
      </c>
      <c r="E1565">
        <v>158100</v>
      </c>
      <c r="F1565">
        <v>4.3826000000000001</v>
      </c>
    </row>
    <row r="1566" spans="1:6" x14ac:dyDescent="0.25">
      <c r="A1566">
        <v>158200</v>
      </c>
      <c r="B1566">
        <v>4.9795999999999996</v>
      </c>
      <c r="E1566">
        <v>158200</v>
      </c>
      <c r="F1566">
        <v>4.3834</v>
      </c>
    </row>
    <row r="1567" spans="1:6" x14ac:dyDescent="0.25">
      <c r="A1567">
        <v>158300</v>
      </c>
      <c r="B1567">
        <v>4.9802</v>
      </c>
      <c r="E1567">
        <v>158300</v>
      </c>
      <c r="F1567">
        <v>4.3841999999999999</v>
      </c>
    </row>
    <row r="1568" spans="1:6" x14ac:dyDescent="0.25">
      <c r="A1568">
        <v>158400</v>
      </c>
      <c r="B1568">
        <v>4.9806999999999997</v>
      </c>
      <c r="E1568">
        <v>158400</v>
      </c>
      <c r="F1568">
        <v>4.3851000000000004</v>
      </c>
    </row>
    <row r="1569" spans="1:6" x14ac:dyDescent="0.25">
      <c r="A1569">
        <v>158500</v>
      </c>
      <c r="B1569">
        <v>4.9813000000000001</v>
      </c>
      <c r="E1569">
        <v>158500</v>
      </c>
      <c r="F1569">
        <v>4.3859000000000004</v>
      </c>
    </row>
    <row r="1570" spans="1:6" x14ac:dyDescent="0.25">
      <c r="A1570">
        <v>158600</v>
      </c>
      <c r="B1570">
        <v>4.9819000000000004</v>
      </c>
      <c r="E1570">
        <v>158600</v>
      </c>
      <c r="F1570">
        <v>4.3867000000000003</v>
      </c>
    </row>
    <row r="1571" spans="1:6" x14ac:dyDescent="0.25">
      <c r="A1571">
        <v>158700</v>
      </c>
      <c r="B1571">
        <v>4.9824999999999999</v>
      </c>
      <c r="E1571">
        <v>158700</v>
      </c>
      <c r="F1571">
        <v>4.3875999999999999</v>
      </c>
    </row>
    <row r="1572" spans="1:6" x14ac:dyDescent="0.25">
      <c r="A1572">
        <v>158800</v>
      </c>
      <c r="B1572">
        <v>4.9831000000000003</v>
      </c>
      <c r="E1572">
        <v>158800</v>
      </c>
      <c r="F1572">
        <v>4.3883999999999999</v>
      </c>
    </row>
    <row r="1573" spans="1:6" x14ac:dyDescent="0.25">
      <c r="A1573">
        <v>158900</v>
      </c>
      <c r="B1573">
        <v>4.9836</v>
      </c>
      <c r="E1573">
        <v>158900</v>
      </c>
      <c r="F1573">
        <v>4.3891999999999998</v>
      </c>
    </row>
    <row r="1574" spans="1:6" x14ac:dyDescent="0.25">
      <c r="A1574">
        <v>159000</v>
      </c>
      <c r="B1574">
        <v>4.9842000000000004</v>
      </c>
      <c r="E1574">
        <v>159000</v>
      </c>
      <c r="F1574">
        <v>4.3899999999999997</v>
      </c>
    </row>
    <row r="1575" spans="1:6" x14ac:dyDescent="0.25">
      <c r="A1575">
        <v>159100</v>
      </c>
      <c r="B1575">
        <v>4.9847999999999999</v>
      </c>
      <c r="E1575">
        <v>159100</v>
      </c>
      <c r="F1575">
        <v>4.3909000000000002</v>
      </c>
    </row>
    <row r="1576" spans="1:6" x14ac:dyDescent="0.25">
      <c r="A1576">
        <v>159200</v>
      </c>
      <c r="B1576">
        <v>4.9854000000000003</v>
      </c>
      <c r="E1576">
        <v>159200</v>
      </c>
      <c r="F1576">
        <v>4.3917000000000002</v>
      </c>
    </row>
    <row r="1577" spans="1:6" x14ac:dyDescent="0.25">
      <c r="A1577">
        <v>159300</v>
      </c>
      <c r="B1577">
        <v>4.9859</v>
      </c>
      <c r="E1577">
        <v>159300</v>
      </c>
      <c r="F1577">
        <v>4.3925000000000001</v>
      </c>
    </row>
    <row r="1578" spans="1:6" x14ac:dyDescent="0.25">
      <c r="A1578">
        <v>159400</v>
      </c>
      <c r="B1578">
        <v>4.9865000000000004</v>
      </c>
      <c r="E1578">
        <v>159400</v>
      </c>
      <c r="F1578">
        <v>4.3933</v>
      </c>
    </row>
    <row r="1579" spans="1:6" x14ac:dyDescent="0.25">
      <c r="A1579">
        <v>159500</v>
      </c>
      <c r="B1579">
        <v>4.9870999999999999</v>
      </c>
      <c r="E1579">
        <v>159500</v>
      </c>
      <c r="F1579">
        <v>4.3940999999999999</v>
      </c>
    </row>
    <row r="1580" spans="1:6" x14ac:dyDescent="0.25">
      <c r="A1580">
        <v>159600</v>
      </c>
      <c r="B1580">
        <v>4.9877000000000002</v>
      </c>
      <c r="E1580">
        <v>159600</v>
      </c>
      <c r="F1580">
        <v>4.3949999999999996</v>
      </c>
    </row>
    <row r="1581" spans="1:6" x14ac:dyDescent="0.25">
      <c r="A1581">
        <v>159700</v>
      </c>
      <c r="B1581">
        <v>4.9882</v>
      </c>
      <c r="E1581">
        <v>159700</v>
      </c>
      <c r="F1581">
        <v>4.3958000000000004</v>
      </c>
    </row>
    <row r="1582" spans="1:6" x14ac:dyDescent="0.25">
      <c r="A1582">
        <v>159800</v>
      </c>
      <c r="B1582">
        <v>4.9888000000000003</v>
      </c>
      <c r="E1582">
        <v>159800</v>
      </c>
      <c r="F1582">
        <v>4.3966000000000003</v>
      </c>
    </row>
    <row r="1583" spans="1:6" x14ac:dyDescent="0.25">
      <c r="A1583">
        <v>159900</v>
      </c>
      <c r="B1583">
        <v>4.9893999999999998</v>
      </c>
      <c r="E1583">
        <v>159900</v>
      </c>
      <c r="F1583">
        <v>4.3974000000000002</v>
      </c>
    </row>
    <row r="1584" spans="1:6" x14ac:dyDescent="0.25">
      <c r="A1584">
        <v>160000</v>
      </c>
      <c r="B1584">
        <v>4.9898999999999996</v>
      </c>
      <c r="E1584">
        <v>160000</v>
      </c>
      <c r="F1584">
        <v>4.3982000000000001</v>
      </c>
    </row>
    <row r="1585" spans="1:6" x14ac:dyDescent="0.25">
      <c r="A1585">
        <v>160100</v>
      </c>
      <c r="B1585">
        <v>4.9904999999999999</v>
      </c>
      <c r="E1585">
        <v>160100</v>
      </c>
      <c r="F1585">
        <v>4.399</v>
      </c>
    </row>
    <row r="1586" spans="1:6" x14ac:dyDescent="0.25">
      <c r="A1586">
        <v>160200</v>
      </c>
      <c r="B1586">
        <v>4.9911000000000003</v>
      </c>
      <c r="E1586">
        <v>160200</v>
      </c>
      <c r="F1586">
        <v>4.3997999999999999</v>
      </c>
    </row>
    <row r="1587" spans="1:6" x14ac:dyDescent="0.25">
      <c r="A1587">
        <v>160300</v>
      </c>
      <c r="B1587">
        <v>4.9916</v>
      </c>
      <c r="E1587">
        <v>160300</v>
      </c>
      <c r="F1587">
        <v>4.4006999999999996</v>
      </c>
    </row>
    <row r="1588" spans="1:6" x14ac:dyDescent="0.25">
      <c r="A1588">
        <v>160400</v>
      </c>
      <c r="B1588">
        <v>4.9922000000000004</v>
      </c>
      <c r="E1588">
        <v>160400</v>
      </c>
      <c r="F1588">
        <v>4.4015000000000004</v>
      </c>
    </row>
    <row r="1589" spans="1:6" x14ac:dyDescent="0.25">
      <c r="A1589">
        <v>160500</v>
      </c>
      <c r="B1589">
        <v>4.9927999999999999</v>
      </c>
      <c r="E1589">
        <v>160500</v>
      </c>
      <c r="F1589">
        <v>4.4023000000000003</v>
      </c>
    </row>
    <row r="1590" spans="1:6" x14ac:dyDescent="0.25">
      <c r="A1590">
        <v>160600</v>
      </c>
      <c r="B1590">
        <v>4.9932999999999996</v>
      </c>
      <c r="E1590">
        <v>160600</v>
      </c>
      <c r="F1590">
        <v>4.4031000000000002</v>
      </c>
    </row>
    <row r="1591" spans="1:6" x14ac:dyDescent="0.25">
      <c r="A1591">
        <v>160700</v>
      </c>
      <c r="B1591">
        <v>4.9939</v>
      </c>
      <c r="E1591">
        <v>160700</v>
      </c>
      <c r="F1591">
        <v>4.4039000000000001</v>
      </c>
    </row>
    <row r="1592" spans="1:6" x14ac:dyDescent="0.25">
      <c r="A1592">
        <v>160800</v>
      </c>
      <c r="B1592">
        <v>4.9945000000000004</v>
      </c>
      <c r="E1592">
        <v>160800</v>
      </c>
      <c r="F1592">
        <v>4.4047000000000001</v>
      </c>
    </row>
    <row r="1593" spans="1:6" x14ac:dyDescent="0.25">
      <c r="A1593">
        <v>160900</v>
      </c>
      <c r="B1593">
        <v>4.9950000000000001</v>
      </c>
      <c r="E1593">
        <v>160900</v>
      </c>
      <c r="F1593">
        <v>4.4055</v>
      </c>
    </row>
    <row r="1594" spans="1:6" x14ac:dyDescent="0.25">
      <c r="A1594">
        <v>161000</v>
      </c>
      <c r="B1594">
        <v>4.9955999999999996</v>
      </c>
      <c r="E1594">
        <v>161000</v>
      </c>
      <c r="F1594">
        <v>4.4062999999999999</v>
      </c>
    </row>
    <row r="1595" spans="1:6" x14ac:dyDescent="0.25">
      <c r="A1595">
        <v>161100</v>
      </c>
      <c r="B1595">
        <v>4.9962</v>
      </c>
      <c r="E1595">
        <v>161100</v>
      </c>
      <c r="F1595">
        <v>4.4070999999999998</v>
      </c>
    </row>
    <row r="1596" spans="1:6" x14ac:dyDescent="0.25">
      <c r="A1596">
        <v>161200</v>
      </c>
      <c r="B1596">
        <v>4.9966999999999997</v>
      </c>
      <c r="E1596">
        <v>161200</v>
      </c>
      <c r="F1596">
        <v>4.4078999999999997</v>
      </c>
    </row>
    <row r="1597" spans="1:6" x14ac:dyDescent="0.25">
      <c r="A1597">
        <v>161300</v>
      </c>
      <c r="B1597">
        <v>4.9973000000000001</v>
      </c>
      <c r="E1597">
        <v>161300</v>
      </c>
      <c r="F1597">
        <v>4.4086999999999996</v>
      </c>
    </row>
    <row r="1598" spans="1:6" x14ac:dyDescent="0.25">
      <c r="A1598">
        <v>161400</v>
      </c>
      <c r="B1598">
        <v>4.9977999999999998</v>
      </c>
      <c r="E1598">
        <v>161400</v>
      </c>
      <c r="F1598">
        <v>4.4095000000000004</v>
      </c>
    </row>
    <row r="1599" spans="1:6" x14ac:dyDescent="0.25">
      <c r="A1599">
        <v>161500</v>
      </c>
      <c r="B1599">
        <v>4.9984000000000002</v>
      </c>
      <c r="E1599">
        <v>161500</v>
      </c>
      <c r="F1599">
        <v>4.4103000000000003</v>
      </c>
    </row>
    <row r="1600" spans="1:6" x14ac:dyDescent="0.25">
      <c r="A1600">
        <v>161600</v>
      </c>
      <c r="B1600">
        <v>4.9988999999999999</v>
      </c>
      <c r="E1600">
        <v>161600</v>
      </c>
      <c r="F1600">
        <v>4.4111000000000002</v>
      </c>
    </row>
    <row r="1601" spans="1:6" x14ac:dyDescent="0.25">
      <c r="A1601">
        <v>161700</v>
      </c>
      <c r="B1601">
        <v>4.9995000000000003</v>
      </c>
      <c r="E1601">
        <v>161700</v>
      </c>
      <c r="F1601">
        <v>4.4119000000000002</v>
      </c>
    </row>
    <row r="1602" spans="1:6" x14ac:dyDescent="0.25">
      <c r="A1602">
        <v>161800</v>
      </c>
      <c r="B1602">
        <v>5.0000999999999998</v>
      </c>
      <c r="E1602">
        <v>161800</v>
      </c>
      <c r="F1602">
        <v>4.4127000000000001</v>
      </c>
    </row>
    <row r="1603" spans="1:6" x14ac:dyDescent="0.25">
      <c r="A1603">
        <v>161900</v>
      </c>
      <c r="B1603">
        <v>5.0006000000000004</v>
      </c>
      <c r="E1603">
        <v>161900</v>
      </c>
      <c r="F1603">
        <v>4.4135</v>
      </c>
    </row>
    <row r="1604" spans="1:6" x14ac:dyDescent="0.25">
      <c r="A1604">
        <v>162000</v>
      </c>
      <c r="B1604">
        <v>5.0011999999999999</v>
      </c>
      <c r="E1604">
        <v>162000</v>
      </c>
      <c r="F1604">
        <v>4.4142999999999999</v>
      </c>
    </row>
    <row r="1605" spans="1:6" x14ac:dyDescent="0.25">
      <c r="A1605">
        <v>162100</v>
      </c>
      <c r="B1605">
        <v>5.0016999999999996</v>
      </c>
      <c r="E1605">
        <v>162100</v>
      </c>
      <c r="F1605">
        <v>4.4150999999999998</v>
      </c>
    </row>
    <row r="1606" spans="1:6" x14ac:dyDescent="0.25">
      <c r="A1606">
        <v>162200</v>
      </c>
      <c r="B1606">
        <v>5.0023</v>
      </c>
      <c r="E1606">
        <v>162200</v>
      </c>
      <c r="F1606">
        <v>4.4158999999999997</v>
      </c>
    </row>
    <row r="1607" spans="1:6" x14ac:dyDescent="0.25">
      <c r="A1607">
        <v>162300</v>
      </c>
      <c r="B1607">
        <v>5.0027999999999997</v>
      </c>
      <c r="E1607">
        <v>162300</v>
      </c>
      <c r="F1607">
        <v>4.4166999999999996</v>
      </c>
    </row>
    <row r="1608" spans="1:6" x14ac:dyDescent="0.25">
      <c r="A1608">
        <v>162400</v>
      </c>
      <c r="B1608">
        <v>5.0034000000000001</v>
      </c>
      <c r="E1608">
        <v>162400</v>
      </c>
      <c r="F1608">
        <v>4.4175000000000004</v>
      </c>
    </row>
    <row r="1609" spans="1:6" x14ac:dyDescent="0.25">
      <c r="A1609">
        <v>162500</v>
      </c>
      <c r="B1609">
        <v>5.0038999999999998</v>
      </c>
      <c r="E1609">
        <v>162500</v>
      </c>
      <c r="F1609">
        <v>4.4181999999999997</v>
      </c>
    </row>
    <row r="1610" spans="1:6" x14ac:dyDescent="0.25">
      <c r="A1610">
        <v>162600</v>
      </c>
      <c r="B1610">
        <v>5.0045000000000002</v>
      </c>
      <c r="E1610">
        <v>162600</v>
      </c>
      <c r="F1610">
        <v>4.4189999999999996</v>
      </c>
    </row>
    <row r="1611" spans="1:6" x14ac:dyDescent="0.25">
      <c r="A1611">
        <v>162700</v>
      </c>
      <c r="B1611">
        <v>5.0049999999999999</v>
      </c>
      <c r="E1611">
        <v>162700</v>
      </c>
      <c r="F1611">
        <v>4.4198000000000004</v>
      </c>
    </row>
    <row r="1612" spans="1:6" x14ac:dyDescent="0.25">
      <c r="A1612">
        <v>162800</v>
      </c>
      <c r="B1612">
        <v>5.0056000000000003</v>
      </c>
      <c r="E1612">
        <v>162800</v>
      </c>
      <c r="F1612">
        <v>4.4206000000000003</v>
      </c>
    </row>
    <row r="1613" spans="1:6" x14ac:dyDescent="0.25">
      <c r="A1613">
        <v>162900</v>
      </c>
      <c r="B1613">
        <v>5.0061</v>
      </c>
      <c r="E1613">
        <v>162900</v>
      </c>
      <c r="F1613">
        <v>4.4214000000000002</v>
      </c>
    </row>
    <row r="1614" spans="1:6" x14ac:dyDescent="0.25">
      <c r="A1614">
        <v>163000</v>
      </c>
      <c r="B1614">
        <v>5.0067000000000004</v>
      </c>
      <c r="E1614">
        <v>163000</v>
      </c>
      <c r="F1614">
        <v>4.4222000000000001</v>
      </c>
    </row>
    <row r="1615" spans="1:6" x14ac:dyDescent="0.25">
      <c r="A1615">
        <v>163100</v>
      </c>
      <c r="B1615">
        <v>5.0072000000000001</v>
      </c>
      <c r="E1615">
        <v>163100</v>
      </c>
      <c r="F1615">
        <v>4.423</v>
      </c>
    </row>
    <row r="1616" spans="1:6" x14ac:dyDescent="0.25">
      <c r="A1616">
        <v>163200</v>
      </c>
      <c r="B1616">
        <v>5.0077999999999996</v>
      </c>
      <c r="E1616">
        <v>163200</v>
      </c>
      <c r="F1616">
        <v>4.4237000000000002</v>
      </c>
    </row>
    <row r="1617" spans="1:6" x14ac:dyDescent="0.25">
      <c r="A1617">
        <v>163300</v>
      </c>
      <c r="B1617">
        <v>5.0083000000000002</v>
      </c>
      <c r="E1617">
        <v>163300</v>
      </c>
      <c r="F1617">
        <v>4.4245000000000001</v>
      </c>
    </row>
    <row r="1618" spans="1:6" x14ac:dyDescent="0.25">
      <c r="A1618">
        <v>163400</v>
      </c>
      <c r="B1618">
        <v>5.0090000000000003</v>
      </c>
      <c r="E1618">
        <v>163400</v>
      </c>
      <c r="F1618">
        <v>4.4253</v>
      </c>
    </row>
    <row r="1619" spans="1:6" x14ac:dyDescent="0.25">
      <c r="A1619">
        <v>163500</v>
      </c>
      <c r="B1619">
        <v>5.0095999999999998</v>
      </c>
      <c r="E1619">
        <v>163500</v>
      </c>
      <c r="F1619">
        <v>4.4260999999999999</v>
      </c>
    </row>
    <row r="1620" spans="1:6" x14ac:dyDescent="0.25">
      <c r="A1620">
        <v>163600</v>
      </c>
      <c r="B1620">
        <v>5.0102000000000002</v>
      </c>
      <c r="E1620">
        <v>163600</v>
      </c>
      <c r="F1620">
        <v>4.4268999999999998</v>
      </c>
    </row>
    <row r="1621" spans="1:6" x14ac:dyDescent="0.25">
      <c r="A1621">
        <v>163700</v>
      </c>
      <c r="B1621">
        <v>5.0109000000000004</v>
      </c>
      <c r="E1621">
        <v>163700</v>
      </c>
      <c r="F1621">
        <v>4.4276</v>
      </c>
    </row>
    <row r="1622" spans="1:6" x14ac:dyDescent="0.25">
      <c r="A1622">
        <v>163800</v>
      </c>
      <c r="B1622">
        <v>5.0114999999999998</v>
      </c>
      <c r="E1622">
        <v>163800</v>
      </c>
      <c r="F1622">
        <v>4.4283999999999999</v>
      </c>
    </row>
    <row r="1623" spans="1:6" x14ac:dyDescent="0.25">
      <c r="A1623">
        <v>163900</v>
      </c>
      <c r="B1623">
        <v>5.0121000000000002</v>
      </c>
      <c r="E1623">
        <v>163900</v>
      </c>
      <c r="F1623">
        <v>4.4291999999999998</v>
      </c>
    </row>
    <row r="1624" spans="1:6" x14ac:dyDescent="0.25">
      <c r="A1624">
        <v>164000</v>
      </c>
      <c r="B1624">
        <v>5.0128000000000004</v>
      </c>
      <c r="E1624">
        <v>164000</v>
      </c>
      <c r="F1624">
        <v>4.43</v>
      </c>
    </row>
    <row r="1625" spans="1:6" x14ac:dyDescent="0.25">
      <c r="A1625">
        <v>164100</v>
      </c>
      <c r="B1625">
        <v>5.0133999999999999</v>
      </c>
      <c r="E1625">
        <v>164100</v>
      </c>
      <c r="F1625">
        <v>4.4306999999999999</v>
      </c>
    </row>
    <row r="1626" spans="1:6" x14ac:dyDescent="0.25">
      <c r="A1626">
        <v>164200</v>
      </c>
      <c r="B1626">
        <v>5.0140000000000002</v>
      </c>
      <c r="E1626">
        <v>164200</v>
      </c>
      <c r="F1626">
        <v>4.4314999999999998</v>
      </c>
    </row>
    <row r="1627" spans="1:6" x14ac:dyDescent="0.25">
      <c r="A1627">
        <v>164300</v>
      </c>
      <c r="B1627">
        <v>5.0147000000000004</v>
      </c>
      <c r="E1627">
        <v>164300</v>
      </c>
      <c r="F1627">
        <v>4.4322999999999997</v>
      </c>
    </row>
    <row r="1628" spans="1:6" x14ac:dyDescent="0.25">
      <c r="A1628">
        <v>164400</v>
      </c>
      <c r="B1628">
        <v>5.0152999999999999</v>
      </c>
      <c r="E1628">
        <v>164400</v>
      </c>
      <c r="F1628">
        <v>4.4330999999999996</v>
      </c>
    </row>
    <row r="1629" spans="1:6" x14ac:dyDescent="0.25">
      <c r="A1629">
        <v>164500</v>
      </c>
      <c r="B1629">
        <v>5.0159000000000002</v>
      </c>
      <c r="E1629">
        <v>164500</v>
      </c>
      <c r="F1629">
        <v>4.4337999999999997</v>
      </c>
    </row>
    <row r="1630" spans="1:6" x14ac:dyDescent="0.25">
      <c r="A1630">
        <v>164600</v>
      </c>
      <c r="B1630">
        <v>5.0166000000000004</v>
      </c>
      <c r="E1630">
        <v>164600</v>
      </c>
      <c r="F1630">
        <v>4.4345999999999997</v>
      </c>
    </row>
    <row r="1631" spans="1:6" x14ac:dyDescent="0.25">
      <c r="A1631">
        <v>164700</v>
      </c>
      <c r="B1631">
        <v>5.0171999999999999</v>
      </c>
      <c r="E1631">
        <v>164700</v>
      </c>
      <c r="F1631">
        <v>4.4353999999999996</v>
      </c>
    </row>
    <row r="1632" spans="1:6" x14ac:dyDescent="0.25">
      <c r="A1632">
        <v>164800</v>
      </c>
      <c r="B1632">
        <v>5.0178000000000003</v>
      </c>
      <c r="E1632">
        <v>164800</v>
      </c>
      <c r="F1632">
        <v>4.4360999999999997</v>
      </c>
    </row>
    <row r="1633" spans="1:6" x14ac:dyDescent="0.25">
      <c r="A1633">
        <v>164900</v>
      </c>
      <c r="B1633">
        <v>5.0183999999999997</v>
      </c>
      <c r="E1633">
        <v>164900</v>
      </c>
      <c r="F1633">
        <v>4.4368999999999996</v>
      </c>
    </row>
    <row r="1634" spans="1:6" x14ac:dyDescent="0.25">
      <c r="A1634">
        <v>165000</v>
      </c>
      <c r="B1634">
        <v>5.0190999999999999</v>
      </c>
      <c r="E1634">
        <v>165000</v>
      </c>
      <c r="F1634">
        <v>4.4377000000000004</v>
      </c>
    </row>
    <row r="1635" spans="1:6" x14ac:dyDescent="0.25">
      <c r="A1635">
        <v>165100</v>
      </c>
      <c r="B1635">
        <v>5.0197000000000003</v>
      </c>
      <c r="E1635">
        <v>165100</v>
      </c>
      <c r="F1635">
        <v>4.4383999999999997</v>
      </c>
    </row>
    <row r="1636" spans="1:6" x14ac:dyDescent="0.25">
      <c r="A1636">
        <v>165200</v>
      </c>
      <c r="B1636">
        <v>5.0202999999999998</v>
      </c>
      <c r="E1636">
        <v>165200</v>
      </c>
      <c r="F1636">
        <v>4.4391999999999996</v>
      </c>
    </row>
    <row r="1637" spans="1:6" x14ac:dyDescent="0.25">
      <c r="A1637">
        <v>165300</v>
      </c>
      <c r="B1637">
        <v>5.0209000000000001</v>
      </c>
      <c r="E1637">
        <v>165300</v>
      </c>
      <c r="F1637">
        <v>4.4400000000000004</v>
      </c>
    </row>
    <row r="1638" spans="1:6" x14ac:dyDescent="0.25">
      <c r="A1638">
        <v>165400</v>
      </c>
      <c r="B1638">
        <v>5.0216000000000003</v>
      </c>
      <c r="E1638">
        <v>165400</v>
      </c>
      <c r="F1638">
        <v>4.4406999999999996</v>
      </c>
    </row>
    <row r="1639" spans="1:6" x14ac:dyDescent="0.25">
      <c r="A1639">
        <v>165500</v>
      </c>
      <c r="B1639">
        <v>5.0221999999999998</v>
      </c>
      <c r="E1639">
        <v>165500</v>
      </c>
      <c r="F1639">
        <v>4.4414999999999996</v>
      </c>
    </row>
    <row r="1640" spans="1:6" x14ac:dyDescent="0.25">
      <c r="A1640">
        <v>165600</v>
      </c>
      <c r="B1640">
        <v>5.0228000000000002</v>
      </c>
      <c r="E1640">
        <v>165600</v>
      </c>
      <c r="F1640">
        <v>4.4421999999999997</v>
      </c>
    </row>
    <row r="1641" spans="1:6" x14ac:dyDescent="0.25">
      <c r="A1641">
        <v>165700</v>
      </c>
      <c r="B1641">
        <v>5.0233999999999996</v>
      </c>
      <c r="E1641">
        <v>165700</v>
      </c>
      <c r="F1641">
        <v>4.4429999999999996</v>
      </c>
    </row>
    <row r="1642" spans="1:6" x14ac:dyDescent="0.25">
      <c r="A1642">
        <v>165800</v>
      </c>
      <c r="B1642">
        <v>5.024</v>
      </c>
      <c r="E1642">
        <v>165800</v>
      </c>
      <c r="F1642">
        <v>4.4438000000000004</v>
      </c>
    </row>
    <row r="1643" spans="1:6" x14ac:dyDescent="0.25">
      <c r="A1643">
        <v>165900</v>
      </c>
      <c r="B1643">
        <v>5.0247000000000002</v>
      </c>
      <c r="E1643">
        <v>165900</v>
      </c>
      <c r="F1643">
        <v>4.4444999999999997</v>
      </c>
    </row>
    <row r="1644" spans="1:6" x14ac:dyDescent="0.25">
      <c r="A1644">
        <v>166000</v>
      </c>
      <c r="B1644">
        <v>5.0252999999999997</v>
      </c>
      <c r="E1644">
        <v>166000</v>
      </c>
      <c r="F1644">
        <v>4.4452999999999996</v>
      </c>
    </row>
    <row r="1645" spans="1:6" x14ac:dyDescent="0.25">
      <c r="A1645">
        <v>166100</v>
      </c>
      <c r="B1645">
        <v>5.0259</v>
      </c>
      <c r="E1645">
        <v>166100</v>
      </c>
      <c r="F1645">
        <v>4.4459999999999997</v>
      </c>
    </row>
    <row r="1646" spans="1:6" x14ac:dyDescent="0.25">
      <c r="A1646">
        <v>166200</v>
      </c>
      <c r="B1646">
        <v>5.0265000000000004</v>
      </c>
      <c r="E1646">
        <v>166200</v>
      </c>
      <c r="F1646">
        <v>4.4467999999999996</v>
      </c>
    </row>
    <row r="1647" spans="1:6" x14ac:dyDescent="0.25">
      <c r="A1647">
        <v>166300</v>
      </c>
      <c r="B1647">
        <v>5.0270999999999999</v>
      </c>
      <c r="E1647">
        <v>166300</v>
      </c>
      <c r="F1647">
        <v>4.4474999999999998</v>
      </c>
    </row>
    <row r="1648" spans="1:6" x14ac:dyDescent="0.25">
      <c r="A1648">
        <v>166400</v>
      </c>
      <c r="B1648">
        <v>5.0277000000000003</v>
      </c>
      <c r="E1648">
        <v>166400</v>
      </c>
      <c r="F1648">
        <v>4.4482999999999997</v>
      </c>
    </row>
    <row r="1649" spans="1:6" x14ac:dyDescent="0.25">
      <c r="A1649">
        <v>166500</v>
      </c>
      <c r="B1649">
        <v>5.0282999999999998</v>
      </c>
      <c r="E1649">
        <v>166500</v>
      </c>
      <c r="F1649">
        <v>4.4489999999999998</v>
      </c>
    </row>
    <row r="1650" spans="1:6" x14ac:dyDescent="0.25">
      <c r="A1650">
        <v>166600</v>
      </c>
      <c r="B1650">
        <v>5.0289999999999999</v>
      </c>
      <c r="E1650">
        <v>166600</v>
      </c>
      <c r="F1650">
        <v>4.4497999999999998</v>
      </c>
    </row>
    <row r="1651" spans="1:6" x14ac:dyDescent="0.25">
      <c r="A1651">
        <v>166700</v>
      </c>
      <c r="B1651">
        <v>5.0296000000000003</v>
      </c>
      <c r="E1651">
        <v>166700</v>
      </c>
      <c r="F1651">
        <v>4.4504999999999999</v>
      </c>
    </row>
    <row r="1652" spans="1:6" x14ac:dyDescent="0.25">
      <c r="A1652">
        <v>166800</v>
      </c>
      <c r="B1652">
        <v>5.0301999999999998</v>
      </c>
      <c r="E1652">
        <v>166800</v>
      </c>
      <c r="F1652">
        <v>4.4512999999999998</v>
      </c>
    </row>
    <row r="1653" spans="1:6" x14ac:dyDescent="0.25">
      <c r="A1653">
        <v>166900</v>
      </c>
      <c r="B1653">
        <v>5.0308000000000002</v>
      </c>
      <c r="E1653">
        <v>166900</v>
      </c>
      <c r="F1653">
        <v>4.452</v>
      </c>
    </row>
    <row r="1654" spans="1:6" x14ac:dyDescent="0.25">
      <c r="A1654">
        <v>167000</v>
      </c>
      <c r="B1654">
        <v>5.0313999999999997</v>
      </c>
      <c r="E1654">
        <v>167000</v>
      </c>
      <c r="F1654">
        <v>4.4527999999999999</v>
      </c>
    </row>
    <row r="1655" spans="1:6" x14ac:dyDescent="0.25">
      <c r="A1655">
        <v>167100</v>
      </c>
      <c r="B1655">
        <v>5.032</v>
      </c>
      <c r="E1655">
        <v>167100</v>
      </c>
      <c r="F1655">
        <v>4.4535</v>
      </c>
    </row>
    <row r="1656" spans="1:6" x14ac:dyDescent="0.25">
      <c r="A1656">
        <v>167200</v>
      </c>
      <c r="B1656">
        <v>5.0326000000000004</v>
      </c>
      <c r="E1656">
        <v>167200</v>
      </c>
      <c r="F1656">
        <v>4.4542999999999999</v>
      </c>
    </row>
    <row r="1657" spans="1:6" x14ac:dyDescent="0.25">
      <c r="A1657">
        <v>167300</v>
      </c>
      <c r="B1657">
        <v>5.0331999999999999</v>
      </c>
      <c r="E1657">
        <v>167300</v>
      </c>
      <c r="F1657">
        <v>4.4550000000000001</v>
      </c>
    </row>
    <row r="1658" spans="1:6" x14ac:dyDescent="0.25">
      <c r="A1658">
        <v>167400</v>
      </c>
      <c r="B1658">
        <v>5.0338000000000003</v>
      </c>
      <c r="E1658">
        <v>167400</v>
      </c>
      <c r="F1658">
        <v>4.4558</v>
      </c>
    </row>
    <row r="1659" spans="1:6" x14ac:dyDescent="0.25">
      <c r="A1659">
        <v>167500</v>
      </c>
      <c r="B1659">
        <v>5.0343999999999998</v>
      </c>
      <c r="E1659">
        <v>167500</v>
      </c>
      <c r="F1659">
        <v>4.4565000000000001</v>
      </c>
    </row>
    <row r="1660" spans="1:6" x14ac:dyDescent="0.25">
      <c r="A1660">
        <v>167600</v>
      </c>
      <c r="B1660">
        <v>5.0350999999999999</v>
      </c>
      <c r="E1660">
        <v>167600</v>
      </c>
      <c r="F1660">
        <v>4.4572000000000003</v>
      </c>
    </row>
    <row r="1661" spans="1:6" x14ac:dyDescent="0.25">
      <c r="A1661">
        <v>167700</v>
      </c>
      <c r="B1661">
        <v>5.0357000000000003</v>
      </c>
      <c r="E1661">
        <v>167700</v>
      </c>
      <c r="F1661">
        <v>4.4580000000000002</v>
      </c>
    </row>
    <row r="1662" spans="1:6" x14ac:dyDescent="0.25">
      <c r="A1662">
        <v>167800</v>
      </c>
      <c r="B1662">
        <v>5.0362999999999998</v>
      </c>
      <c r="E1662">
        <v>167800</v>
      </c>
      <c r="F1662">
        <v>4.4587000000000003</v>
      </c>
    </row>
    <row r="1663" spans="1:6" x14ac:dyDescent="0.25">
      <c r="A1663">
        <v>167900</v>
      </c>
      <c r="B1663">
        <v>5.0369000000000002</v>
      </c>
      <c r="E1663">
        <v>167900</v>
      </c>
      <c r="F1663">
        <v>4.4595000000000002</v>
      </c>
    </row>
    <row r="1664" spans="1:6" x14ac:dyDescent="0.25">
      <c r="A1664">
        <v>168000</v>
      </c>
      <c r="B1664">
        <v>5.0374999999999996</v>
      </c>
      <c r="E1664">
        <v>168000</v>
      </c>
      <c r="F1664">
        <v>4.4602000000000004</v>
      </c>
    </row>
    <row r="1665" spans="1:6" x14ac:dyDescent="0.25">
      <c r="A1665">
        <v>168100</v>
      </c>
      <c r="B1665">
        <v>5.0381</v>
      </c>
      <c r="E1665">
        <v>168100</v>
      </c>
      <c r="F1665">
        <v>4.4608999999999996</v>
      </c>
    </row>
    <row r="1666" spans="1:6" x14ac:dyDescent="0.25">
      <c r="A1666">
        <v>168200</v>
      </c>
      <c r="B1666">
        <v>5.0387000000000004</v>
      </c>
      <c r="E1666">
        <v>168200</v>
      </c>
      <c r="F1666">
        <v>4.4617000000000004</v>
      </c>
    </row>
    <row r="1667" spans="1:6" x14ac:dyDescent="0.25">
      <c r="A1667">
        <v>168300</v>
      </c>
      <c r="B1667">
        <v>5.0392999999999999</v>
      </c>
      <c r="E1667">
        <v>168300</v>
      </c>
      <c r="F1667">
        <v>4.4623999999999997</v>
      </c>
    </row>
    <row r="1668" spans="1:6" x14ac:dyDescent="0.25">
      <c r="A1668">
        <v>168400</v>
      </c>
      <c r="B1668">
        <v>5.0399000000000003</v>
      </c>
      <c r="E1668">
        <v>168400</v>
      </c>
      <c r="F1668">
        <v>4.4631999999999996</v>
      </c>
    </row>
    <row r="1669" spans="1:6" x14ac:dyDescent="0.25">
      <c r="A1669">
        <v>168500</v>
      </c>
      <c r="B1669">
        <v>5.0404999999999998</v>
      </c>
      <c r="E1669">
        <v>168500</v>
      </c>
      <c r="F1669">
        <v>4.4638999999999998</v>
      </c>
    </row>
    <row r="1670" spans="1:6" x14ac:dyDescent="0.25">
      <c r="A1670">
        <v>168600</v>
      </c>
      <c r="B1670">
        <v>5.0411000000000001</v>
      </c>
      <c r="E1670">
        <v>168600</v>
      </c>
      <c r="F1670">
        <v>4.4645999999999999</v>
      </c>
    </row>
    <row r="1671" spans="1:6" x14ac:dyDescent="0.25">
      <c r="A1671">
        <v>168700</v>
      </c>
      <c r="B1671">
        <v>5.0416999999999996</v>
      </c>
      <c r="E1671">
        <v>168700</v>
      </c>
      <c r="F1671">
        <v>4.4653999999999998</v>
      </c>
    </row>
    <row r="1672" spans="1:6" x14ac:dyDescent="0.25">
      <c r="A1672">
        <v>168800</v>
      </c>
      <c r="B1672">
        <v>5.0423</v>
      </c>
      <c r="E1672">
        <v>168800</v>
      </c>
      <c r="F1672">
        <v>4.4661</v>
      </c>
    </row>
    <row r="1673" spans="1:6" x14ac:dyDescent="0.25">
      <c r="A1673">
        <v>168900</v>
      </c>
      <c r="B1673">
        <v>5.0429000000000004</v>
      </c>
      <c r="E1673">
        <v>168900</v>
      </c>
      <c r="F1673">
        <v>4.4668000000000001</v>
      </c>
    </row>
    <row r="1674" spans="1:6" x14ac:dyDescent="0.25">
      <c r="A1674">
        <v>169000</v>
      </c>
      <c r="B1674">
        <v>5.0434999999999999</v>
      </c>
      <c r="E1674">
        <v>169000</v>
      </c>
      <c r="F1674">
        <v>4.4675000000000002</v>
      </c>
    </row>
    <row r="1675" spans="1:6" x14ac:dyDescent="0.25">
      <c r="A1675">
        <v>169100</v>
      </c>
      <c r="B1675">
        <v>5.0441000000000003</v>
      </c>
      <c r="E1675">
        <v>169100</v>
      </c>
      <c r="F1675">
        <v>4.4683000000000002</v>
      </c>
    </row>
    <row r="1676" spans="1:6" x14ac:dyDescent="0.25">
      <c r="A1676">
        <v>169200</v>
      </c>
      <c r="B1676">
        <v>5.0446999999999997</v>
      </c>
      <c r="E1676">
        <v>169200</v>
      </c>
      <c r="F1676">
        <v>4.4690000000000003</v>
      </c>
    </row>
    <row r="1677" spans="1:6" x14ac:dyDescent="0.25">
      <c r="A1677">
        <v>169300</v>
      </c>
      <c r="B1677">
        <v>5.0452000000000004</v>
      </c>
      <c r="E1677">
        <v>169300</v>
      </c>
      <c r="F1677">
        <v>4.4696999999999996</v>
      </c>
    </row>
    <row r="1678" spans="1:6" x14ac:dyDescent="0.25">
      <c r="A1678">
        <v>169400</v>
      </c>
      <c r="B1678">
        <v>5.0457999999999998</v>
      </c>
      <c r="E1678">
        <v>169400</v>
      </c>
      <c r="F1678">
        <v>4.4705000000000004</v>
      </c>
    </row>
    <row r="1679" spans="1:6" x14ac:dyDescent="0.25">
      <c r="A1679">
        <v>169500</v>
      </c>
      <c r="B1679">
        <v>5.0464000000000002</v>
      </c>
      <c r="E1679">
        <v>169500</v>
      </c>
      <c r="F1679">
        <v>4.4711999999999996</v>
      </c>
    </row>
    <row r="1680" spans="1:6" x14ac:dyDescent="0.25">
      <c r="A1680">
        <v>169600</v>
      </c>
      <c r="B1680">
        <v>5.0469999999999997</v>
      </c>
      <c r="E1680">
        <v>169600</v>
      </c>
      <c r="F1680">
        <v>4.4718999999999998</v>
      </c>
    </row>
    <row r="1681" spans="1:6" x14ac:dyDescent="0.25">
      <c r="A1681">
        <v>169700</v>
      </c>
      <c r="B1681">
        <v>5.0476000000000001</v>
      </c>
      <c r="E1681">
        <v>169700</v>
      </c>
      <c r="F1681">
        <v>4.4725999999999999</v>
      </c>
    </row>
    <row r="1682" spans="1:6" x14ac:dyDescent="0.25">
      <c r="A1682">
        <v>169800</v>
      </c>
      <c r="B1682">
        <v>5.0481999999999996</v>
      </c>
      <c r="E1682">
        <v>169800</v>
      </c>
      <c r="F1682">
        <v>4.4733999999999998</v>
      </c>
    </row>
    <row r="1683" spans="1:6" x14ac:dyDescent="0.25">
      <c r="A1683">
        <v>169900</v>
      </c>
      <c r="B1683">
        <v>5.0488</v>
      </c>
      <c r="E1683">
        <v>169900</v>
      </c>
      <c r="F1683">
        <v>4.4741</v>
      </c>
    </row>
    <row r="1684" spans="1:6" x14ac:dyDescent="0.25">
      <c r="A1684">
        <v>170000</v>
      </c>
      <c r="B1684">
        <v>5.0494000000000003</v>
      </c>
      <c r="E1684">
        <v>170000</v>
      </c>
      <c r="F1684">
        <v>4.4748000000000001</v>
      </c>
    </row>
    <row r="1685" spans="1:6" x14ac:dyDescent="0.25">
      <c r="A1685">
        <v>170100</v>
      </c>
      <c r="B1685">
        <v>5.05</v>
      </c>
      <c r="E1685">
        <v>170100</v>
      </c>
      <c r="F1685">
        <v>4.4755000000000003</v>
      </c>
    </row>
    <row r="1686" spans="1:6" x14ac:dyDescent="0.25">
      <c r="A1686">
        <v>170200</v>
      </c>
      <c r="B1686">
        <v>5.0506000000000002</v>
      </c>
      <c r="E1686">
        <v>170200</v>
      </c>
      <c r="F1686">
        <v>4.4762000000000004</v>
      </c>
    </row>
    <row r="1687" spans="1:6" x14ac:dyDescent="0.25">
      <c r="A1687">
        <v>170300</v>
      </c>
      <c r="B1687">
        <v>5.0510999999999999</v>
      </c>
      <c r="E1687">
        <v>170300</v>
      </c>
      <c r="F1687">
        <v>4.4770000000000003</v>
      </c>
    </row>
    <row r="1688" spans="1:6" x14ac:dyDescent="0.25">
      <c r="A1688">
        <v>170400</v>
      </c>
      <c r="B1688">
        <v>5.0517000000000003</v>
      </c>
      <c r="E1688">
        <v>170400</v>
      </c>
      <c r="F1688">
        <v>4.4776999999999996</v>
      </c>
    </row>
    <row r="1689" spans="1:6" x14ac:dyDescent="0.25">
      <c r="A1689">
        <v>170500</v>
      </c>
      <c r="B1689">
        <v>5.0522999999999998</v>
      </c>
      <c r="E1689">
        <v>170500</v>
      </c>
      <c r="F1689">
        <v>4.4783999999999997</v>
      </c>
    </row>
    <row r="1690" spans="1:6" x14ac:dyDescent="0.25">
      <c r="A1690">
        <v>170600</v>
      </c>
      <c r="B1690">
        <v>5.0529000000000002</v>
      </c>
      <c r="E1690">
        <v>170600</v>
      </c>
      <c r="F1690">
        <v>4.4790999999999999</v>
      </c>
    </row>
    <row r="1691" spans="1:6" x14ac:dyDescent="0.25">
      <c r="A1691">
        <v>170700</v>
      </c>
      <c r="B1691">
        <v>5.0534999999999997</v>
      </c>
      <c r="E1691">
        <v>170700</v>
      </c>
      <c r="F1691">
        <v>4.4798</v>
      </c>
    </row>
    <row r="1692" spans="1:6" x14ac:dyDescent="0.25">
      <c r="A1692">
        <v>170800</v>
      </c>
      <c r="B1692">
        <v>5.0541</v>
      </c>
      <c r="E1692">
        <v>170800</v>
      </c>
      <c r="F1692">
        <v>4.4805000000000001</v>
      </c>
    </row>
    <row r="1693" spans="1:6" x14ac:dyDescent="0.25">
      <c r="A1693">
        <v>170900</v>
      </c>
      <c r="B1693">
        <v>5.0547000000000004</v>
      </c>
      <c r="E1693">
        <v>170900</v>
      </c>
      <c r="F1693">
        <v>4.4812000000000003</v>
      </c>
    </row>
    <row r="1694" spans="1:6" x14ac:dyDescent="0.25">
      <c r="A1694">
        <v>171000</v>
      </c>
      <c r="B1694">
        <v>5.0552000000000001</v>
      </c>
      <c r="E1694">
        <v>171000</v>
      </c>
      <c r="F1694">
        <v>4.4820000000000002</v>
      </c>
    </row>
    <row r="1695" spans="1:6" x14ac:dyDescent="0.25">
      <c r="A1695">
        <v>171100</v>
      </c>
      <c r="B1695">
        <v>5.0557999999999996</v>
      </c>
      <c r="E1695">
        <v>171100</v>
      </c>
      <c r="F1695">
        <v>4.4827000000000004</v>
      </c>
    </row>
    <row r="1696" spans="1:6" x14ac:dyDescent="0.25">
      <c r="A1696">
        <v>171200</v>
      </c>
      <c r="B1696">
        <v>5.0564</v>
      </c>
      <c r="E1696">
        <v>171200</v>
      </c>
      <c r="F1696">
        <v>4.4833999999999996</v>
      </c>
    </row>
    <row r="1697" spans="1:6" x14ac:dyDescent="0.25">
      <c r="A1697">
        <v>171300</v>
      </c>
      <c r="B1697">
        <v>5.0570000000000004</v>
      </c>
      <c r="E1697">
        <v>171300</v>
      </c>
      <c r="F1697">
        <v>4.4840999999999998</v>
      </c>
    </row>
    <row r="1698" spans="1:6" x14ac:dyDescent="0.25">
      <c r="A1698">
        <v>171400</v>
      </c>
      <c r="B1698">
        <v>5.0575999999999999</v>
      </c>
      <c r="E1698">
        <v>171400</v>
      </c>
      <c r="F1698">
        <v>4.4847999999999999</v>
      </c>
    </row>
    <row r="1699" spans="1:6" x14ac:dyDescent="0.25">
      <c r="A1699">
        <v>171500</v>
      </c>
      <c r="B1699">
        <v>5.0580999999999996</v>
      </c>
      <c r="E1699">
        <v>171500</v>
      </c>
      <c r="F1699">
        <v>4.4855</v>
      </c>
    </row>
    <row r="1700" spans="1:6" x14ac:dyDescent="0.25">
      <c r="A1700">
        <v>171600</v>
      </c>
      <c r="B1700">
        <v>5.0587</v>
      </c>
      <c r="E1700">
        <v>171600</v>
      </c>
      <c r="F1700">
        <v>4.4862000000000002</v>
      </c>
    </row>
    <row r="1701" spans="1:6" x14ac:dyDescent="0.25">
      <c r="A1701">
        <v>171700</v>
      </c>
      <c r="B1701">
        <v>5.0593000000000004</v>
      </c>
      <c r="E1701">
        <v>171700</v>
      </c>
      <c r="F1701">
        <v>4.4869000000000003</v>
      </c>
    </row>
    <row r="1702" spans="1:6" x14ac:dyDescent="0.25">
      <c r="A1702">
        <v>171800</v>
      </c>
      <c r="B1702">
        <v>5.0598999999999998</v>
      </c>
      <c r="E1702">
        <v>171800</v>
      </c>
      <c r="F1702">
        <v>4.4875999999999996</v>
      </c>
    </row>
    <row r="1703" spans="1:6" x14ac:dyDescent="0.25">
      <c r="A1703">
        <v>171900</v>
      </c>
      <c r="B1703">
        <v>5.0603999999999996</v>
      </c>
      <c r="E1703">
        <v>171900</v>
      </c>
      <c r="F1703">
        <v>4.4882999999999997</v>
      </c>
    </row>
    <row r="1704" spans="1:6" x14ac:dyDescent="0.25">
      <c r="A1704">
        <v>172000</v>
      </c>
      <c r="B1704">
        <v>5.0609999999999999</v>
      </c>
      <c r="E1704">
        <v>172000</v>
      </c>
      <c r="F1704">
        <v>4.4889999999999999</v>
      </c>
    </row>
    <row r="1705" spans="1:6" x14ac:dyDescent="0.25">
      <c r="A1705">
        <v>172100</v>
      </c>
      <c r="B1705">
        <v>5.0616000000000003</v>
      </c>
      <c r="E1705">
        <v>172100</v>
      </c>
      <c r="F1705">
        <v>4.4897</v>
      </c>
    </row>
    <row r="1706" spans="1:6" x14ac:dyDescent="0.25">
      <c r="A1706">
        <v>172200</v>
      </c>
      <c r="B1706">
        <v>5.0621999999999998</v>
      </c>
      <c r="E1706">
        <v>172200</v>
      </c>
      <c r="F1706">
        <v>4.4904000000000002</v>
      </c>
    </row>
    <row r="1707" spans="1:6" x14ac:dyDescent="0.25">
      <c r="A1707">
        <v>172300</v>
      </c>
      <c r="B1707">
        <v>5.0627000000000004</v>
      </c>
      <c r="E1707">
        <v>172300</v>
      </c>
      <c r="F1707">
        <v>4.4911000000000003</v>
      </c>
    </row>
    <row r="1708" spans="1:6" x14ac:dyDescent="0.25">
      <c r="A1708">
        <v>172400</v>
      </c>
      <c r="B1708">
        <v>5.0632999999999999</v>
      </c>
      <c r="E1708">
        <v>172400</v>
      </c>
      <c r="F1708">
        <v>4.4919000000000002</v>
      </c>
    </row>
    <row r="1709" spans="1:6" x14ac:dyDescent="0.25">
      <c r="A1709">
        <v>172500</v>
      </c>
      <c r="B1709">
        <v>5.0639000000000003</v>
      </c>
      <c r="E1709">
        <v>172500</v>
      </c>
      <c r="F1709">
        <v>4.4926000000000004</v>
      </c>
    </row>
    <row r="1710" spans="1:6" x14ac:dyDescent="0.25">
      <c r="A1710">
        <v>172600</v>
      </c>
      <c r="B1710">
        <v>5.0644999999999998</v>
      </c>
      <c r="E1710">
        <v>172600</v>
      </c>
      <c r="F1710">
        <v>4.4932999999999996</v>
      </c>
    </row>
    <row r="1711" spans="1:6" x14ac:dyDescent="0.25">
      <c r="A1711">
        <v>172700</v>
      </c>
      <c r="B1711">
        <v>5.0650000000000004</v>
      </c>
      <c r="E1711">
        <v>172700</v>
      </c>
      <c r="F1711">
        <v>4.4939</v>
      </c>
    </row>
    <row r="1712" spans="1:6" x14ac:dyDescent="0.25">
      <c r="A1712">
        <v>172800</v>
      </c>
      <c r="B1712">
        <v>5.0655999999999999</v>
      </c>
      <c r="E1712">
        <v>172800</v>
      </c>
      <c r="F1712">
        <v>4.4946000000000002</v>
      </c>
    </row>
    <row r="1713" spans="1:6" x14ac:dyDescent="0.25">
      <c r="A1713">
        <v>172900</v>
      </c>
      <c r="B1713">
        <v>5.0662000000000003</v>
      </c>
      <c r="E1713">
        <v>172900</v>
      </c>
      <c r="F1713">
        <v>4.4953000000000003</v>
      </c>
    </row>
    <row r="1714" spans="1:6" x14ac:dyDescent="0.25">
      <c r="A1714">
        <v>173000</v>
      </c>
      <c r="B1714">
        <v>5.0667</v>
      </c>
      <c r="E1714">
        <v>173000</v>
      </c>
      <c r="F1714">
        <v>4.4960000000000004</v>
      </c>
    </row>
    <row r="1715" spans="1:6" x14ac:dyDescent="0.25">
      <c r="A1715">
        <v>173100</v>
      </c>
      <c r="B1715">
        <v>5.0673000000000004</v>
      </c>
      <c r="E1715">
        <v>173100</v>
      </c>
      <c r="F1715">
        <v>4.4966999999999997</v>
      </c>
    </row>
    <row r="1716" spans="1:6" x14ac:dyDescent="0.25">
      <c r="A1716">
        <v>173200</v>
      </c>
      <c r="B1716">
        <v>5.0678999999999998</v>
      </c>
      <c r="E1716">
        <v>173200</v>
      </c>
      <c r="F1716">
        <v>4.4973999999999998</v>
      </c>
    </row>
    <row r="1717" spans="1:6" x14ac:dyDescent="0.25">
      <c r="A1717">
        <v>173300</v>
      </c>
      <c r="B1717">
        <v>5.0683999999999996</v>
      </c>
      <c r="E1717">
        <v>173300</v>
      </c>
      <c r="F1717">
        <v>4.4981</v>
      </c>
    </row>
    <row r="1718" spans="1:6" x14ac:dyDescent="0.25">
      <c r="A1718">
        <v>173400</v>
      </c>
      <c r="B1718">
        <v>5.069</v>
      </c>
      <c r="E1718">
        <v>173400</v>
      </c>
      <c r="F1718">
        <v>4.4988000000000001</v>
      </c>
    </row>
    <row r="1719" spans="1:6" x14ac:dyDescent="0.25">
      <c r="A1719">
        <v>173500</v>
      </c>
      <c r="B1719">
        <v>5.0696000000000003</v>
      </c>
      <c r="E1719">
        <v>173500</v>
      </c>
      <c r="F1719">
        <v>4.4995000000000003</v>
      </c>
    </row>
    <row r="1720" spans="1:6" x14ac:dyDescent="0.25">
      <c r="A1720">
        <v>173600</v>
      </c>
      <c r="B1720">
        <v>5.0701000000000001</v>
      </c>
      <c r="E1720">
        <v>173600</v>
      </c>
      <c r="F1720">
        <v>4.5002000000000004</v>
      </c>
    </row>
    <row r="1721" spans="1:6" x14ac:dyDescent="0.25">
      <c r="A1721">
        <v>173700</v>
      </c>
      <c r="B1721">
        <v>5.0707000000000004</v>
      </c>
      <c r="E1721">
        <v>173700</v>
      </c>
      <c r="F1721">
        <v>4.5008999999999997</v>
      </c>
    </row>
    <row r="1722" spans="1:6" x14ac:dyDescent="0.25">
      <c r="A1722">
        <v>173800</v>
      </c>
      <c r="B1722">
        <v>5.0712999999999999</v>
      </c>
      <c r="E1722">
        <v>173800</v>
      </c>
      <c r="F1722">
        <v>4.5015999999999998</v>
      </c>
    </row>
    <row r="1723" spans="1:6" x14ac:dyDescent="0.25">
      <c r="A1723">
        <v>173900</v>
      </c>
      <c r="B1723">
        <v>5.0717999999999996</v>
      </c>
      <c r="E1723">
        <v>173900</v>
      </c>
      <c r="F1723">
        <v>4.5023</v>
      </c>
    </row>
    <row r="1724" spans="1:6" x14ac:dyDescent="0.25">
      <c r="A1724">
        <v>174000</v>
      </c>
      <c r="B1724">
        <v>5.0724</v>
      </c>
      <c r="E1724">
        <v>174000</v>
      </c>
      <c r="F1724">
        <v>4.5030000000000001</v>
      </c>
    </row>
    <row r="1725" spans="1:6" x14ac:dyDescent="0.25">
      <c r="A1725">
        <v>174100</v>
      </c>
      <c r="B1725">
        <v>5.0728999999999997</v>
      </c>
      <c r="E1725">
        <v>174100</v>
      </c>
      <c r="F1725">
        <v>4.5035999999999996</v>
      </c>
    </row>
    <row r="1726" spans="1:6" x14ac:dyDescent="0.25">
      <c r="A1726">
        <v>174200</v>
      </c>
      <c r="B1726">
        <v>5.0735000000000001</v>
      </c>
      <c r="E1726">
        <v>174200</v>
      </c>
      <c r="F1726">
        <v>4.5042999999999997</v>
      </c>
    </row>
    <row r="1727" spans="1:6" x14ac:dyDescent="0.25">
      <c r="A1727">
        <v>174300</v>
      </c>
      <c r="B1727">
        <v>5.0740999999999996</v>
      </c>
      <c r="E1727">
        <v>174300</v>
      </c>
      <c r="F1727">
        <v>4.5049999999999999</v>
      </c>
    </row>
    <row r="1728" spans="1:6" x14ac:dyDescent="0.25">
      <c r="A1728">
        <v>174400</v>
      </c>
      <c r="B1728">
        <v>5.0746000000000002</v>
      </c>
      <c r="E1728">
        <v>174400</v>
      </c>
      <c r="F1728">
        <v>4.5057</v>
      </c>
    </row>
    <row r="1729" spans="1:6" x14ac:dyDescent="0.25">
      <c r="A1729">
        <v>174500</v>
      </c>
      <c r="B1729">
        <v>5.0751999999999997</v>
      </c>
      <c r="E1729">
        <v>174500</v>
      </c>
      <c r="F1729">
        <v>4.5064000000000002</v>
      </c>
    </row>
    <row r="1730" spans="1:6" x14ac:dyDescent="0.25">
      <c r="A1730">
        <v>174600</v>
      </c>
      <c r="B1730">
        <v>5.0757000000000003</v>
      </c>
      <c r="E1730">
        <v>174600</v>
      </c>
      <c r="F1730">
        <v>4.5071000000000003</v>
      </c>
    </row>
    <row r="1731" spans="1:6" x14ac:dyDescent="0.25">
      <c r="A1731">
        <v>174700</v>
      </c>
      <c r="B1731">
        <v>5.0762999999999998</v>
      </c>
      <c r="E1731">
        <v>174700</v>
      </c>
      <c r="F1731">
        <v>4.5077999999999996</v>
      </c>
    </row>
    <row r="1732" spans="1:6" x14ac:dyDescent="0.25">
      <c r="A1732">
        <v>174800</v>
      </c>
      <c r="B1732">
        <v>5.0769000000000002</v>
      </c>
      <c r="E1732">
        <v>174800</v>
      </c>
      <c r="F1732">
        <v>4.5084</v>
      </c>
    </row>
    <row r="1733" spans="1:6" x14ac:dyDescent="0.25">
      <c r="A1733">
        <v>174900</v>
      </c>
      <c r="B1733">
        <v>5.0773999999999999</v>
      </c>
      <c r="E1733">
        <v>174900</v>
      </c>
      <c r="F1733">
        <v>4.5091000000000001</v>
      </c>
    </row>
    <row r="1734" spans="1:6" x14ac:dyDescent="0.25">
      <c r="A1734">
        <v>175000</v>
      </c>
      <c r="B1734">
        <v>5.0780000000000003</v>
      </c>
      <c r="E1734">
        <v>175000</v>
      </c>
      <c r="F1734">
        <v>4.5098000000000003</v>
      </c>
    </row>
    <row r="1735" spans="1:6" x14ac:dyDescent="0.25">
      <c r="A1735">
        <v>175100</v>
      </c>
      <c r="B1735">
        <v>5.0785</v>
      </c>
      <c r="E1735">
        <v>175100</v>
      </c>
      <c r="F1735">
        <v>4.5105000000000004</v>
      </c>
    </row>
    <row r="1736" spans="1:6" x14ac:dyDescent="0.25">
      <c r="A1736">
        <v>175200</v>
      </c>
      <c r="B1736">
        <v>5.0791000000000004</v>
      </c>
      <c r="E1736">
        <v>175200</v>
      </c>
      <c r="F1736">
        <v>4.5111999999999997</v>
      </c>
    </row>
    <row r="1737" spans="1:6" x14ac:dyDescent="0.25">
      <c r="A1737">
        <v>175300</v>
      </c>
      <c r="B1737">
        <v>5.0796000000000001</v>
      </c>
      <c r="E1737">
        <v>175300</v>
      </c>
      <c r="F1737">
        <v>4.5118</v>
      </c>
    </row>
    <row r="1738" spans="1:6" x14ac:dyDescent="0.25">
      <c r="A1738">
        <v>175400</v>
      </c>
      <c r="B1738">
        <v>5.0801999999999996</v>
      </c>
      <c r="E1738">
        <v>175400</v>
      </c>
      <c r="F1738">
        <v>4.5125000000000002</v>
      </c>
    </row>
    <row r="1739" spans="1:6" x14ac:dyDescent="0.25">
      <c r="A1739">
        <v>175500</v>
      </c>
      <c r="B1739">
        <v>5.0807000000000002</v>
      </c>
      <c r="E1739">
        <v>175500</v>
      </c>
      <c r="F1739">
        <v>4.5132000000000003</v>
      </c>
    </row>
    <row r="1740" spans="1:6" x14ac:dyDescent="0.25">
      <c r="A1740">
        <v>175600</v>
      </c>
      <c r="B1740">
        <v>5.0812999999999997</v>
      </c>
      <c r="E1740">
        <v>175600</v>
      </c>
      <c r="F1740">
        <v>4.5138999999999996</v>
      </c>
    </row>
    <row r="1741" spans="1:6" x14ac:dyDescent="0.25">
      <c r="A1741">
        <v>175700</v>
      </c>
      <c r="B1741">
        <v>5.0818000000000003</v>
      </c>
      <c r="E1741">
        <v>175700</v>
      </c>
      <c r="F1741">
        <v>4.5145</v>
      </c>
    </row>
    <row r="1742" spans="1:6" x14ac:dyDescent="0.25">
      <c r="A1742">
        <v>175800</v>
      </c>
      <c r="B1742">
        <v>5.0823999999999998</v>
      </c>
      <c r="E1742">
        <v>175800</v>
      </c>
      <c r="F1742">
        <v>4.5152000000000001</v>
      </c>
    </row>
    <row r="1743" spans="1:6" x14ac:dyDescent="0.25">
      <c r="A1743">
        <v>175900</v>
      </c>
      <c r="B1743">
        <v>5.0829000000000004</v>
      </c>
      <c r="E1743">
        <v>175900</v>
      </c>
      <c r="F1743">
        <v>4.5159000000000002</v>
      </c>
    </row>
    <row r="1744" spans="1:6" x14ac:dyDescent="0.25">
      <c r="A1744">
        <v>176000</v>
      </c>
      <c r="B1744">
        <v>5.0834999999999999</v>
      </c>
      <c r="E1744">
        <v>176000</v>
      </c>
      <c r="F1744">
        <v>4.5166000000000004</v>
      </c>
    </row>
    <row r="1745" spans="1:6" x14ac:dyDescent="0.25">
      <c r="A1745">
        <v>176100</v>
      </c>
      <c r="B1745">
        <v>5.0839999999999996</v>
      </c>
      <c r="E1745">
        <v>176100</v>
      </c>
      <c r="F1745">
        <v>4.5171999999999999</v>
      </c>
    </row>
    <row r="1746" spans="1:6" x14ac:dyDescent="0.25">
      <c r="A1746">
        <v>176200</v>
      </c>
      <c r="B1746">
        <v>5.0846</v>
      </c>
      <c r="E1746">
        <v>176200</v>
      </c>
      <c r="F1746">
        <v>4.5179</v>
      </c>
    </row>
    <row r="1747" spans="1:6" x14ac:dyDescent="0.25">
      <c r="A1747">
        <v>176300</v>
      </c>
      <c r="B1747">
        <v>5.0850999999999997</v>
      </c>
      <c r="E1747">
        <v>176300</v>
      </c>
      <c r="F1747">
        <v>4.5186000000000002</v>
      </c>
    </row>
    <row r="1748" spans="1:6" x14ac:dyDescent="0.25">
      <c r="A1748">
        <v>176400</v>
      </c>
      <c r="B1748">
        <v>5.0857000000000001</v>
      </c>
      <c r="E1748">
        <v>176400</v>
      </c>
      <c r="F1748">
        <v>4.5191999999999997</v>
      </c>
    </row>
    <row r="1749" spans="1:6" x14ac:dyDescent="0.25">
      <c r="A1749">
        <v>176500</v>
      </c>
      <c r="B1749">
        <v>5.0861999999999998</v>
      </c>
      <c r="E1749">
        <v>176500</v>
      </c>
      <c r="F1749">
        <v>4.5198999999999998</v>
      </c>
    </row>
    <row r="1750" spans="1:6" x14ac:dyDescent="0.25">
      <c r="A1750">
        <v>176600</v>
      </c>
      <c r="B1750">
        <v>5.0868000000000002</v>
      </c>
      <c r="E1750">
        <v>176600</v>
      </c>
      <c r="F1750">
        <v>4.5206</v>
      </c>
    </row>
    <row r="1751" spans="1:6" x14ac:dyDescent="0.25">
      <c r="A1751">
        <v>176700</v>
      </c>
      <c r="B1751">
        <v>5.0872999999999999</v>
      </c>
      <c r="E1751">
        <v>176700</v>
      </c>
      <c r="F1751">
        <v>4.5213000000000001</v>
      </c>
    </row>
    <row r="1752" spans="1:6" x14ac:dyDescent="0.25">
      <c r="A1752">
        <v>176800</v>
      </c>
      <c r="B1752">
        <v>5.0879000000000003</v>
      </c>
      <c r="E1752">
        <v>176800</v>
      </c>
      <c r="F1752">
        <v>4.5218999999999996</v>
      </c>
    </row>
    <row r="1753" spans="1:6" x14ac:dyDescent="0.25">
      <c r="A1753">
        <v>176900</v>
      </c>
      <c r="B1753">
        <v>5.0884</v>
      </c>
      <c r="E1753">
        <v>176900</v>
      </c>
      <c r="F1753">
        <v>4.5225999999999997</v>
      </c>
    </row>
    <row r="1754" spans="1:6" x14ac:dyDescent="0.25">
      <c r="A1754">
        <v>177000</v>
      </c>
      <c r="B1754">
        <v>5.0890000000000004</v>
      </c>
      <c r="E1754">
        <v>177000</v>
      </c>
      <c r="F1754">
        <v>4.5232000000000001</v>
      </c>
    </row>
    <row r="1755" spans="1:6" x14ac:dyDescent="0.25">
      <c r="A1755">
        <v>177100</v>
      </c>
      <c r="B1755">
        <v>5.0895000000000001</v>
      </c>
      <c r="E1755">
        <v>177100</v>
      </c>
      <c r="F1755">
        <v>4.5239000000000003</v>
      </c>
    </row>
    <row r="1756" spans="1:6" x14ac:dyDescent="0.25">
      <c r="A1756">
        <v>177200</v>
      </c>
      <c r="B1756">
        <v>5.09</v>
      </c>
      <c r="E1756">
        <v>177200</v>
      </c>
      <c r="F1756">
        <v>4.5246000000000004</v>
      </c>
    </row>
    <row r="1757" spans="1:6" x14ac:dyDescent="0.25">
      <c r="A1757">
        <v>177300</v>
      </c>
      <c r="B1757">
        <v>5.0906000000000002</v>
      </c>
      <c r="E1757">
        <v>177300</v>
      </c>
      <c r="F1757">
        <v>4.5251999999999999</v>
      </c>
    </row>
    <row r="1758" spans="1:6" x14ac:dyDescent="0.25">
      <c r="A1758">
        <v>177400</v>
      </c>
      <c r="B1758">
        <v>5.0911</v>
      </c>
      <c r="E1758">
        <v>177400</v>
      </c>
      <c r="F1758">
        <v>4.5259</v>
      </c>
    </row>
    <row r="1759" spans="1:6" x14ac:dyDescent="0.25">
      <c r="A1759">
        <v>177500</v>
      </c>
      <c r="B1759">
        <v>5.0917000000000003</v>
      </c>
      <c r="E1759">
        <v>177500</v>
      </c>
      <c r="F1759">
        <v>4.5266000000000002</v>
      </c>
    </row>
    <row r="1760" spans="1:6" x14ac:dyDescent="0.25">
      <c r="A1760">
        <v>177600</v>
      </c>
      <c r="B1760">
        <v>5.0922000000000001</v>
      </c>
      <c r="E1760">
        <v>177600</v>
      </c>
      <c r="F1760">
        <v>4.5271999999999997</v>
      </c>
    </row>
    <row r="1761" spans="1:6" x14ac:dyDescent="0.25">
      <c r="A1761">
        <v>177700</v>
      </c>
      <c r="B1761">
        <v>5.0926999999999998</v>
      </c>
      <c r="E1761">
        <v>177700</v>
      </c>
      <c r="F1761">
        <v>4.5278999999999998</v>
      </c>
    </row>
    <row r="1762" spans="1:6" x14ac:dyDescent="0.25">
      <c r="A1762">
        <v>177800</v>
      </c>
      <c r="B1762">
        <v>5.0933000000000002</v>
      </c>
      <c r="E1762">
        <v>177800</v>
      </c>
      <c r="F1762">
        <v>4.5286</v>
      </c>
    </row>
    <row r="1763" spans="1:6" x14ac:dyDescent="0.25">
      <c r="A1763">
        <v>177900</v>
      </c>
      <c r="B1763">
        <v>5.0937999999999999</v>
      </c>
      <c r="E1763">
        <v>177900</v>
      </c>
      <c r="F1763">
        <v>4.5293999999999999</v>
      </c>
    </row>
    <row r="1764" spans="1:6" x14ac:dyDescent="0.25">
      <c r="A1764">
        <v>178000</v>
      </c>
      <c r="B1764">
        <v>5.0944000000000003</v>
      </c>
      <c r="E1764">
        <v>178000</v>
      </c>
      <c r="F1764">
        <v>4.5301</v>
      </c>
    </row>
    <row r="1765" spans="1:6" x14ac:dyDescent="0.25">
      <c r="A1765">
        <v>178100</v>
      </c>
      <c r="B1765">
        <v>5.0949</v>
      </c>
      <c r="E1765">
        <v>178100</v>
      </c>
      <c r="F1765">
        <v>4.5308999999999999</v>
      </c>
    </row>
    <row r="1766" spans="1:6" x14ac:dyDescent="0.25">
      <c r="A1766">
        <v>178200</v>
      </c>
      <c r="B1766">
        <v>5.0953999999999997</v>
      </c>
      <c r="E1766">
        <v>178200</v>
      </c>
      <c r="F1766">
        <v>4.5316000000000001</v>
      </c>
    </row>
    <row r="1767" spans="1:6" x14ac:dyDescent="0.25">
      <c r="A1767">
        <v>178300</v>
      </c>
      <c r="B1767">
        <v>5.0960000000000001</v>
      </c>
      <c r="E1767">
        <v>178300</v>
      </c>
      <c r="F1767">
        <v>4.5323000000000002</v>
      </c>
    </row>
    <row r="1768" spans="1:6" x14ac:dyDescent="0.25">
      <c r="A1768">
        <v>178400</v>
      </c>
      <c r="B1768">
        <v>5.0964999999999998</v>
      </c>
      <c r="E1768">
        <v>178400</v>
      </c>
      <c r="F1768">
        <v>4.5331000000000001</v>
      </c>
    </row>
    <row r="1769" spans="1:6" x14ac:dyDescent="0.25">
      <c r="A1769">
        <v>178500</v>
      </c>
      <c r="B1769">
        <v>5.0970000000000004</v>
      </c>
      <c r="E1769">
        <v>178500</v>
      </c>
      <c r="F1769">
        <v>4.5338000000000003</v>
      </c>
    </row>
    <row r="1770" spans="1:6" x14ac:dyDescent="0.25">
      <c r="A1770">
        <v>178600</v>
      </c>
      <c r="B1770">
        <v>5.0975999999999999</v>
      </c>
      <c r="E1770">
        <v>178600</v>
      </c>
      <c r="F1770">
        <v>4.5345000000000004</v>
      </c>
    </row>
    <row r="1771" spans="1:6" x14ac:dyDescent="0.25">
      <c r="A1771">
        <v>178700</v>
      </c>
      <c r="B1771">
        <v>5.0980999999999996</v>
      </c>
      <c r="E1771">
        <v>178700</v>
      </c>
      <c r="F1771">
        <v>4.5353000000000003</v>
      </c>
    </row>
    <row r="1772" spans="1:6" x14ac:dyDescent="0.25">
      <c r="A1772">
        <v>178800</v>
      </c>
      <c r="B1772">
        <v>5.0986000000000002</v>
      </c>
      <c r="E1772">
        <v>178800</v>
      </c>
      <c r="F1772">
        <v>4.5359999999999996</v>
      </c>
    </row>
    <row r="1773" spans="1:6" x14ac:dyDescent="0.25">
      <c r="A1773">
        <v>178900</v>
      </c>
      <c r="B1773">
        <v>5.0991999999999997</v>
      </c>
      <c r="E1773">
        <v>178900</v>
      </c>
      <c r="F1773">
        <v>4.5368000000000004</v>
      </c>
    </row>
    <row r="1774" spans="1:6" x14ac:dyDescent="0.25">
      <c r="A1774">
        <v>179000</v>
      </c>
      <c r="B1774">
        <v>5.0997000000000003</v>
      </c>
      <c r="E1774">
        <v>179000</v>
      </c>
      <c r="F1774">
        <v>4.5374999999999996</v>
      </c>
    </row>
    <row r="1775" spans="1:6" x14ac:dyDescent="0.25">
      <c r="A1775">
        <v>179100</v>
      </c>
      <c r="B1775">
        <v>5.1002000000000001</v>
      </c>
      <c r="E1775">
        <v>179100</v>
      </c>
      <c r="F1775">
        <v>4.5381999999999998</v>
      </c>
    </row>
    <row r="1776" spans="1:6" x14ac:dyDescent="0.25">
      <c r="A1776">
        <v>179200</v>
      </c>
      <c r="B1776">
        <v>5.1007999999999996</v>
      </c>
      <c r="E1776">
        <v>179200</v>
      </c>
      <c r="F1776">
        <v>4.5389999999999997</v>
      </c>
    </row>
    <row r="1777" spans="1:6" x14ac:dyDescent="0.25">
      <c r="A1777">
        <v>179300</v>
      </c>
      <c r="B1777">
        <v>5.1013000000000002</v>
      </c>
      <c r="E1777">
        <v>179300</v>
      </c>
      <c r="F1777">
        <v>4.5396999999999998</v>
      </c>
    </row>
    <row r="1778" spans="1:6" x14ac:dyDescent="0.25">
      <c r="A1778">
        <v>179400</v>
      </c>
      <c r="B1778">
        <v>5.1017999999999999</v>
      </c>
      <c r="E1778">
        <v>179400</v>
      </c>
      <c r="F1778">
        <v>4.5404</v>
      </c>
    </row>
    <row r="1779" spans="1:6" x14ac:dyDescent="0.25">
      <c r="A1779">
        <v>179500</v>
      </c>
      <c r="B1779">
        <v>5.1022999999999996</v>
      </c>
      <c r="E1779">
        <v>179500</v>
      </c>
      <c r="F1779">
        <v>4.5411000000000001</v>
      </c>
    </row>
    <row r="1780" spans="1:6" x14ac:dyDescent="0.25">
      <c r="A1780">
        <v>179600</v>
      </c>
      <c r="B1780">
        <v>5.1029</v>
      </c>
      <c r="E1780">
        <v>179600</v>
      </c>
      <c r="F1780">
        <v>4.5419</v>
      </c>
    </row>
    <row r="1781" spans="1:6" x14ac:dyDescent="0.25">
      <c r="A1781">
        <v>179700</v>
      </c>
      <c r="B1781">
        <v>5.1033999999999997</v>
      </c>
      <c r="E1781">
        <v>179700</v>
      </c>
      <c r="F1781">
        <v>4.5426000000000002</v>
      </c>
    </row>
    <row r="1782" spans="1:6" x14ac:dyDescent="0.25">
      <c r="A1782">
        <v>179800</v>
      </c>
      <c r="B1782">
        <v>5.1039000000000003</v>
      </c>
      <c r="E1782">
        <v>179800</v>
      </c>
      <c r="F1782">
        <v>4.5433000000000003</v>
      </c>
    </row>
    <row r="1783" spans="1:6" x14ac:dyDescent="0.25">
      <c r="A1783">
        <v>179900</v>
      </c>
      <c r="B1783">
        <v>5.1044</v>
      </c>
      <c r="E1783">
        <v>179900</v>
      </c>
      <c r="F1783">
        <v>4.5441000000000003</v>
      </c>
    </row>
    <row r="1784" spans="1:6" x14ac:dyDescent="0.25">
      <c r="A1784">
        <v>180000</v>
      </c>
      <c r="B1784">
        <v>5.1050000000000004</v>
      </c>
      <c r="E1784">
        <v>180000</v>
      </c>
      <c r="F1784">
        <v>4.5448000000000004</v>
      </c>
    </row>
    <row r="1785" spans="1:6" x14ac:dyDescent="0.25">
      <c r="A1785">
        <v>180100</v>
      </c>
      <c r="B1785">
        <v>5.1055000000000001</v>
      </c>
      <c r="E1785">
        <v>180100</v>
      </c>
      <c r="F1785">
        <v>4.5454999999999997</v>
      </c>
    </row>
    <row r="1786" spans="1:6" x14ac:dyDescent="0.25">
      <c r="A1786">
        <v>180200</v>
      </c>
      <c r="B1786">
        <v>5.1059999999999999</v>
      </c>
      <c r="E1786">
        <v>180200</v>
      </c>
      <c r="F1786">
        <v>4.5461999999999998</v>
      </c>
    </row>
    <row r="1787" spans="1:6" x14ac:dyDescent="0.25">
      <c r="A1787">
        <v>180300</v>
      </c>
      <c r="B1787">
        <v>5.1064999999999996</v>
      </c>
      <c r="E1787">
        <v>180300</v>
      </c>
      <c r="F1787">
        <v>4.5468999999999999</v>
      </c>
    </row>
    <row r="1788" spans="1:6" x14ac:dyDescent="0.25">
      <c r="A1788">
        <v>180400</v>
      </c>
      <c r="B1788">
        <v>5.1071</v>
      </c>
      <c r="E1788">
        <v>180400</v>
      </c>
      <c r="F1788">
        <v>4.5476999999999999</v>
      </c>
    </row>
    <row r="1789" spans="1:6" x14ac:dyDescent="0.25">
      <c r="A1789">
        <v>180500</v>
      </c>
      <c r="B1789">
        <v>5.1075999999999997</v>
      </c>
      <c r="E1789">
        <v>180500</v>
      </c>
      <c r="F1789">
        <v>4.5484</v>
      </c>
    </row>
    <row r="1790" spans="1:6" x14ac:dyDescent="0.25">
      <c r="A1790">
        <v>180600</v>
      </c>
      <c r="B1790">
        <v>5.1081000000000003</v>
      </c>
      <c r="E1790">
        <v>180600</v>
      </c>
      <c r="F1790">
        <v>4.5491000000000001</v>
      </c>
    </row>
    <row r="1791" spans="1:6" x14ac:dyDescent="0.25">
      <c r="A1791">
        <v>180700</v>
      </c>
      <c r="B1791">
        <v>5.1086</v>
      </c>
      <c r="E1791">
        <v>180700</v>
      </c>
      <c r="F1791">
        <v>4.5498000000000003</v>
      </c>
    </row>
    <row r="1792" spans="1:6" x14ac:dyDescent="0.25">
      <c r="A1792">
        <v>180800</v>
      </c>
      <c r="B1792">
        <v>5.1092000000000004</v>
      </c>
      <c r="E1792">
        <v>180800</v>
      </c>
      <c r="F1792">
        <v>4.5506000000000002</v>
      </c>
    </row>
    <row r="1793" spans="1:6" x14ac:dyDescent="0.25">
      <c r="A1793">
        <v>180900</v>
      </c>
      <c r="B1793">
        <v>5.1097000000000001</v>
      </c>
      <c r="E1793">
        <v>180900</v>
      </c>
      <c r="F1793">
        <v>4.5513000000000003</v>
      </c>
    </row>
    <row r="1794" spans="1:6" x14ac:dyDescent="0.25">
      <c r="A1794">
        <v>181000</v>
      </c>
      <c r="B1794">
        <v>5.1101999999999999</v>
      </c>
      <c r="E1794">
        <v>181000</v>
      </c>
      <c r="F1794">
        <v>4.5519999999999996</v>
      </c>
    </row>
    <row r="1795" spans="1:6" x14ac:dyDescent="0.25">
      <c r="A1795">
        <v>181100</v>
      </c>
      <c r="B1795">
        <v>5.1106999999999996</v>
      </c>
      <c r="E1795">
        <v>181100</v>
      </c>
      <c r="F1795">
        <v>4.5526999999999997</v>
      </c>
    </row>
    <row r="1796" spans="1:6" x14ac:dyDescent="0.25">
      <c r="A1796">
        <v>181200</v>
      </c>
      <c r="B1796">
        <v>5.1112000000000002</v>
      </c>
      <c r="E1796">
        <v>181200</v>
      </c>
      <c r="F1796">
        <v>4.5533999999999999</v>
      </c>
    </row>
    <row r="1797" spans="1:6" x14ac:dyDescent="0.25">
      <c r="A1797">
        <v>181300</v>
      </c>
      <c r="B1797">
        <v>5.1116999999999999</v>
      </c>
      <c r="E1797">
        <v>181300</v>
      </c>
      <c r="F1797">
        <v>4.5541</v>
      </c>
    </row>
    <row r="1798" spans="1:6" x14ac:dyDescent="0.25">
      <c r="A1798">
        <v>181400</v>
      </c>
      <c r="B1798">
        <v>5.1123000000000003</v>
      </c>
      <c r="E1798">
        <v>181400</v>
      </c>
      <c r="F1798">
        <v>4.5548999999999999</v>
      </c>
    </row>
    <row r="1799" spans="1:6" x14ac:dyDescent="0.25">
      <c r="A1799">
        <v>181500</v>
      </c>
      <c r="B1799">
        <v>5.1128</v>
      </c>
      <c r="E1799">
        <v>181500</v>
      </c>
      <c r="F1799">
        <v>4.5556000000000001</v>
      </c>
    </row>
    <row r="1800" spans="1:6" x14ac:dyDescent="0.25">
      <c r="A1800">
        <v>181600</v>
      </c>
      <c r="B1800">
        <v>5.1132999999999997</v>
      </c>
      <c r="E1800">
        <v>181600</v>
      </c>
      <c r="F1800">
        <v>4.5563000000000002</v>
      </c>
    </row>
    <row r="1801" spans="1:6" x14ac:dyDescent="0.25">
      <c r="A1801">
        <v>181700</v>
      </c>
      <c r="B1801">
        <v>5.1138000000000003</v>
      </c>
      <c r="E1801">
        <v>181700</v>
      </c>
      <c r="F1801">
        <v>4.5570000000000004</v>
      </c>
    </row>
    <row r="1802" spans="1:6" x14ac:dyDescent="0.25">
      <c r="A1802">
        <v>181800</v>
      </c>
      <c r="B1802">
        <v>5.1143000000000001</v>
      </c>
      <c r="E1802">
        <v>181800</v>
      </c>
      <c r="F1802">
        <v>4.5576999999999996</v>
      </c>
    </row>
    <row r="1803" spans="1:6" x14ac:dyDescent="0.25">
      <c r="A1803">
        <v>181900</v>
      </c>
      <c r="B1803">
        <v>5.1147999999999998</v>
      </c>
      <c r="E1803">
        <v>181900</v>
      </c>
      <c r="F1803">
        <v>4.5583999999999998</v>
      </c>
    </row>
    <row r="1804" spans="1:6" x14ac:dyDescent="0.25">
      <c r="A1804">
        <v>182000</v>
      </c>
      <c r="B1804">
        <v>5.1154000000000002</v>
      </c>
      <c r="E1804">
        <v>182000</v>
      </c>
      <c r="F1804">
        <v>4.5590999999999999</v>
      </c>
    </row>
    <row r="1805" spans="1:6" x14ac:dyDescent="0.25">
      <c r="A1805">
        <v>182100</v>
      </c>
      <c r="B1805">
        <v>5.1158999999999999</v>
      </c>
      <c r="E1805">
        <v>182100</v>
      </c>
      <c r="F1805">
        <v>4.5598000000000001</v>
      </c>
    </row>
    <row r="1806" spans="1:6" x14ac:dyDescent="0.25">
      <c r="A1806">
        <v>182200</v>
      </c>
      <c r="B1806">
        <v>5.1163999999999996</v>
      </c>
      <c r="E1806">
        <v>182200</v>
      </c>
      <c r="F1806">
        <v>4.5605000000000002</v>
      </c>
    </row>
    <row r="1807" spans="1:6" x14ac:dyDescent="0.25">
      <c r="A1807">
        <v>182300</v>
      </c>
      <c r="B1807">
        <v>5.1169000000000002</v>
      </c>
      <c r="E1807">
        <v>182300</v>
      </c>
      <c r="F1807">
        <v>4.5612000000000004</v>
      </c>
    </row>
    <row r="1808" spans="1:6" x14ac:dyDescent="0.25">
      <c r="A1808">
        <v>182400</v>
      </c>
      <c r="B1808">
        <v>5.1173999999999999</v>
      </c>
      <c r="E1808">
        <v>182400</v>
      </c>
      <c r="F1808">
        <v>4.5620000000000003</v>
      </c>
    </row>
    <row r="1809" spans="1:6" x14ac:dyDescent="0.25">
      <c r="A1809">
        <v>182500</v>
      </c>
      <c r="B1809">
        <v>5.1178999999999997</v>
      </c>
      <c r="E1809">
        <v>182500</v>
      </c>
      <c r="F1809">
        <v>4.5627000000000004</v>
      </c>
    </row>
    <row r="1810" spans="1:6" x14ac:dyDescent="0.25">
      <c r="A1810">
        <v>182600</v>
      </c>
      <c r="B1810">
        <v>5.1184000000000003</v>
      </c>
      <c r="E1810">
        <v>182600</v>
      </c>
      <c r="F1810">
        <v>4.5633999999999997</v>
      </c>
    </row>
    <row r="1811" spans="1:6" x14ac:dyDescent="0.25">
      <c r="A1811">
        <v>182700</v>
      </c>
      <c r="B1811">
        <v>5.1189</v>
      </c>
      <c r="E1811">
        <v>182700</v>
      </c>
      <c r="F1811">
        <v>4.5640999999999998</v>
      </c>
    </row>
    <row r="1812" spans="1:6" x14ac:dyDescent="0.25">
      <c r="A1812">
        <v>182800</v>
      </c>
      <c r="B1812">
        <v>5.1193999999999997</v>
      </c>
      <c r="E1812">
        <v>182800</v>
      </c>
      <c r="F1812">
        <v>4.5648</v>
      </c>
    </row>
    <row r="1813" spans="1:6" x14ac:dyDescent="0.25">
      <c r="A1813">
        <v>182900</v>
      </c>
      <c r="B1813">
        <v>5.12</v>
      </c>
      <c r="E1813">
        <v>182900</v>
      </c>
      <c r="F1813">
        <v>4.5655000000000001</v>
      </c>
    </row>
    <row r="1814" spans="1:6" x14ac:dyDescent="0.25">
      <c r="A1814">
        <v>183000</v>
      </c>
      <c r="B1814">
        <v>5.1204999999999998</v>
      </c>
      <c r="E1814">
        <v>183000</v>
      </c>
      <c r="F1814">
        <v>4.5662000000000003</v>
      </c>
    </row>
    <row r="1815" spans="1:6" x14ac:dyDescent="0.25">
      <c r="A1815">
        <v>183100</v>
      </c>
      <c r="B1815">
        <v>5.1210000000000004</v>
      </c>
      <c r="E1815">
        <v>183100</v>
      </c>
      <c r="F1815">
        <v>4.5669000000000004</v>
      </c>
    </row>
    <row r="1816" spans="1:6" x14ac:dyDescent="0.25">
      <c r="A1816">
        <v>183200</v>
      </c>
      <c r="B1816">
        <v>5.1215000000000002</v>
      </c>
      <c r="E1816">
        <v>183200</v>
      </c>
      <c r="F1816">
        <v>4.5675999999999997</v>
      </c>
    </row>
    <row r="1817" spans="1:6" x14ac:dyDescent="0.25">
      <c r="A1817">
        <v>183300</v>
      </c>
      <c r="B1817">
        <v>5.1219999999999999</v>
      </c>
      <c r="E1817">
        <v>183300</v>
      </c>
      <c r="F1817">
        <v>4.5682999999999998</v>
      </c>
    </row>
    <row r="1818" spans="1:6" x14ac:dyDescent="0.25">
      <c r="A1818">
        <v>183400</v>
      </c>
      <c r="B1818">
        <v>5.1224999999999996</v>
      </c>
      <c r="E1818">
        <v>183400</v>
      </c>
      <c r="F1818">
        <v>4.569</v>
      </c>
    </row>
    <row r="1819" spans="1:6" x14ac:dyDescent="0.25">
      <c r="A1819">
        <v>183500</v>
      </c>
      <c r="B1819">
        <v>5.1230000000000002</v>
      </c>
      <c r="E1819">
        <v>183500</v>
      </c>
      <c r="F1819">
        <v>4.5697000000000001</v>
      </c>
    </row>
    <row r="1820" spans="1:6" x14ac:dyDescent="0.25">
      <c r="A1820">
        <v>183600</v>
      </c>
      <c r="B1820">
        <v>5.1234999999999999</v>
      </c>
      <c r="E1820">
        <v>183600</v>
      </c>
      <c r="F1820">
        <v>4.5704000000000002</v>
      </c>
    </row>
    <row r="1821" spans="1:6" x14ac:dyDescent="0.25">
      <c r="A1821">
        <v>183700</v>
      </c>
      <c r="B1821">
        <v>5.1239999999999997</v>
      </c>
      <c r="E1821">
        <v>183700</v>
      </c>
      <c r="F1821">
        <v>4.5711000000000004</v>
      </c>
    </row>
    <row r="1822" spans="1:6" x14ac:dyDescent="0.25">
      <c r="A1822">
        <v>183800</v>
      </c>
      <c r="B1822">
        <v>5.1245000000000003</v>
      </c>
      <c r="E1822">
        <v>183800</v>
      </c>
      <c r="F1822">
        <v>4.5717999999999996</v>
      </c>
    </row>
    <row r="1823" spans="1:6" x14ac:dyDescent="0.25">
      <c r="A1823">
        <v>183900</v>
      </c>
      <c r="B1823">
        <v>5.125</v>
      </c>
      <c r="E1823">
        <v>183900</v>
      </c>
      <c r="F1823">
        <v>4.5724999999999998</v>
      </c>
    </row>
    <row r="1824" spans="1:6" x14ac:dyDescent="0.25">
      <c r="A1824">
        <v>184000</v>
      </c>
      <c r="B1824">
        <v>5.1254999999999997</v>
      </c>
      <c r="E1824">
        <v>184000</v>
      </c>
      <c r="F1824">
        <v>4.5731999999999999</v>
      </c>
    </row>
    <row r="1825" spans="1:6" x14ac:dyDescent="0.25">
      <c r="A1825">
        <v>184100</v>
      </c>
      <c r="B1825">
        <v>5.1260000000000003</v>
      </c>
      <c r="E1825">
        <v>184100</v>
      </c>
      <c r="F1825">
        <v>4.5738000000000003</v>
      </c>
    </row>
    <row r="1826" spans="1:6" x14ac:dyDescent="0.25">
      <c r="A1826">
        <v>184200</v>
      </c>
      <c r="B1826">
        <v>5.1265000000000001</v>
      </c>
      <c r="E1826">
        <v>184200</v>
      </c>
      <c r="F1826">
        <v>4.5744999999999996</v>
      </c>
    </row>
    <row r="1827" spans="1:6" x14ac:dyDescent="0.25">
      <c r="A1827">
        <v>184300</v>
      </c>
      <c r="B1827">
        <v>5.1269999999999998</v>
      </c>
      <c r="E1827">
        <v>184300</v>
      </c>
      <c r="F1827">
        <v>4.5751999999999997</v>
      </c>
    </row>
    <row r="1828" spans="1:6" x14ac:dyDescent="0.25">
      <c r="A1828">
        <v>184400</v>
      </c>
      <c r="B1828">
        <v>5.1275000000000004</v>
      </c>
      <c r="E1828">
        <v>184400</v>
      </c>
      <c r="F1828">
        <v>4.5758999999999999</v>
      </c>
    </row>
    <row r="1829" spans="1:6" x14ac:dyDescent="0.25">
      <c r="A1829">
        <v>184500</v>
      </c>
      <c r="B1829">
        <v>5.1280000000000001</v>
      </c>
      <c r="E1829">
        <v>184500</v>
      </c>
      <c r="F1829">
        <v>4.5766</v>
      </c>
    </row>
    <row r="1830" spans="1:6" x14ac:dyDescent="0.25">
      <c r="A1830">
        <v>184600</v>
      </c>
      <c r="B1830">
        <v>5.1284999999999998</v>
      </c>
      <c r="E1830">
        <v>184600</v>
      </c>
      <c r="F1830">
        <v>4.5773000000000001</v>
      </c>
    </row>
    <row r="1831" spans="1:6" x14ac:dyDescent="0.25">
      <c r="A1831">
        <v>184700</v>
      </c>
      <c r="B1831">
        <v>5.1289999999999996</v>
      </c>
      <c r="E1831">
        <v>184700</v>
      </c>
      <c r="F1831">
        <v>4.5780000000000003</v>
      </c>
    </row>
    <row r="1832" spans="1:6" x14ac:dyDescent="0.25">
      <c r="A1832">
        <v>184800</v>
      </c>
      <c r="B1832">
        <v>5.1295000000000002</v>
      </c>
      <c r="E1832">
        <v>184800</v>
      </c>
      <c r="F1832">
        <v>4.5787000000000004</v>
      </c>
    </row>
    <row r="1833" spans="1:6" x14ac:dyDescent="0.25">
      <c r="A1833">
        <v>184900</v>
      </c>
      <c r="B1833">
        <v>5.13</v>
      </c>
      <c r="E1833">
        <v>184900</v>
      </c>
      <c r="F1833">
        <v>4.5793999999999997</v>
      </c>
    </row>
    <row r="1834" spans="1:6" x14ac:dyDescent="0.25">
      <c r="A1834">
        <v>185000</v>
      </c>
      <c r="B1834">
        <v>5.1304999999999996</v>
      </c>
      <c r="E1834">
        <v>185000</v>
      </c>
      <c r="F1834">
        <v>4.5800999999999998</v>
      </c>
    </row>
    <row r="1835" spans="1:6" x14ac:dyDescent="0.25">
      <c r="A1835">
        <v>185100</v>
      </c>
      <c r="B1835">
        <v>5.1310000000000002</v>
      </c>
      <c r="E1835">
        <v>185100</v>
      </c>
      <c r="F1835">
        <v>4.5807000000000002</v>
      </c>
    </row>
    <row r="1836" spans="1:6" x14ac:dyDescent="0.25">
      <c r="A1836">
        <v>185200</v>
      </c>
      <c r="B1836">
        <v>5.1315</v>
      </c>
      <c r="E1836">
        <v>185200</v>
      </c>
      <c r="F1836">
        <v>4.5814000000000004</v>
      </c>
    </row>
    <row r="1837" spans="1:6" x14ac:dyDescent="0.25">
      <c r="A1837">
        <v>185300</v>
      </c>
      <c r="B1837">
        <v>5.1319999999999997</v>
      </c>
      <c r="E1837">
        <v>185300</v>
      </c>
      <c r="F1837">
        <v>4.5820999999999996</v>
      </c>
    </row>
    <row r="1838" spans="1:6" x14ac:dyDescent="0.25">
      <c r="A1838">
        <v>185400</v>
      </c>
      <c r="B1838">
        <v>5.1325000000000003</v>
      </c>
      <c r="E1838">
        <v>185400</v>
      </c>
      <c r="F1838">
        <v>4.5827999999999998</v>
      </c>
    </row>
    <row r="1839" spans="1:6" x14ac:dyDescent="0.25">
      <c r="A1839">
        <v>185500</v>
      </c>
      <c r="B1839">
        <v>5.133</v>
      </c>
      <c r="E1839">
        <v>185500</v>
      </c>
      <c r="F1839">
        <v>4.5834999999999999</v>
      </c>
    </row>
    <row r="1840" spans="1:6" x14ac:dyDescent="0.25">
      <c r="A1840">
        <v>185600</v>
      </c>
      <c r="B1840">
        <v>5.1334999999999997</v>
      </c>
      <c r="E1840">
        <v>185600</v>
      </c>
      <c r="F1840">
        <v>4.5842000000000001</v>
      </c>
    </row>
    <row r="1841" spans="1:6" x14ac:dyDescent="0.25">
      <c r="A1841">
        <v>185700</v>
      </c>
      <c r="B1841">
        <v>5.1340000000000003</v>
      </c>
      <c r="E1841">
        <v>185700</v>
      </c>
      <c r="F1841">
        <v>4.5848000000000004</v>
      </c>
    </row>
    <row r="1842" spans="1:6" x14ac:dyDescent="0.25">
      <c r="A1842">
        <v>185800</v>
      </c>
      <c r="B1842">
        <v>5.1345000000000001</v>
      </c>
      <c r="E1842">
        <v>185800</v>
      </c>
      <c r="F1842">
        <v>4.5854999999999997</v>
      </c>
    </row>
    <row r="1843" spans="1:6" x14ac:dyDescent="0.25">
      <c r="A1843">
        <v>185900</v>
      </c>
      <c r="B1843">
        <v>5.1349999999999998</v>
      </c>
      <c r="E1843">
        <v>185900</v>
      </c>
      <c r="F1843">
        <v>4.5861999999999998</v>
      </c>
    </row>
    <row r="1844" spans="1:6" x14ac:dyDescent="0.25">
      <c r="A1844">
        <v>186000</v>
      </c>
      <c r="B1844">
        <v>5.1355000000000004</v>
      </c>
      <c r="E1844">
        <v>186000</v>
      </c>
      <c r="F1844">
        <v>4.5869</v>
      </c>
    </row>
    <row r="1845" spans="1:6" x14ac:dyDescent="0.25">
      <c r="A1845">
        <v>186100</v>
      </c>
      <c r="B1845">
        <v>5.1359000000000004</v>
      </c>
      <c r="E1845">
        <v>186100</v>
      </c>
      <c r="F1845">
        <v>4.5876000000000001</v>
      </c>
    </row>
    <row r="1846" spans="1:6" x14ac:dyDescent="0.25">
      <c r="A1846">
        <v>186200</v>
      </c>
      <c r="B1846">
        <v>5.1364000000000001</v>
      </c>
      <c r="E1846">
        <v>186200</v>
      </c>
      <c r="F1846">
        <v>4.5881999999999996</v>
      </c>
    </row>
    <row r="1847" spans="1:6" x14ac:dyDescent="0.25">
      <c r="A1847">
        <v>186300</v>
      </c>
      <c r="B1847">
        <v>5.1368999999999998</v>
      </c>
      <c r="E1847">
        <v>186300</v>
      </c>
      <c r="F1847">
        <v>4.5888999999999998</v>
      </c>
    </row>
    <row r="1848" spans="1:6" x14ac:dyDescent="0.25">
      <c r="A1848">
        <v>186400</v>
      </c>
      <c r="B1848">
        <v>5.1374000000000004</v>
      </c>
      <c r="E1848">
        <v>186400</v>
      </c>
      <c r="F1848">
        <v>4.5895999999999999</v>
      </c>
    </row>
    <row r="1849" spans="1:6" x14ac:dyDescent="0.25">
      <c r="A1849">
        <v>186500</v>
      </c>
      <c r="B1849">
        <v>5.1379000000000001</v>
      </c>
      <c r="E1849">
        <v>186500</v>
      </c>
      <c r="F1849">
        <v>4.5903</v>
      </c>
    </row>
    <row r="1850" spans="1:6" x14ac:dyDescent="0.25">
      <c r="A1850">
        <v>186600</v>
      </c>
      <c r="B1850">
        <v>5.1383999999999999</v>
      </c>
      <c r="E1850">
        <v>186600</v>
      </c>
      <c r="F1850">
        <v>4.5909000000000004</v>
      </c>
    </row>
    <row r="1851" spans="1:6" x14ac:dyDescent="0.25">
      <c r="A1851">
        <v>186700</v>
      </c>
      <c r="B1851">
        <v>5.1388999999999996</v>
      </c>
      <c r="E1851">
        <v>186700</v>
      </c>
      <c r="F1851">
        <v>4.5915999999999997</v>
      </c>
    </row>
    <row r="1852" spans="1:6" x14ac:dyDescent="0.25">
      <c r="A1852">
        <v>186800</v>
      </c>
      <c r="B1852">
        <v>5.1394000000000002</v>
      </c>
      <c r="E1852">
        <v>186800</v>
      </c>
      <c r="F1852">
        <v>4.5922999999999998</v>
      </c>
    </row>
    <row r="1853" spans="1:6" x14ac:dyDescent="0.25">
      <c r="A1853">
        <v>186900</v>
      </c>
      <c r="B1853">
        <v>5.1398999999999999</v>
      </c>
      <c r="E1853">
        <v>186900</v>
      </c>
      <c r="F1853">
        <v>4.593</v>
      </c>
    </row>
    <row r="1854" spans="1:6" x14ac:dyDescent="0.25">
      <c r="A1854">
        <v>187000</v>
      </c>
      <c r="B1854">
        <v>5.1402999999999999</v>
      </c>
      <c r="E1854">
        <v>187000</v>
      </c>
      <c r="F1854">
        <v>4.5936000000000003</v>
      </c>
    </row>
    <row r="1855" spans="1:6" x14ac:dyDescent="0.25">
      <c r="A1855">
        <v>187100</v>
      </c>
      <c r="B1855">
        <v>5.1407999999999996</v>
      </c>
      <c r="E1855">
        <v>187100</v>
      </c>
      <c r="F1855">
        <v>4.5942999999999996</v>
      </c>
    </row>
    <row r="1856" spans="1:6" x14ac:dyDescent="0.25">
      <c r="A1856">
        <v>187200</v>
      </c>
      <c r="B1856">
        <v>5.1413000000000002</v>
      </c>
      <c r="E1856">
        <v>187200</v>
      </c>
      <c r="F1856">
        <v>4.5949999999999998</v>
      </c>
    </row>
    <row r="1857" spans="1:6" x14ac:dyDescent="0.25">
      <c r="A1857">
        <v>187300</v>
      </c>
      <c r="B1857">
        <v>5.1417999999999999</v>
      </c>
      <c r="E1857">
        <v>187300</v>
      </c>
      <c r="F1857">
        <v>4.5956000000000001</v>
      </c>
    </row>
    <row r="1858" spans="1:6" x14ac:dyDescent="0.25">
      <c r="A1858">
        <v>187400</v>
      </c>
      <c r="B1858">
        <v>5.1422999999999996</v>
      </c>
      <c r="E1858">
        <v>187400</v>
      </c>
      <c r="F1858">
        <v>4.5963000000000003</v>
      </c>
    </row>
    <row r="1859" spans="1:6" x14ac:dyDescent="0.25">
      <c r="A1859">
        <v>187500</v>
      </c>
      <c r="B1859">
        <v>5.1428000000000003</v>
      </c>
      <c r="E1859">
        <v>187500</v>
      </c>
      <c r="F1859">
        <v>4.5970000000000004</v>
      </c>
    </row>
    <row r="1860" spans="1:6" x14ac:dyDescent="0.25">
      <c r="A1860">
        <v>187600</v>
      </c>
      <c r="B1860">
        <v>5.1433</v>
      </c>
      <c r="E1860">
        <v>187600</v>
      </c>
      <c r="F1860">
        <v>4.5976999999999997</v>
      </c>
    </row>
    <row r="1861" spans="1:6" x14ac:dyDescent="0.25">
      <c r="A1861">
        <v>187700</v>
      </c>
      <c r="B1861">
        <v>5.1436999999999999</v>
      </c>
      <c r="E1861">
        <v>187700</v>
      </c>
      <c r="F1861">
        <v>4.5983000000000001</v>
      </c>
    </row>
    <row r="1862" spans="1:6" x14ac:dyDescent="0.25">
      <c r="A1862">
        <v>187800</v>
      </c>
      <c r="B1862">
        <v>5.1441999999999997</v>
      </c>
      <c r="E1862">
        <v>187800</v>
      </c>
      <c r="F1862">
        <v>4.5990000000000002</v>
      </c>
    </row>
    <row r="1863" spans="1:6" x14ac:dyDescent="0.25">
      <c r="A1863">
        <v>187900</v>
      </c>
      <c r="B1863">
        <v>5.1447000000000003</v>
      </c>
      <c r="E1863">
        <v>187900</v>
      </c>
      <c r="F1863">
        <v>4.5997000000000003</v>
      </c>
    </row>
    <row r="1864" spans="1:6" x14ac:dyDescent="0.25">
      <c r="A1864">
        <v>188000</v>
      </c>
      <c r="B1864">
        <v>5.1452</v>
      </c>
      <c r="E1864">
        <v>188000</v>
      </c>
      <c r="F1864">
        <v>4.6002999999999998</v>
      </c>
    </row>
    <row r="1865" spans="1:6" x14ac:dyDescent="0.25">
      <c r="A1865">
        <v>188100</v>
      </c>
      <c r="B1865">
        <v>5.1456999999999997</v>
      </c>
      <c r="E1865">
        <v>188100</v>
      </c>
      <c r="F1865">
        <v>4.601</v>
      </c>
    </row>
    <row r="1866" spans="1:6" x14ac:dyDescent="0.25">
      <c r="A1866">
        <v>188200</v>
      </c>
      <c r="B1866">
        <v>5.1460999999999997</v>
      </c>
      <c r="E1866">
        <v>188200</v>
      </c>
      <c r="F1866">
        <v>4.6016000000000004</v>
      </c>
    </row>
    <row r="1867" spans="1:6" x14ac:dyDescent="0.25">
      <c r="A1867">
        <v>188300</v>
      </c>
      <c r="B1867">
        <v>5.1466000000000003</v>
      </c>
      <c r="E1867">
        <v>188300</v>
      </c>
      <c r="F1867">
        <v>4.6022999999999996</v>
      </c>
    </row>
    <row r="1868" spans="1:6" x14ac:dyDescent="0.25">
      <c r="A1868">
        <v>188400</v>
      </c>
      <c r="B1868">
        <v>5.1471</v>
      </c>
      <c r="E1868">
        <v>188400</v>
      </c>
      <c r="F1868">
        <v>4.6029999999999998</v>
      </c>
    </row>
    <row r="1869" spans="1:6" x14ac:dyDescent="0.25">
      <c r="A1869">
        <v>188500</v>
      </c>
      <c r="B1869">
        <v>5.1475999999999997</v>
      </c>
      <c r="E1869">
        <v>188500</v>
      </c>
      <c r="F1869">
        <v>4.6036000000000001</v>
      </c>
    </row>
    <row r="1870" spans="1:6" x14ac:dyDescent="0.25">
      <c r="A1870">
        <v>188600</v>
      </c>
      <c r="B1870">
        <v>5.1481000000000003</v>
      </c>
      <c r="E1870">
        <v>188600</v>
      </c>
      <c r="F1870">
        <v>4.6043000000000003</v>
      </c>
    </row>
    <row r="1871" spans="1:6" x14ac:dyDescent="0.25">
      <c r="A1871">
        <v>188700</v>
      </c>
      <c r="B1871">
        <v>5.1485000000000003</v>
      </c>
      <c r="E1871">
        <v>188700</v>
      </c>
      <c r="F1871">
        <v>4.6050000000000004</v>
      </c>
    </row>
    <row r="1872" spans="1:6" x14ac:dyDescent="0.25">
      <c r="A1872">
        <v>188800</v>
      </c>
      <c r="B1872">
        <v>5.149</v>
      </c>
      <c r="E1872">
        <v>188800</v>
      </c>
      <c r="F1872">
        <v>4.6055999999999999</v>
      </c>
    </row>
    <row r="1873" spans="1:6" x14ac:dyDescent="0.25">
      <c r="A1873">
        <v>188900</v>
      </c>
      <c r="B1873">
        <v>5.1494999999999997</v>
      </c>
      <c r="E1873">
        <v>188900</v>
      </c>
      <c r="F1873">
        <v>4.6063000000000001</v>
      </c>
    </row>
    <row r="1874" spans="1:6" x14ac:dyDescent="0.25">
      <c r="A1874">
        <v>189000</v>
      </c>
      <c r="B1874">
        <v>5.15</v>
      </c>
      <c r="E1874">
        <v>189000</v>
      </c>
      <c r="F1874">
        <v>4.6069000000000004</v>
      </c>
    </row>
    <row r="1875" spans="1:6" x14ac:dyDescent="0.25">
      <c r="A1875">
        <v>189100</v>
      </c>
      <c r="B1875">
        <v>5.1504000000000003</v>
      </c>
      <c r="E1875">
        <v>189100</v>
      </c>
      <c r="F1875">
        <v>4.6075999999999997</v>
      </c>
    </row>
    <row r="1876" spans="1:6" x14ac:dyDescent="0.25">
      <c r="A1876">
        <v>189200</v>
      </c>
      <c r="B1876">
        <v>5.1509</v>
      </c>
      <c r="E1876">
        <v>189200</v>
      </c>
      <c r="F1876">
        <v>4.6082000000000001</v>
      </c>
    </row>
    <row r="1877" spans="1:6" x14ac:dyDescent="0.25">
      <c r="A1877">
        <v>189300</v>
      </c>
      <c r="B1877">
        <v>5.1513999999999998</v>
      </c>
      <c r="E1877">
        <v>189300</v>
      </c>
      <c r="F1877">
        <v>4.6089000000000002</v>
      </c>
    </row>
    <row r="1878" spans="1:6" x14ac:dyDescent="0.25">
      <c r="A1878">
        <v>189400</v>
      </c>
      <c r="B1878">
        <v>5.1519000000000004</v>
      </c>
      <c r="E1878">
        <v>189400</v>
      </c>
      <c r="F1878">
        <v>4.6096000000000004</v>
      </c>
    </row>
    <row r="1879" spans="1:6" x14ac:dyDescent="0.25">
      <c r="A1879">
        <v>189500</v>
      </c>
      <c r="B1879">
        <v>5.1523000000000003</v>
      </c>
      <c r="E1879">
        <v>189500</v>
      </c>
      <c r="F1879">
        <v>4.6101999999999999</v>
      </c>
    </row>
    <row r="1880" spans="1:6" x14ac:dyDescent="0.25">
      <c r="A1880">
        <v>189600</v>
      </c>
      <c r="B1880">
        <v>5.1528</v>
      </c>
      <c r="E1880">
        <v>189600</v>
      </c>
      <c r="F1880">
        <v>4.6109</v>
      </c>
    </row>
    <row r="1881" spans="1:6" x14ac:dyDescent="0.25">
      <c r="A1881">
        <v>189700</v>
      </c>
      <c r="B1881">
        <v>5.1532999999999998</v>
      </c>
      <c r="E1881">
        <v>189700</v>
      </c>
      <c r="F1881">
        <v>4.6115000000000004</v>
      </c>
    </row>
    <row r="1882" spans="1:6" x14ac:dyDescent="0.25">
      <c r="A1882">
        <v>189800</v>
      </c>
      <c r="B1882">
        <v>5.1539000000000001</v>
      </c>
      <c r="E1882">
        <v>189800</v>
      </c>
      <c r="F1882">
        <v>4.6121999999999996</v>
      </c>
    </row>
    <row r="1883" spans="1:6" x14ac:dyDescent="0.25">
      <c r="A1883">
        <v>189900</v>
      </c>
      <c r="B1883">
        <v>5.1543999999999999</v>
      </c>
      <c r="E1883">
        <v>189900</v>
      </c>
      <c r="F1883">
        <v>4.6128</v>
      </c>
    </row>
    <row r="1884" spans="1:6" x14ac:dyDescent="0.25">
      <c r="A1884">
        <v>190000</v>
      </c>
      <c r="B1884">
        <v>5.1548999999999996</v>
      </c>
      <c r="E1884">
        <v>190000</v>
      </c>
      <c r="F1884">
        <v>4.6135000000000002</v>
      </c>
    </row>
    <row r="1885" spans="1:6" x14ac:dyDescent="0.25">
      <c r="A1885">
        <v>190100</v>
      </c>
      <c r="B1885">
        <v>5.1554000000000002</v>
      </c>
      <c r="E1885">
        <v>190100</v>
      </c>
      <c r="F1885">
        <v>4.6140999999999996</v>
      </c>
    </row>
    <row r="1886" spans="1:6" x14ac:dyDescent="0.25">
      <c r="A1886">
        <v>190200</v>
      </c>
      <c r="B1886">
        <v>5.1559999999999997</v>
      </c>
      <c r="E1886">
        <v>190200</v>
      </c>
      <c r="F1886">
        <v>4.6147999999999998</v>
      </c>
    </row>
    <row r="1887" spans="1:6" x14ac:dyDescent="0.25">
      <c r="A1887">
        <v>190300</v>
      </c>
      <c r="B1887">
        <v>5.1565000000000003</v>
      </c>
      <c r="E1887">
        <v>190300</v>
      </c>
      <c r="F1887">
        <v>4.6154000000000002</v>
      </c>
    </row>
    <row r="1888" spans="1:6" x14ac:dyDescent="0.25">
      <c r="A1888">
        <v>190400</v>
      </c>
      <c r="B1888">
        <v>5.157</v>
      </c>
      <c r="E1888">
        <v>190400</v>
      </c>
      <c r="F1888">
        <v>4.6161000000000003</v>
      </c>
    </row>
    <row r="1889" spans="1:6" x14ac:dyDescent="0.25">
      <c r="A1889">
        <v>190500</v>
      </c>
      <c r="B1889">
        <v>5.1574999999999998</v>
      </c>
      <c r="E1889">
        <v>190500</v>
      </c>
      <c r="F1889">
        <v>4.6166999999999998</v>
      </c>
    </row>
    <row r="1890" spans="1:6" x14ac:dyDescent="0.25">
      <c r="A1890">
        <v>190600</v>
      </c>
      <c r="B1890">
        <v>5.1581000000000001</v>
      </c>
      <c r="E1890">
        <v>190600</v>
      </c>
      <c r="F1890">
        <v>4.6173999999999999</v>
      </c>
    </row>
    <row r="1891" spans="1:6" x14ac:dyDescent="0.25">
      <c r="A1891">
        <v>190700</v>
      </c>
      <c r="B1891">
        <v>5.1585999999999999</v>
      </c>
      <c r="E1891">
        <v>190700</v>
      </c>
      <c r="F1891">
        <v>4.6180000000000003</v>
      </c>
    </row>
    <row r="1892" spans="1:6" x14ac:dyDescent="0.25">
      <c r="A1892">
        <v>190800</v>
      </c>
      <c r="B1892">
        <v>5.1590999999999996</v>
      </c>
      <c r="E1892">
        <v>190800</v>
      </c>
      <c r="F1892">
        <v>4.6186999999999996</v>
      </c>
    </row>
    <row r="1893" spans="1:6" x14ac:dyDescent="0.25">
      <c r="A1893">
        <v>190900</v>
      </c>
      <c r="B1893">
        <v>5.1596000000000002</v>
      </c>
      <c r="E1893">
        <v>190900</v>
      </c>
      <c r="F1893">
        <v>4.6193</v>
      </c>
    </row>
    <row r="1894" spans="1:6" x14ac:dyDescent="0.25">
      <c r="A1894">
        <v>191000</v>
      </c>
      <c r="B1894">
        <v>5.1600999999999999</v>
      </c>
      <c r="E1894">
        <v>191000</v>
      </c>
      <c r="F1894">
        <v>4.6199000000000003</v>
      </c>
    </row>
    <row r="1895" spans="1:6" x14ac:dyDescent="0.25">
      <c r="A1895">
        <v>191100</v>
      </c>
      <c r="B1895">
        <v>5.1605999999999996</v>
      </c>
      <c r="E1895">
        <v>191100</v>
      </c>
      <c r="F1895">
        <v>4.6205999999999996</v>
      </c>
    </row>
    <row r="1896" spans="1:6" x14ac:dyDescent="0.25">
      <c r="A1896">
        <v>191200</v>
      </c>
      <c r="B1896">
        <v>5.1612</v>
      </c>
      <c r="E1896">
        <v>191200</v>
      </c>
      <c r="F1896">
        <v>4.6212</v>
      </c>
    </row>
    <row r="1897" spans="1:6" x14ac:dyDescent="0.25">
      <c r="A1897">
        <v>191300</v>
      </c>
      <c r="B1897">
        <v>5.1616999999999997</v>
      </c>
      <c r="E1897">
        <v>191300</v>
      </c>
      <c r="F1897">
        <v>4.6219000000000001</v>
      </c>
    </row>
    <row r="1898" spans="1:6" x14ac:dyDescent="0.25">
      <c r="A1898">
        <v>191400</v>
      </c>
      <c r="B1898">
        <v>5.1622000000000003</v>
      </c>
      <c r="E1898">
        <v>191400</v>
      </c>
      <c r="F1898">
        <v>4.6224999999999996</v>
      </c>
    </row>
    <row r="1899" spans="1:6" x14ac:dyDescent="0.25">
      <c r="A1899">
        <v>191500</v>
      </c>
      <c r="B1899">
        <v>5.1627000000000001</v>
      </c>
      <c r="E1899">
        <v>191500</v>
      </c>
      <c r="F1899">
        <v>4.6231999999999998</v>
      </c>
    </row>
    <row r="1900" spans="1:6" x14ac:dyDescent="0.25">
      <c r="A1900">
        <v>191600</v>
      </c>
      <c r="B1900">
        <v>5.1631999999999998</v>
      </c>
      <c r="E1900">
        <v>191600</v>
      </c>
      <c r="F1900">
        <v>4.6238000000000001</v>
      </c>
    </row>
    <row r="1901" spans="1:6" x14ac:dyDescent="0.25">
      <c r="A1901">
        <v>191700</v>
      </c>
      <c r="B1901">
        <v>5.1637000000000004</v>
      </c>
      <c r="E1901">
        <v>191700</v>
      </c>
      <c r="F1901">
        <v>4.6243999999999996</v>
      </c>
    </row>
    <row r="1902" spans="1:6" x14ac:dyDescent="0.25">
      <c r="A1902">
        <v>191800</v>
      </c>
      <c r="B1902">
        <v>5.1642999999999999</v>
      </c>
      <c r="E1902">
        <v>191800</v>
      </c>
      <c r="F1902">
        <v>4.6250999999999998</v>
      </c>
    </row>
    <row r="1903" spans="1:6" x14ac:dyDescent="0.25">
      <c r="A1903">
        <v>191900</v>
      </c>
      <c r="B1903">
        <v>5.1647999999999996</v>
      </c>
      <c r="E1903">
        <v>191900</v>
      </c>
      <c r="F1903">
        <v>4.6257000000000001</v>
      </c>
    </row>
    <row r="1904" spans="1:6" x14ac:dyDescent="0.25">
      <c r="A1904">
        <v>192000</v>
      </c>
      <c r="B1904">
        <v>5.1653000000000002</v>
      </c>
      <c r="E1904">
        <v>192000</v>
      </c>
      <c r="F1904">
        <v>4.6264000000000003</v>
      </c>
    </row>
    <row r="1905" spans="1:6" x14ac:dyDescent="0.25">
      <c r="A1905">
        <v>192100</v>
      </c>
      <c r="B1905">
        <v>5.1657999999999999</v>
      </c>
      <c r="E1905">
        <v>192100</v>
      </c>
      <c r="F1905">
        <v>4.6269999999999998</v>
      </c>
    </row>
    <row r="1906" spans="1:6" x14ac:dyDescent="0.25">
      <c r="A1906">
        <v>192200</v>
      </c>
      <c r="B1906">
        <v>5.1662999999999997</v>
      </c>
      <c r="E1906">
        <v>192200</v>
      </c>
      <c r="F1906">
        <v>4.6276000000000002</v>
      </c>
    </row>
    <row r="1907" spans="1:6" x14ac:dyDescent="0.25">
      <c r="A1907">
        <v>192300</v>
      </c>
      <c r="B1907">
        <v>5.1668000000000003</v>
      </c>
      <c r="E1907">
        <v>192300</v>
      </c>
      <c r="F1907">
        <v>4.6283000000000003</v>
      </c>
    </row>
    <row r="1908" spans="1:6" x14ac:dyDescent="0.25">
      <c r="A1908">
        <v>192400</v>
      </c>
      <c r="B1908">
        <v>5.1673</v>
      </c>
      <c r="E1908">
        <v>192400</v>
      </c>
      <c r="F1908">
        <v>4.6288999999999998</v>
      </c>
    </row>
    <row r="1909" spans="1:6" x14ac:dyDescent="0.25">
      <c r="A1909">
        <v>192500</v>
      </c>
      <c r="B1909">
        <v>5.1677999999999997</v>
      </c>
      <c r="E1909">
        <v>192500</v>
      </c>
      <c r="F1909">
        <v>4.6295000000000002</v>
      </c>
    </row>
    <row r="1910" spans="1:6" x14ac:dyDescent="0.25">
      <c r="A1910">
        <v>192600</v>
      </c>
      <c r="B1910">
        <v>5.1684000000000001</v>
      </c>
      <c r="E1910">
        <v>192600</v>
      </c>
      <c r="F1910">
        <v>4.6302000000000003</v>
      </c>
    </row>
    <row r="1911" spans="1:6" x14ac:dyDescent="0.25">
      <c r="A1911">
        <v>192700</v>
      </c>
      <c r="B1911">
        <v>5.1688999999999998</v>
      </c>
      <c r="E1911">
        <v>192700</v>
      </c>
      <c r="F1911">
        <v>4.6307999999999998</v>
      </c>
    </row>
    <row r="1912" spans="1:6" x14ac:dyDescent="0.25">
      <c r="A1912">
        <v>192800</v>
      </c>
      <c r="B1912">
        <v>5.1694000000000004</v>
      </c>
      <c r="E1912">
        <v>192800</v>
      </c>
      <c r="F1912">
        <v>4.6314000000000002</v>
      </c>
    </row>
    <row r="1913" spans="1:6" x14ac:dyDescent="0.25">
      <c r="A1913">
        <v>192900</v>
      </c>
      <c r="B1913">
        <v>5.1699000000000002</v>
      </c>
      <c r="E1913">
        <v>192900</v>
      </c>
      <c r="F1913">
        <v>4.6321000000000003</v>
      </c>
    </row>
    <row r="1914" spans="1:6" x14ac:dyDescent="0.25">
      <c r="A1914">
        <v>193000</v>
      </c>
      <c r="B1914">
        <v>5.1703999999999999</v>
      </c>
      <c r="E1914">
        <v>193000</v>
      </c>
      <c r="F1914">
        <v>4.6326999999999998</v>
      </c>
    </row>
    <row r="1915" spans="1:6" x14ac:dyDescent="0.25">
      <c r="A1915">
        <v>193100</v>
      </c>
      <c r="B1915">
        <v>5.1708999999999996</v>
      </c>
      <c r="E1915">
        <v>193100</v>
      </c>
      <c r="F1915">
        <v>4.6333000000000002</v>
      </c>
    </row>
    <row r="1916" spans="1:6" x14ac:dyDescent="0.25">
      <c r="A1916">
        <v>193200</v>
      </c>
      <c r="B1916">
        <v>5.1714000000000002</v>
      </c>
      <c r="E1916">
        <v>193200</v>
      </c>
      <c r="F1916">
        <v>4.6340000000000003</v>
      </c>
    </row>
    <row r="1917" spans="1:6" x14ac:dyDescent="0.25">
      <c r="A1917">
        <v>193300</v>
      </c>
      <c r="B1917">
        <v>5.1718999999999999</v>
      </c>
      <c r="E1917">
        <v>193300</v>
      </c>
      <c r="F1917">
        <v>4.6345999999999998</v>
      </c>
    </row>
    <row r="1918" spans="1:6" x14ac:dyDescent="0.25">
      <c r="A1918">
        <v>193400</v>
      </c>
      <c r="B1918">
        <v>5.1723999999999997</v>
      </c>
      <c r="E1918">
        <v>193400</v>
      </c>
      <c r="F1918">
        <v>4.6352000000000002</v>
      </c>
    </row>
    <row r="1919" spans="1:6" x14ac:dyDescent="0.25">
      <c r="A1919">
        <v>193500</v>
      </c>
      <c r="B1919">
        <v>5.1729000000000003</v>
      </c>
      <c r="E1919">
        <v>193500</v>
      </c>
      <c r="F1919">
        <v>4.6357999999999997</v>
      </c>
    </row>
    <row r="1920" spans="1:6" x14ac:dyDescent="0.25">
      <c r="A1920">
        <v>193600</v>
      </c>
      <c r="B1920">
        <v>5.1734</v>
      </c>
      <c r="E1920">
        <v>193600</v>
      </c>
      <c r="F1920">
        <v>4.6364999999999998</v>
      </c>
    </row>
    <row r="1921" spans="1:6" x14ac:dyDescent="0.25">
      <c r="A1921">
        <v>193700</v>
      </c>
      <c r="B1921">
        <v>5.1738999999999997</v>
      </c>
      <c r="E1921">
        <v>193700</v>
      </c>
      <c r="F1921">
        <v>4.6371000000000002</v>
      </c>
    </row>
    <row r="1922" spans="1:6" x14ac:dyDescent="0.25">
      <c r="A1922">
        <v>193800</v>
      </c>
      <c r="B1922">
        <v>5.1744000000000003</v>
      </c>
      <c r="E1922">
        <v>193800</v>
      </c>
      <c r="F1922">
        <v>4.6376999999999997</v>
      </c>
    </row>
    <row r="1923" spans="1:6" x14ac:dyDescent="0.25">
      <c r="A1923">
        <v>193900</v>
      </c>
      <c r="B1923">
        <v>5.1749000000000001</v>
      </c>
      <c r="E1923">
        <v>193900</v>
      </c>
      <c r="F1923">
        <v>4.6383000000000001</v>
      </c>
    </row>
    <row r="1924" spans="1:6" x14ac:dyDescent="0.25">
      <c r="A1924">
        <v>194000</v>
      </c>
      <c r="B1924">
        <v>5.1753999999999998</v>
      </c>
      <c r="E1924">
        <v>194000</v>
      </c>
      <c r="F1924">
        <v>4.6390000000000002</v>
      </c>
    </row>
    <row r="1925" spans="1:6" x14ac:dyDescent="0.25">
      <c r="A1925">
        <v>194100</v>
      </c>
      <c r="B1925">
        <v>5.1759000000000004</v>
      </c>
      <c r="E1925">
        <v>194100</v>
      </c>
      <c r="F1925">
        <v>4.6395999999999997</v>
      </c>
    </row>
    <row r="1926" spans="1:6" x14ac:dyDescent="0.25">
      <c r="A1926">
        <v>194200</v>
      </c>
      <c r="B1926">
        <v>5.1764000000000001</v>
      </c>
      <c r="E1926">
        <v>194200</v>
      </c>
      <c r="F1926">
        <v>4.6402000000000001</v>
      </c>
    </row>
    <row r="1927" spans="1:6" x14ac:dyDescent="0.25">
      <c r="A1927">
        <v>194300</v>
      </c>
      <c r="B1927">
        <v>5.1768999999999998</v>
      </c>
      <c r="E1927">
        <v>194300</v>
      </c>
      <c r="F1927">
        <v>4.6407999999999996</v>
      </c>
    </row>
    <row r="1928" spans="1:6" x14ac:dyDescent="0.25">
      <c r="A1928">
        <v>194400</v>
      </c>
      <c r="B1928">
        <v>5.1773999999999996</v>
      </c>
      <c r="E1928">
        <v>194400</v>
      </c>
      <c r="F1928">
        <v>4.6414999999999997</v>
      </c>
    </row>
    <row r="1929" spans="1:6" x14ac:dyDescent="0.25">
      <c r="A1929">
        <v>194500</v>
      </c>
      <c r="B1929">
        <v>5.1779000000000002</v>
      </c>
      <c r="E1929">
        <v>194500</v>
      </c>
      <c r="F1929">
        <v>4.6421000000000001</v>
      </c>
    </row>
    <row r="1930" spans="1:6" x14ac:dyDescent="0.25">
      <c r="A1930">
        <v>194600</v>
      </c>
      <c r="B1930">
        <v>5.1783999999999999</v>
      </c>
      <c r="E1930">
        <v>194600</v>
      </c>
      <c r="F1930">
        <v>4.6426999999999996</v>
      </c>
    </row>
    <row r="1931" spans="1:6" x14ac:dyDescent="0.25">
      <c r="A1931">
        <v>194700</v>
      </c>
      <c r="B1931">
        <v>5.1788999999999996</v>
      </c>
      <c r="E1931">
        <v>194700</v>
      </c>
      <c r="F1931">
        <v>4.6433</v>
      </c>
    </row>
    <row r="1932" spans="1:6" x14ac:dyDescent="0.25">
      <c r="A1932">
        <v>194800</v>
      </c>
      <c r="B1932">
        <v>5.1794000000000002</v>
      </c>
      <c r="E1932">
        <v>194800</v>
      </c>
      <c r="F1932">
        <v>4.6439000000000004</v>
      </c>
    </row>
    <row r="1933" spans="1:6" x14ac:dyDescent="0.25">
      <c r="A1933">
        <v>194900</v>
      </c>
      <c r="B1933">
        <v>5.1798999999999999</v>
      </c>
      <c r="E1933">
        <v>194900</v>
      </c>
      <c r="F1933">
        <v>4.6445999999999996</v>
      </c>
    </row>
    <row r="1934" spans="1:6" x14ac:dyDescent="0.25">
      <c r="A1934">
        <v>195000</v>
      </c>
      <c r="B1934">
        <v>5.1803999999999997</v>
      </c>
      <c r="E1934">
        <v>195000</v>
      </c>
      <c r="F1934">
        <v>4.6452</v>
      </c>
    </row>
    <row r="1935" spans="1:6" x14ac:dyDescent="0.25">
      <c r="A1935">
        <v>195100</v>
      </c>
      <c r="B1935">
        <v>5.1809000000000003</v>
      </c>
      <c r="E1935">
        <v>195100</v>
      </c>
      <c r="F1935">
        <v>4.6458000000000004</v>
      </c>
    </row>
    <row r="1936" spans="1:6" x14ac:dyDescent="0.25">
      <c r="A1936">
        <v>195200</v>
      </c>
      <c r="B1936">
        <v>5.1814</v>
      </c>
      <c r="E1936">
        <v>195200</v>
      </c>
      <c r="F1936">
        <v>4.6463999999999999</v>
      </c>
    </row>
    <row r="1937" spans="1:6" x14ac:dyDescent="0.25">
      <c r="A1937">
        <v>195300</v>
      </c>
      <c r="B1937">
        <v>5.1818999999999997</v>
      </c>
      <c r="E1937">
        <v>195300</v>
      </c>
      <c r="F1937">
        <v>4.6470000000000002</v>
      </c>
    </row>
    <row r="1938" spans="1:6" x14ac:dyDescent="0.25">
      <c r="A1938">
        <v>195400</v>
      </c>
      <c r="B1938">
        <v>5.1824000000000003</v>
      </c>
      <c r="E1938">
        <v>195400</v>
      </c>
      <c r="F1938">
        <v>4.6475999999999997</v>
      </c>
    </row>
    <row r="1939" spans="1:6" x14ac:dyDescent="0.25">
      <c r="A1939">
        <v>195500</v>
      </c>
      <c r="B1939">
        <v>5.1829000000000001</v>
      </c>
      <c r="E1939">
        <v>195500</v>
      </c>
      <c r="F1939">
        <v>4.6482999999999999</v>
      </c>
    </row>
    <row r="1940" spans="1:6" x14ac:dyDescent="0.25">
      <c r="A1940">
        <v>195600</v>
      </c>
      <c r="B1940">
        <v>5.1833999999999998</v>
      </c>
      <c r="E1940">
        <v>195600</v>
      </c>
      <c r="F1940">
        <v>4.6489000000000003</v>
      </c>
    </row>
    <row r="1941" spans="1:6" x14ac:dyDescent="0.25">
      <c r="A1941">
        <v>195700</v>
      </c>
      <c r="B1941">
        <v>5.1839000000000004</v>
      </c>
      <c r="E1941">
        <v>195700</v>
      </c>
      <c r="F1941">
        <v>4.6494999999999997</v>
      </c>
    </row>
    <row r="1942" spans="1:6" x14ac:dyDescent="0.25">
      <c r="A1942">
        <v>195800</v>
      </c>
      <c r="B1942">
        <v>5.1844000000000001</v>
      </c>
      <c r="E1942">
        <v>195800</v>
      </c>
      <c r="F1942">
        <v>4.6501000000000001</v>
      </c>
    </row>
    <row r="1943" spans="1:6" x14ac:dyDescent="0.25">
      <c r="A1943">
        <v>195900</v>
      </c>
      <c r="B1943">
        <v>5.1848999999999998</v>
      </c>
      <c r="E1943">
        <v>195900</v>
      </c>
      <c r="F1943">
        <v>4.6506999999999996</v>
      </c>
    </row>
    <row r="1944" spans="1:6" x14ac:dyDescent="0.25">
      <c r="A1944">
        <v>196000</v>
      </c>
      <c r="B1944">
        <v>5.1853999999999996</v>
      </c>
      <c r="E1944">
        <v>196000</v>
      </c>
      <c r="F1944">
        <v>4.6513</v>
      </c>
    </row>
    <row r="1945" spans="1:6" x14ac:dyDescent="0.25">
      <c r="A1945">
        <v>196100</v>
      </c>
      <c r="B1945">
        <v>5.1859000000000002</v>
      </c>
      <c r="E1945">
        <v>196100</v>
      </c>
      <c r="F1945">
        <v>4.6519000000000004</v>
      </c>
    </row>
    <row r="1946" spans="1:6" x14ac:dyDescent="0.25">
      <c r="A1946">
        <v>196200</v>
      </c>
      <c r="B1946">
        <v>5.1863999999999999</v>
      </c>
      <c r="E1946">
        <v>196200</v>
      </c>
      <c r="F1946">
        <v>4.6524999999999999</v>
      </c>
    </row>
    <row r="1947" spans="1:6" x14ac:dyDescent="0.25">
      <c r="A1947">
        <v>196300</v>
      </c>
      <c r="B1947">
        <v>5.1868999999999996</v>
      </c>
      <c r="E1947">
        <v>196300</v>
      </c>
      <c r="F1947">
        <v>4.6532</v>
      </c>
    </row>
    <row r="1948" spans="1:6" x14ac:dyDescent="0.25">
      <c r="A1948">
        <v>196400</v>
      </c>
      <c r="B1948">
        <v>5.1872999999999996</v>
      </c>
      <c r="E1948">
        <v>196400</v>
      </c>
      <c r="F1948">
        <v>4.6538000000000004</v>
      </c>
    </row>
    <row r="1949" spans="1:6" x14ac:dyDescent="0.25">
      <c r="A1949">
        <v>196500</v>
      </c>
      <c r="B1949">
        <v>5.1878000000000002</v>
      </c>
      <c r="E1949">
        <v>196500</v>
      </c>
      <c r="F1949">
        <v>4.6543999999999999</v>
      </c>
    </row>
    <row r="1950" spans="1:6" x14ac:dyDescent="0.25">
      <c r="A1950">
        <v>196600</v>
      </c>
      <c r="B1950">
        <v>5.1882999999999999</v>
      </c>
      <c r="E1950">
        <v>196600</v>
      </c>
      <c r="F1950">
        <v>4.6550000000000002</v>
      </c>
    </row>
    <row r="1951" spans="1:6" x14ac:dyDescent="0.25">
      <c r="A1951">
        <v>196700</v>
      </c>
      <c r="B1951">
        <v>5.1887999999999996</v>
      </c>
      <c r="E1951">
        <v>196700</v>
      </c>
      <c r="F1951">
        <v>4.6555999999999997</v>
      </c>
    </row>
    <row r="1952" spans="1:6" x14ac:dyDescent="0.25">
      <c r="A1952">
        <v>196800</v>
      </c>
      <c r="B1952">
        <v>5.1893000000000002</v>
      </c>
      <c r="E1952">
        <v>196800</v>
      </c>
      <c r="F1952">
        <v>4.6562000000000001</v>
      </c>
    </row>
    <row r="1953" spans="1:6" x14ac:dyDescent="0.25">
      <c r="A1953">
        <v>196900</v>
      </c>
      <c r="B1953">
        <v>5.1898</v>
      </c>
      <c r="E1953">
        <v>196900</v>
      </c>
      <c r="F1953">
        <v>4.6567999999999996</v>
      </c>
    </row>
    <row r="1954" spans="1:6" x14ac:dyDescent="0.25">
      <c r="A1954">
        <v>197000</v>
      </c>
      <c r="B1954">
        <v>5.1902999999999997</v>
      </c>
      <c r="E1954">
        <v>197000</v>
      </c>
      <c r="F1954">
        <v>4.6574</v>
      </c>
    </row>
    <row r="1955" spans="1:6" x14ac:dyDescent="0.25">
      <c r="A1955">
        <v>197100</v>
      </c>
      <c r="B1955">
        <v>5.1908000000000003</v>
      </c>
      <c r="E1955">
        <v>197100</v>
      </c>
      <c r="F1955">
        <v>4.6580000000000004</v>
      </c>
    </row>
    <row r="1956" spans="1:6" x14ac:dyDescent="0.25">
      <c r="A1956">
        <v>197200</v>
      </c>
      <c r="B1956">
        <v>5.1913</v>
      </c>
      <c r="E1956">
        <v>197200</v>
      </c>
      <c r="F1956">
        <v>4.6585999999999999</v>
      </c>
    </row>
    <row r="1957" spans="1:6" x14ac:dyDescent="0.25">
      <c r="A1957">
        <v>197300</v>
      </c>
      <c r="B1957">
        <v>5.1917</v>
      </c>
      <c r="E1957">
        <v>197300</v>
      </c>
      <c r="F1957">
        <v>4.6592000000000002</v>
      </c>
    </row>
    <row r="1958" spans="1:6" x14ac:dyDescent="0.25">
      <c r="A1958">
        <v>197400</v>
      </c>
      <c r="B1958">
        <v>5.1921999999999997</v>
      </c>
      <c r="E1958">
        <v>197400</v>
      </c>
      <c r="F1958">
        <v>4.6597999999999997</v>
      </c>
    </row>
    <row r="1959" spans="1:6" x14ac:dyDescent="0.25">
      <c r="A1959">
        <v>197500</v>
      </c>
      <c r="B1959">
        <v>5.1927000000000003</v>
      </c>
      <c r="E1959">
        <v>197500</v>
      </c>
      <c r="F1959">
        <v>4.6604000000000001</v>
      </c>
    </row>
    <row r="1960" spans="1:6" x14ac:dyDescent="0.25">
      <c r="A1960">
        <v>197600</v>
      </c>
      <c r="B1960">
        <v>5.1932</v>
      </c>
      <c r="E1960">
        <v>197600</v>
      </c>
      <c r="F1960">
        <v>4.6609999999999996</v>
      </c>
    </row>
    <row r="1961" spans="1:6" x14ac:dyDescent="0.25">
      <c r="A1961">
        <v>197700</v>
      </c>
      <c r="B1961">
        <v>5.1936999999999998</v>
      </c>
      <c r="E1961">
        <v>197700</v>
      </c>
      <c r="F1961">
        <v>4.6616</v>
      </c>
    </row>
    <row r="1962" spans="1:6" x14ac:dyDescent="0.25">
      <c r="A1962">
        <v>197800</v>
      </c>
      <c r="B1962">
        <v>5.1942000000000004</v>
      </c>
      <c r="E1962">
        <v>197800</v>
      </c>
      <c r="F1962">
        <v>4.6622000000000003</v>
      </c>
    </row>
    <row r="1963" spans="1:6" x14ac:dyDescent="0.25">
      <c r="A1963">
        <v>197900</v>
      </c>
      <c r="B1963">
        <v>5.1946000000000003</v>
      </c>
      <c r="E1963">
        <v>197900</v>
      </c>
      <c r="F1963">
        <v>4.6627999999999998</v>
      </c>
    </row>
    <row r="1964" spans="1:6" x14ac:dyDescent="0.25">
      <c r="A1964">
        <v>198000</v>
      </c>
      <c r="B1964">
        <v>5.1951000000000001</v>
      </c>
      <c r="E1964">
        <v>198000</v>
      </c>
      <c r="F1964">
        <v>4.6634000000000002</v>
      </c>
    </row>
    <row r="1965" spans="1:6" x14ac:dyDescent="0.25">
      <c r="A1965">
        <v>198100</v>
      </c>
      <c r="B1965">
        <v>5.1955999999999998</v>
      </c>
      <c r="E1965">
        <v>198100</v>
      </c>
      <c r="F1965">
        <v>4.6639999999999997</v>
      </c>
    </row>
    <row r="1966" spans="1:6" x14ac:dyDescent="0.25">
      <c r="A1966">
        <v>198200</v>
      </c>
      <c r="B1966">
        <v>5.1961000000000004</v>
      </c>
      <c r="E1966">
        <v>198200</v>
      </c>
      <c r="F1966">
        <v>4.6646000000000001</v>
      </c>
    </row>
    <row r="1967" spans="1:6" x14ac:dyDescent="0.25">
      <c r="A1967">
        <v>198300</v>
      </c>
      <c r="B1967">
        <v>5.1966000000000001</v>
      </c>
      <c r="E1967">
        <v>198300</v>
      </c>
      <c r="F1967">
        <v>4.6651999999999996</v>
      </c>
    </row>
    <row r="1968" spans="1:6" x14ac:dyDescent="0.25">
      <c r="A1968">
        <v>198400</v>
      </c>
      <c r="B1968">
        <v>5.1970999999999998</v>
      </c>
      <c r="E1968">
        <v>198400</v>
      </c>
      <c r="F1968">
        <v>4.6657999999999999</v>
      </c>
    </row>
    <row r="1969" spans="1:6" x14ac:dyDescent="0.25">
      <c r="A1969">
        <v>198500</v>
      </c>
      <c r="B1969">
        <v>5.1974999999999998</v>
      </c>
      <c r="E1969">
        <v>198500</v>
      </c>
      <c r="F1969">
        <v>4.6664000000000003</v>
      </c>
    </row>
    <row r="1970" spans="1:6" x14ac:dyDescent="0.25">
      <c r="A1970">
        <v>198600</v>
      </c>
      <c r="B1970">
        <v>5.1980000000000004</v>
      </c>
      <c r="E1970">
        <v>198600</v>
      </c>
      <c r="F1970">
        <v>4.6669999999999998</v>
      </c>
    </row>
    <row r="1971" spans="1:6" x14ac:dyDescent="0.25">
      <c r="A1971">
        <v>198700</v>
      </c>
      <c r="B1971">
        <v>5.1985000000000001</v>
      </c>
      <c r="E1971">
        <v>198700</v>
      </c>
      <c r="F1971">
        <v>4.6676000000000002</v>
      </c>
    </row>
    <row r="1972" spans="1:6" x14ac:dyDescent="0.25">
      <c r="A1972">
        <v>198800</v>
      </c>
      <c r="B1972">
        <v>5.1989999999999998</v>
      </c>
      <c r="E1972">
        <v>198800</v>
      </c>
      <c r="F1972">
        <v>4.6681999999999997</v>
      </c>
    </row>
    <row r="1973" spans="1:6" x14ac:dyDescent="0.25">
      <c r="A1973">
        <v>198900</v>
      </c>
      <c r="B1973">
        <v>5.1993999999999998</v>
      </c>
      <c r="E1973">
        <v>198900</v>
      </c>
      <c r="F1973">
        <v>4.6688000000000001</v>
      </c>
    </row>
    <row r="1974" spans="1:6" x14ac:dyDescent="0.25">
      <c r="A1974">
        <v>199000</v>
      </c>
      <c r="B1974">
        <v>5.1999000000000004</v>
      </c>
      <c r="E1974">
        <v>199000</v>
      </c>
      <c r="F1974">
        <v>4.6694000000000004</v>
      </c>
    </row>
    <row r="1975" spans="1:6" x14ac:dyDescent="0.25">
      <c r="A1975">
        <v>199100</v>
      </c>
      <c r="B1975">
        <v>5.2004000000000001</v>
      </c>
      <c r="E1975">
        <v>199100</v>
      </c>
      <c r="F1975">
        <v>4.67</v>
      </c>
    </row>
    <row r="1976" spans="1:6" x14ac:dyDescent="0.25">
      <c r="A1976">
        <v>199200</v>
      </c>
      <c r="B1976">
        <v>5.2008999999999999</v>
      </c>
      <c r="E1976">
        <v>199200</v>
      </c>
      <c r="F1976">
        <v>4.6706000000000003</v>
      </c>
    </row>
    <row r="1977" spans="1:6" x14ac:dyDescent="0.25">
      <c r="A1977">
        <v>199300</v>
      </c>
      <c r="B1977">
        <v>5.2013999999999996</v>
      </c>
      <c r="E1977">
        <v>199300</v>
      </c>
      <c r="F1977">
        <v>4.6711999999999998</v>
      </c>
    </row>
    <row r="1978" spans="1:6" x14ac:dyDescent="0.25">
      <c r="A1978">
        <v>199400</v>
      </c>
      <c r="B1978">
        <v>5.2018000000000004</v>
      </c>
      <c r="E1978">
        <v>199400</v>
      </c>
      <c r="F1978">
        <v>4.6718000000000002</v>
      </c>
    </row>
    <row r="1979" spans="1:6" x14ac:dyDescent="0.25">
      <c r="A1979">
        <v>199500</v>
      </c>
      <c r="B1979">
        <v>5.2023000000000001</v>
      </c>
      <c r="E1979">
        <v>199500</v>
      </c>
      <c r="F1979">
        <v>4.6723999999999997</v>
      </c>
    </row>
    <row r="1980" spans="1:6" x14ac:dyDescent="0.25">
      <c r="A1980">
        <v>199600</v>
      </c>
      <c r="B1980">
        <v>5.2027999999999999</v>
      </c>
      <c r="E1980">
        <v>199600</v>
      </c>
      <c r="F1980">
        <v>4.6729000000000003</v>
      </c>
    </row>
    <row r="1981" spans="1:6" x14ac:dyDescent="0.25">
      <c r="A1981">
        <v>199700</v>
      </c>
      <c r="B1981">
        <v>5.2032999999999996</v>
      </c>
      <c r="E1981">
        <v>199700</v>
      </c>
      <c r="F1981">
        <v>4.6734999999999998</v>
      </c>
    </row>
    <row r="1982" spans="1:6" x14ac:dyDescent="0.25">
      <c r="A1982">
        <v>199800</v>
      </c>
      <c r="B1982">
        <v>5.2037000000000004</v>
      </c>
      <c r="E1982">
        <v>199800</v>
      </c>
      <c r="F1982">
        <v>4.6741000000000001</v>
      </c>
    </row>
    <row r="1983" spans="1:6" x14ac:dyDescent="0.25">
      <c r="A1983">
        <v>199900</v>
      </c>
      <c r="B1983">
        <v>5.2042000000000002</v>
      </c>
      <c r="E1983">
        <v>199900</v>
      </c>
      <c r="F1983">
        <v>4.6746999999999996</v>
      </c>
    </row>
    <row r="1984" spans="1:6" x14ac:dyDescent="0.25">
      <c r="A1984">
        <v>200000</v>
      </c>
      <c r="B1984">
        <v>5.2046999999999999</v>
      </c>
      <c r="E1984">
        <v>200000</v>
      </c>
      <c r="F1984">
        <v>4.6753</v>
      </c>
    </row>
    <row r="1985" spans="1:6" x14ac:dyDescent="0.25">
      <c r="A1985">
        <v>200100</v>
      </c>
      <c r="B1985">
        <v>5.2050999999999998</v>
      </c>
      <c r="E1985">
        <v>200100</v>
      </c>
      <c r="F1985">
        <v>4.6759000000000004</v>
      </c>
    </row>
    <row r="1986" spans="1:6" x14ac:dyDescent="0.25">
      <c r="A1986">
        <v>200200</v>
      </c>
      <c r="B1986">
        <v>5.2055999999999996</v>
      </c>
      <c r="E1986">
        <v>200200</v>
      </c>
      <c r="F1986">
        <v>4.6764999999999999</v>
      </c>
    </row>
    <row r="1987" spans="1:6" x14ac:dyDescent="0.25">
      <c r="A1987">
        <v>200300</v>
      </c>
      <c r="B1987">
        <v>5.2061000000000002</v>
      </c>
      <c r="E1987">
        <v>200300</v>
      </c>
      <c r="F1987">
        <v>4.6771000000000003</v>
      </c>
    </row>
    <row r="1988" spans="1:6" x14ac:dyDescent="0.25">
      <c r="A1988">
        <v>200400</v>
      </c>
      <c r="B1988">
        <v>5.2065999999999999</v>
      </c>
      <c r="E1988">
        <v>200400</v>
      </c>
      <c r="F1988">
        <v>4.6776</v>
      </c>
    </row>
    <row r="1989" spans="1:6" x14ac:dyDescent="0.25">
      <c r="A1989">
        <v>200500</v>
      </c>
      <c r="B1989">
        <v>5.2069999999999999</v>
      </c>
      <c r="E1989">
        <v>200500</v>
      </c>
      <c r="F1989">
        <v>4.6782000000000004</v>
      </c>
    </row>
    <row r="1990" spans="1:6" x14ac:dyDescent="0.25">
      <c r="A1990">
        <v>200600</v>
      </c>
      <c r="B1990">
        <v>5.2074999999999996</v>
      </c>
      <c r="E1990">
        <v>200600</v>
      </c>
      <c r="F1990">
        <v>4.6787999999999998</v>
      </c>
    </row>
    <row r="1991" spans="1:6" x14ac:dyDescent="0.25">
      <c r="A1991">
        <v>200700</v>
      </c>
      <c r="B1991">
        <v>5.2080000000000002</v>
      </c>
      <c r="E1991">
        <v>200700</v>
      </c>
      <c r="F1991">
        <v>4.6794000000000002</v>
      </c>
    </row>
    <row r="1992" spans="1:6" x14ac:dyDescent="0.25">
      <c r="A1992">
        <v>200800</v>
      </c>
      <c r="B1992">
        <v>5.2084000000000001</v>
      </c>
      <c r="E1992">
        <v>200800</v>
      </c>
      <c r="F1992">
        <v>4.68</v>
      </c>
    </row>
    <row r="1993" spans="1:6" x14ac:dyDescent="0.25">
      <c r="A1993">
        <v>200900</v>
      </c>
      <c r="B1993">
        <v>5.2088999999999999</v>
      </c>
      <c r="E1993">
        <v>200900</v>
      </c>
      <c r="F1993">
        <v>4.6806000000000001</v>
      </c>
    </row>
    <row r="1994" spans="1:6" x14ac:dyDescent="0.25">
      <c r="A1994">
        <v>201000</v>
      </c>
      <c r="B1994">
        <v>5.2093999999999996</v>
      </c>
      <c r="E1994">
        <v>201000</v>
      </c>
      <c r="F1994">
        <v>4.6810999999999998</v>
      </c>
    </row>
    <row r="1995" spans="1:6" x14ac:dyDescent="0.25">
      <c r="A1995">
        <v>201100</v>
      </c>
      <c r="B1995">
        <v>5.2098000000000004</v>
      </c>
      <c r="E1995">
        <v>201100</v>
      </c>
      <c r="F1995">
        <v>4.6817000000000002</v>
      </c>
    </row>
    <row r="1996" spans="1:6" x14ac:dyDescent="0.25">
      <c r="A1996">
        <v>201200</v>
      </c>
      <c r="B1996">
        <v>5.2103000000000002</v>
      </c>
      <c r="E1996">
        <v>201200</v>
      </c>
      <c r="F1996">
        <v>4.6822999999999997</v>
      </c>
    </row>
    <row r="1997" spans="1:6" x14ac:dyDescent="0.25">
      <c r="A1997">
        <v>201300</v>
      </c>
      <c r="B1997">
        <v>5.2107999999999999</v>
      </c>
      <c r="E1997">
        <v>201300</v>
      </c>
      <c r="F1997">
        <v>4.6829000000000001</v>
      </c>
    </row>
    <row r="1998" spans="1:6" x14ac:dyDescent="0.25">
      <c r="A1998">
        <v>201400</v>
      </c>
      <c r="B1998">
        <v>5.2111999999999998</v>
      </c>
      <c r="E1998">
        <v>201400</v>
      </c>
      <c r="F1998">
        <v>4.6835000000000004</v>
      </c>
    </row>
    <row r="1999" spans="1:6" x14ac:dyDescent="0.25">
      <c r="A1999">
        <v>201500</v>
      </c>
      <c r="B1999">
        <v>5.2117000000000004</v>
      </c>
      <c r="E1999">
        <v>201500</v>
      </c>
      <c r="F1999">
        <v>4.6840000000000002</v>
      </c>
    </row>
    <row r="2000" spans="1:6" x14ac:dyDescent="0.25">
      <c r="A2000">
        <v>201600</v>
      </c>
      <c r="B2000">
        <v>5.2122000000000002</v>
      </c>
      <c r="E2000">
        <v>201600</v>
      </c>
      <c r="F2000">
        <v>4.6845999999999997</v>
      </c>
    </row>
    <row r="2001" spans="1:6" x14ac:dyDescent="0.25">
      <c r="A2001">
        <v>201700</v>
      </c>
      <c r="B2001">
        <v>5.2126000000000001</v>
      </c>
      <c r="E2001">
        <v>201700</v>
      </c>
      <c r="F2001">
        <v>4.6852</v>
      </c>
    </row>
    <row r="2002" spans="1:6" x14ac:dyDescent="0.25">
      <c r="A2002">
        <v>201800</v>
      </c>
      <c r="B2002">
        <v>5.2130999999999998</v>
      </c>
      <c r="E2002">
        <v>201800</v>
      </c>
      <c r="F2002">
        <v>4.6858000000000004</v>
      </c>
    </row>
    <row r="2003" spans="1:6" x14ac:dyDescent="0.25">
      <c r="A2003">
        <v>201900</v>
      </c>
      <c r="B2003">
        <v>5.2135999999999996</v>
      </c>
      <c r="E2003">
        <v>201900</v>
      </c>
      <c r="F2003">
        <v>4.6863999999999999</v>
      </c>
    </row>
    <row r="2004" spans="1:6" x14ac:dyDescent="0.25">
      <c r="A2004">
        <v>202000</v>
      </c>
      <c r="B2004">
        <v>5.2140000000000004</v>
      </c>
      <c r="E2004">
        <v>202000</v>
      </c>
      <c r="F2004">
        <v>4.6868999999999996</v>
      </c>
    </row>
    <row r="2005" spans="1:6" x14ac:dyDescent="0.25">
      <c r="A2005">
        <v>202100</v>
      </c>
      <c r="B2005">
        <v>5.2145000000000001</v>
      </c>
      <c r="E2005">
        <v>202100</v>
      </c>
      <c r="F2005">
        <v>4.6875</v>
      </c>
    </row>
    <row r="2006" spans="1:6" x14ac:dyDescent="0.25">
      <c r="A2006">
        <v>202200</v>
      </c>
      <c r="B2006">
        <v>5.2149999999999999</v>
      </c>
      <c r="E2006">
        <v>202200</v>
      </c>
      <c r="F2006">
        <v>4.6881000000000004</v>
      </c>
    </row>
    <row r="2007" spans="1:6" x14ac:dyDescent="0.25">
      <c r="A2007">
        <v>202300</v>
      </c>
      <c r="B2007">
        <v>5.2153999999999998</v>
      </c>
      <c r="E2007">
        <v>202300</v>
      </c>
      <c r="F2007">
        <v>4.6886999999999999</v>
      </c>
    </row>
    <row r="2008" spans="1:6" x14ac:dyDescent="0.25">
      <c r="A2008">
        <v>202400</v>
      </c>
      <c r="B2008">
        <v>5.2159000000000004</v>
      </c>
      <c r="E2008">
        <v>202400</v>
      </c>
      <c r="F2008">
        <v>4.6891999999999996</v>
      </c>
    </row>
    <row r="2009" spans="1:6" x14ac:dyDescent="0.25">
      <c r="A2009">
        <v>202500</v>
      </c>
      <c r="B2009">
        <v>5.2163000000000004</v>
      </c>
      <c r="E2009">
        <v>202500</v>
      </c>
      <c r="F2009">
        <v>4.6898</v>
      </c>
    </row>
    <row r="2010" spans="1:6" x14ac:dyDescent="0.25">
      <c r="A2010">
        <v>202600</v>
      </c>
      <c r="B2010">
        <v>5.2168000000000001</v>
      </c>
      <c r="E2010">
        <v>202600</v>
      </c>
      <c r="F2010">
        <v>4.6904000000000003</v>
      </c>
    </row>
    <row r="2011" spans="1:6" x14ac:dyDescent="0.25">
      <c r="A2011">
        <v>202700</v>
      </c>
      <c r="B2011">
        <v>5.2172999999999998</v>
      </c>
      <c r="E2011">
        <v>202700</v>
      </c>
      <c r="F2011">
        <v>4.6909000000000001</v>
      </c>
    </row>
    <row r="2012" spans="1:6" x14ac:dyDescent="0.25">
      <c r="A2012">
        <v>202800</v>
      </c>
      <c r="B2012">
        <v>5.2176999999999998</v>
      </c>
      <c r="E2012">
        <v>202800</v>
      </c>
      <c r="F2012">
        <v>4.6914999999999996</v>
      </c>
    </row>
    <row r="2013" spans="1:6" x14ac:dyDescent="0.25">
      <c r="A2013">
        <v>202900</v>
      </c>
      <c r="B2013">
        <v>5.2182000000000004</v>
      </c>
      <c r="E2013">
        <v>202900</v>
      </c>
      <c r="F2013">
        <v>4.6920999999999999</v>
      </c>
    </row>
    <row r="2014" spans="1:6" x14ac:dyDescent="0.25">
      <c r="A2014">
        <v>203000</v>
      </c>
      <c r="B2014">
        <v>5.2186000000000003</v>
      </c>
      <c r="E2014">
        <v>203000</v>
      </c>
      <c r="F2014">
        <v>4.6927000000000003</v>
      </c>
    </row>
    <row r="2015" spans="1:6" x14ac:dyDescent="0.25">
      <c r="A2015">
        <v>203100</v>
      </c>
      <c r="B2015">
        <v>5.2191000000000001</v>
      </c>
      <c r="E2015">
        <v>203100</v>
      </c>
      <c r="F2015">
        <v>4.6932</v>
      </c>
    </row>
    <row r="2016" spans="1:6" x14ac:dyDescent="0.25">
      <c r="A2016">
        <v>203200</v>
      </c>
      <c r="B2016">
        <v>5.2195999999999998</v>
      </c>
      <c r="E2016">
        <v>203200</v>
      </c>
      <c r="F2016">
        <v>4.6938000000000004</v>
      </c>
    </row>
    <row r="2017" spans="1:6" x14ac:dyDescent="0.25">
      <c r="A2017">
        <v>203300</v>
      </c>
      <c r="B2017">
        <v>5.22</v>
      </c>
      <c r="E2017">
        <v>203300</v>
      </c>
      <c r="F2017">
        <v>4.6943999999999999</v>
      </c>
    </row>
    <row r="2018" spans="1:6" x14ac:dyDescent="0.25">
      <c r="A2018">
        <v>203400</v>
      </c>
      <c r="B2018">
        <v>5.2205000000000004</v>
      </c>
      <c r="E2018">
        <v>203400</v>
      </c>
      <c r="F2018">
        <v>4.6948999999999996</v>
      </c>
    </row>
    <row r="2019" spans="1:6" x14ac:dyDescent="0.25">
      <c r="A2019">
        <v>203500</v>
      </c>
      <c r="B2019">
        <v>5.2209000000000003</v>
      </c>
      <c r="E2019">
        <v>203500</v>
      </c>
      <c r="F2019">
        <v>4.6955</v>
      </c>
    </row>
    <row r="2020" spans="1:6" x14ac:dyDescent="0.25">
      <c r="A2020">
        <v>203600</v>
      </c>
      <c r="B2020">
        <v>5.2214</v>
      </c>
      <c r="E2020">
        <v>203600</v>
      </c>
      <c r="F2020">
        <v>4.6961000000000004</v>
      </c>
    </row>
    <row r="2021" spans="1:6" x14ac:dyDescent="0.25">
      <c r="A2021">
        <v>203700</v>
      </c>
      <c r="B2021">
        <v>5.2218</v>
      </c>
      <c r="E2021">
        <v>203700</v>
      </c>
      <c r="F2021">
        <v>4.6966000000000001</v>
      </c>
    </row>
    <row r="2022" spans="1:6" x14ac:dyDescent="0.25">
      <c r="A2022">
        <v>203800</v>
      </c>
      <c r="B2022">
        <v>5.2222999999999997</v>
      </c>
      <c r="E2022">
        <v>203800</v>
      </c>
      <c r="F2022">
        <v>4.6971999999999996</v>
      </c>
    </row>
    <row r="2023" spans="1:6" x14ac:dyDescent="0.25">
      <c r="A2023">
        <v>203900</v>
      </c>
      <c r="B2023">
        <v>5.2228000000000003</v>
      </c>
      <c r="E2023">
        <v>203900</v>
      </c>
      <c r="F2023">
        <v>4.6978</v>
      </c>
    </row>
    <row r="2024" spans="1:6" x14ac:dyDescent="0.25">
      <c r="A2024">
        <v>204000</v>
      </c>
      <c r="B2024">
        <v>5.2232000000000003</v>
      </c>
      <c r="E2024">
        <v>204000</v>
      </c>
      <c r="F2024">
        <v>4.6982999999999997</v>
      </c>
    </row>
    <row r="2025" spans="1:6" x14ac:dyDescent="0.25">
      <c r="A2025">
        <v>204100</v>
      </c>
      <c r="B2025">
        <v>5.2237</v>
      </c>
      <c r="E2025">
        <v>204100</v>
      </c>
      <c r="F2025">
        <v>4.6989000000000001</v>
      </c>
    </row>
    <row r="2026" spans="1:6" x14ac:dyDescent="0.25">
      <c r="A2026">
        <v>204200</v>
      </c>
      <c r="B2026">
        <v>5.2241</v>
      </c>
      <c r="E2026">
        <v>204200</v>
      </c>
      <c r="F2026">
        <v>4.6994999999999996</v>
      </c>
    </row>
    <row r="2027" spans="1:6" x14ac:dyDescent="0.25">
      <c r="A2027">
        <v>204300</v>
      </c>
      <c r="B2027">
        <v>5.2245999999999997</v>
      </c>
      <c r="E2027">
        <v>204300</v>
      </c>
      <c r="F2027">
        <v>4.7</v>
      </c>
    </row>
    <row r="2028" spans="1:6" x14ac:dyDescent="0.25">
      <c r="A2028">
        <v>204400</v>
      </c>
      <c r="B2028">
        <v>5.2249999999999996</v>
      </c>
      <c r="E2028">
        <v>204400</v>
      </c>
      <c r="F2028">
        <v>4.7005999999999997</v>
      </c>
    </row>
    <row r="2029" spans="1:6" x14ac:dyDescent="0.25">
      <c r="A2029">
        <v>204500</v>
      </c>
      <c r="B2029">
        <v>5.2255000000000003</v>
      </c>
      <c r="E2029">
        <v>204500</v>
      </c>
      <c r="F2029">
        <v>4.7011000000000003</v>
      </c>
    </row>
    <row r="2030" spans="1:6" x14ac:dyDescent="0.25">
      <c r="A2030">
        <v>204600</v>
      </c>
      <c r="B2030">
        <v>5.2259000000000002</v>
      </c>
      <c r="E2030">
        <v>204600</v>
      </c>
      <c r="F2030">
        <v>4.7016999999999998</v>
      </c>
    </row>
    <row r="2031" spans="1:6" x14ac:dyDescent="0.25">
      <c r="A2031">
        <v>204700</v>
      </c>
      <c r="B2031">
        <v>5.2263999999999999</v>
      </c>
      <c r="E2031">
        <v>204700</v>
      </c>
      <c r="F2031">
        <v>4.7023000000000001</v>
      </c>
    </row>
    <row r="2032" spans="1:6" x14ac:dyDescent="0.25">
      <c r="A2032">
        <v>204800</v>
      </c>
      <c r="B2032">
        <v>5.2267999999999999</v>
      </c>
      <c r="E2032">
        <v>204800</v>
      </c>
      <c r="F2032">
        <v>4.7027999999999999</v>
      </c>
    </row>
    <row r="2033" spans="1:6" x14ac:dyDescent="0.25">
      <c r="A2033">
        <v>204900</v>
      </c>
      <c r="B2033">
        <v>5.2272999999999996</v>
      </c>
      <c r="E2033">
        <v>204900</v>
      </c>
      <c r="F2033">
        <v>4.7034000000000002</v>
      </c>
    </row>
    <row r="2034" spans="1:6" x14ac:dyDescent="0.25">
      <c r="A2034">
        <v>205000</v>
      </c>
      <c r="B2034">
        <v>5.2276999999999996</v>
      </c>
      <c r="E2034">
        <v>205000</v>
      </c>
      <c r="F2034">
        <v>4.7039999999999997</v>
      </c>
    </row>
    <row r="2035" spans="1:6" x14ac:dyDescent="0.25">
      <c r="A2035">
        <v>205100</v>
      </c>
      <c r="B2035">
        <v>5.2282000000000002</v>
      </c>
      <c r="E2035">
        <v>205100</v>
      </c>
      <c r="F2035">
        <v>4.7045000000000003</v>
      </c>
    </row>
    <row r="2036" spans="1:6" x14ac:dyDescent="0.25">
      <c r="A2036">
        <v>205200</v>
      </c>
      <c r="B2036">
        <v>5.2286000000000001</v>
      </c>
      <c r="E2036">
        <v>205200</v>
      </c>
      <c r="F2036">
        <v>4.7050999999999998</v>
      </c>
    </row>
    <row r="2037" spans="1:6" x14ac:dyDescent="0.25">
      <c r="A2037">
        <v>205300</v>
      </c>
      <c r="B2037">
        <v>5.2290999999999999</v>
      </c>
      <c r="E2037">
        <v>205300</v>
      </c>
      <c r="F2037">
        <v>4.7055999999999996</v>
      </c>
    </row>
    <row r="2038" spans="1:6" x14ac:dyDescent="0.25">
      <c r="A2038">
        <v>205400</v>
      </c>
      <c r="B2038">
        <v>5.2294999999999998</v>
      </c>
      <c r="E2038">
        <v>205400</v>
      </c>
      <c r="F2038">
        <v>4.7061999999999999</v>
      </c>
    </row>
    <row r="2039" spans="1:6" x14ac:dyDescent="0.25">
      <c r="A2039">
        <v>205500</v>
      </c>
      <c r="B2039">
        <v>5.23</v>
      </c>
      <c r="E2039">
        <v>205500</v>
      </c>
      <c r="F2039">
        <v>4.7066999999999997</v>
      </c>
    </row>
    <row r="2040" spans="1:6" x14ac:dyDescent="0.25">
      <c r="A2040">
        <v>205600</v>
      </c>
      <c r="B2040">
        <v>5.2304000000000004</v>
      </c>
      <c r="E2040">
        <v>205600</v>
      </c>
      <c r="F2040">
        <v>4.7073</v>
      </c>
    </row>
    <row r="2041" spans="1:6" x14ac:dyDescent="0.25">
      <c r="A2041">
        <v>205700</v>
      </c>
      <c r="B2041">
        <v>5.2309000000000001</v>
      </c>
      <c r="E2041">
        <v>205700</v>
      </c>
      <c r="F2041">
        <v>4.7079000000000004</v>
      </c>
    </row>
    <row r="2042" spans="1:6" x14ac:dyDescent="0.25">
      <c r="A2042">
        <v>205800</v>
      </c>
      <c r="B2042">
        <v>5.2313000000000001</v>
      </c>
      <c r="E2042">
        <v>205800</v>
      </c>
      <c r="F2042">
        <v>4.7084000000000001</v>
      </c>
    </row>
    <row r="2043" spans="1:6" x14ac:dyDescent="0.25">
      <c r="A2043">
        <v>205900</v>
      </c>
      <c r="B2043">
        <v>5.2317999999999998</v>
      </c>
      <c r="E2043">
        <v>205900</v>
      </c>
      <c r="F2043">
        <v>4.7089999999999996</v>
      </c>
    </row>
    <row r="2044" spans="1:6" x14ac:dyDescent="0.25">
      <c r="A2044">
        <v>206000</v>
      </c>
      <c r="B2044">
        <v>5.2321999999999997</v>
      </c>
      <c r="E2044">
        <v>206000</v>
      </c>
      <c r="F2044">
        <v>4.7095000000000002</v>
      </c>
    </row>
    <row r="2045" spans="1:6" x14ac:dyDescent="0.25">
      <c r="A2045">
        <v>206100</v>
      </c>
      <c r="B2045">
        <v>5.2327000000000004</v>
      </c>
      <c r="E2045">
        <v>206100</v>
      </c>
      <c r="F2045">
        <v>4.7100999999999997</v>
      </c>
    </row>
    <row r="2046" spans="1:6" x14ac:dyDescent="0.25">
      <c r="A2046">
        <v>206200</v>
      </c>
      <c r="B2046">
        <v>5.2331000000000003</v>
      </c>
      <c r="E2046">
        <v>206200</v>
      </c>
      <c r="F2046">
        <v>4.7106000000000003</v>
      </c>
    </row>
    <row r="2047" spans="1:6" x14ac:dyDescent="0.25">
      <c r="A2047">
        <v>206300</v>
      </c>
      <c r="B2047">
        <v>5.2335000000000003</v>
      </c>
      <c r="E2047">
        <v>206300</v>
      </c>
      <c r="F2047">
        <v>4.7111999999999998</v>
      </c>
    </row>
    <row r="2048" spans="1:6" x14ac:dyDescent="0.25">
      <c r="A2048">
        <v>206400</v>
      </c>
      <c r="B2048">
        <v>5.234</v>
      </c>
      <c r="E2048">
        <v>206400</v>
      </c>
      <c r="F2048">
        <v>4.7117000000000004</v>
      </c>
    </row>
    <row r="2049" spans="1:6" x14ac:dyDescent="0.25">
      <c r="A2049">
        <v>206500</v>
      </c>
      <c r="B2049">
        <v>5.2343999999999999</v>
      </c>
      <c r="E2049">
        <v>206500</v>
      </c>
      <c r="F2049">
        <v>4.7122999999999999</v>
      </c>
    </row>
    <row r="2050" spans="1:6" x14ac:dyDescent="0.25">
      <c r="A2050">
        <v>206600</v>
      </c>
      <c r="B2050">
        <v>5.2348999999999997</v>
      </c>
      <c r="E2050">
        <v>206600</v>
      </c>
      <c r="F2050">
        <v>4.7127999999999997</v>
      </c>
    </row>
    <row r="2051" spans="1:6" x14ac:dyDescent="0.25">
      <c r="A2051">
        <v>206700</v>
      </c>
      <c r="B2051">
        <v>5.2352999999999996</v>
      </c>
      <c r="E2051">
        <v>206700</v>
      </c>
      <c r="F2051">
        <v>4.7134</v>
      </c>
    </row>
    <row r="2052" spans="1:6" x14ac:dyDescent="0.25">
      <c r="A2052">
        <v>206800</v>
      </c>
      <c r="B2052">
        <v>5.2358000000000002</v>
      </c>
      <c r="E2052">
        <v>206800</v>
      </c>
      <c r="F2052">
        <v>4.7138999999999998</v>
      </c>
    </row>
    <row r="2053" spans="1:6" x14ac:dyDescent="0.25">
      <c r="A2053">
        <v>206900</v>
      </c>
      <c r="B2053">
        <v>5.2362000000000002</v>
      </c>
      <c r="E2053">
        <v>206900</v>
      </c>
      <c r="F2053">
        <v>4.7145000000000001</v>
      </c>
    </row>
    <row r="2054" spans="1:6" x14ac:dyDescent="0.25">
      <c r="A2054">
        <v>207000</v>
      </c>
      <c r="B2054">
        <v>5.2366000000000001</v>
      </c>
      <c r="E2054">
        <v>207000</v>
      </c>
      <c r="F2054">
        <v>4.7149999999999999</v>
      </c>
    </row>
    <row r="2055" spans="1:6" x14ac:dyDescent="0.25">
      <c r="A2055">
        <v>207100</v>
      </c>
      <c r="B2055">
        <v>5.2370999999999999</v>
      </c>
      <c r="E2055">
        <v>207100</v>
      </c>
      <c r="F2055">
        <v>4.7156000000000002</v>
      </c>
    </row>
    <row r="2056" spans="1:6" x14ac:dyDescent="0.25">
      <c r="A2056">
        <v>207200</v>
      </c>
      <c r="B2056">
        <v>5.2374999999999998</v>
      </c>
      <c r="E2056">
        <v>207200</v>
      </c>
      <c r="F2056">
        <v>4.7161</v>
      </c>
    </row>
    <row r="2057" spans="1:6" x14ac:dyDescent="0.25">
      <c r="A2057">
        <v>207300</v>
      </c>
      <c r="B2057">
        <v>5.2380000000000004</v>
      </c>
      <c r="E2057">
        <v>207300</v>
      </c>
      <c r="F2057">
        <v>4.7167000000000003</v>
      </c>
    </row>
    <row r="2058" spans="1:6" x14ac:dyDescent="0.25">
      <c r="A2058">
        <v>207400</v>
      </c>
      <c r="B2058">
        <v>5.2384000000000004</v>
      </c>
      <c r="E2058">
        <v>207400</v>
      </c>
      <c r="F2058">
        <v>4.7172000000000001</v>
      </c>
    </row>
    <row r="2059" spans="1:6" x14ac:dyDescent="0.25">
      <c r="A2059">
        <v>207500</v>
      </c>
      <c r="B2059">
        <v>5.2388000000000003</v>
      </c>
      <c r="E2059">
        <v>207500</v>
      </c>
      <c r="F2059">
        <v>4.7178000000000004</v>
      </c>
    </row>
    <row r="2060" spans="1:6" x14ac:dyDescent="0.25">
      <c r="A2060">
        <v>207600</v>
      </c>
      <c r="B2060">
        <v>5.2393000000000001</v>
      </c>
      <c r="E2060">
        <v>207600</v>
      </c>
      <c r="F2060">
        <v>4.7183000000000002</v>
      </c>
    </row>
    <row r="2061" spans="1:6" x14ac:dyDescent="0.25">
      <c r="A2061">
        <v>207700</v>
      </c>
      <c r="B2061">
        <v>5.2397</v>
      </c>
      <c r="E2061">
        <v>207700</v>
      </c>
      <c r="F2061">
        <v>4.7187999999999999</v>
      </c>
    </row>
    <row r="2062" spans="1:6" x14ac:dyDescent="0.25">
      <c r="A2062">
        <v>207800</v>
      </c>
      <c r="B2062">
        <v>5.2401999999999997</v>
      </c>
      <c r="E2062">
        <v>207800</v>
      </c>
      <c r="F2062">
        <v>4.7194000000000003</v>
      </c>
    </row>
    <row r="2063" spans="1:6" x14ac:dyDescent="0.25">
      <c r="A2063">
        <v>207900</v>
      </c>
      <c r="B2063">
        <v>5.2405999999999997</v>
      </c>
      <c r="E2063">
        <v>207900</v>
      </c>
      <c r="F2063">
        <v>4.7199</v>
      </c>
    </row>
    <row r="2064" spans="1:6" x14ac:dyDescent="0.25">
      <c r="A2064">
        <v>208000</v>
      </c>
      <c r="B2064">
        <v>5.2409999999999997</v>
      </c>
      <c r="E2064">
        <v>208000</v>
      </c>
      <c r="F2064">
        <v>4.7205000000000004</v>
      </c>
    </row>
    <row r="2065" spans="1:6" x14ac:dyDescent="0.25">
      <c r="A2065">
        <v>208100</v>
      </c>
      <c r="B2065">
        <v>5.2415000000000003</v>
      </c>
      <c r="E2065">
        <v>208100</v>
      </c>
      <c r="F2065">
        <v>4.7210000000000001</v>
      </c>
    </row>
    <row r="2066" spans="1:6" x14ac:dyDescent="0.25">
      <c r="A2066">
        <v>208200</v>
      </c>
      <c r="B2066">
        <v>5.2419000000000002</v>
      </c>
      <c r="E2066">
        <v>208200</v>
      </c>
      <c r="F2066">
        <v>4.7215999999999996</v>
      </c>
    </row>
    <row r="2067" spans="1:6" x14ac:dyDescent="0.25">
      <c r="A2067">
        <v>208300</v>
      </c>
      <c r="B2067">
        <v>5.2423000000000002</v>
      </c>
      <c r="E2067">
        <v>208300</v>
      </c>
      <c r="F2067">
        <v>4.7221000000000002</v>
      </c>
    </row>
    <row r="2068" spans="1:6" x14ac:dyDescent="0.25">
      <c r="A2068">
        <v>208400</v>
      </c>
      <c r="B2068">
        <v>5.2427999999999999</v>
      </c>
      <c r="E2068">
        <v>208400</v>
      </c>
      <c r="F2068">
        <v>4.7225999999999999</v>
      </c>
    </row>
    <row r="2069" spans="1:6" x14ac:dyDescent="0.25">
      <c r="A2069">
        <v>208500</v>
      </c>
      <c r="B2069">
        <v>5.2431999999999999</v>
      </c>
      <c r="E2069">
        <v>208500</v>
      </c>
      <c r="F2069">
        <v>4.7232000000000003</v>
      </c>
    </row>
    <row r="2070" spans="1:6" x14ac:dyDescent="0.25">
      <c r="A2070">
        <v>208600</v>
      </c>
      <c r="B2070">
        <v>5.2435999999999998</v>
      </c>
      <c r="E2070">
        <v>208600</v>
      </c>
      <c r="F2070">
        <v>4.7237</v>
      </c>
    </row>
    <row r="2071" spans="1:6" x14ac:dyDescent="0.25">
      <c r="A2071">
        <v>208700</v>
      </c>
      <c r="B2071">
        <v>5.2441000000000004</v>
      </c>
      <c r="E2071">
        <v>208700</v>
      </c>
      <c r="F2071">
        <v>4.7243000000000004</v>
      </c>
    </row>
    <row r="2072" spans="1:6" x14ac:dyDescent="0.25">
      <c r="A2072">
        <v>208800</v>
      </c>
      <c r="B2072">
        <v>5.2445000000000004</v>
      </c>
      <c r="E2072">
        <v>208800</v>
      </c>
      <c r="F2072">
        <v>4.7248000000000001</v>
      </c>
    </row>
    <row r="2073" spans="1:6" x14ac:dyDescent="0.25">
      <c r="A2073">
        <v>208900</v>
      </c>
      <c r="B2073">
        <v>5.2449000000000003</v>
      </c>
      <c r="E2073">
        <v>208900</v>
      </c>
      <c r="F2073">
        <v>4.7252999999999998</v>
      </c>
    </row>
    <row r="2074" spans="1:6" x14ac:dyDescent="0.25">
      <c r="A2074">
        <v>209000</v>
      </c>
      <c r="B2074">
        <v>5.2454000000000001</v>
      </c>
      <c r="E2074">
        <v>209000</v>
      </c>
      <c r="F2074">
        <v>4.7259000000000002</v>
      </c>
    </row>
    <row r="2075" spans="1:6" x14ac:dyDescent="0.25">
      <c r="A2075">
        <v>209100</v>
      </c>
      <c r="B2075">
        <v>5.2458</v>
      </c>
      <c r="E2075">
        <v>209100</v>
      </c>
      <c r="F2075">
        <v>4.7263999999999999</v>
      </c>
    </row>
    <row r="2076" spans="1:6" x14ac:dyDescent="0.25">
      <c r="A2076">
        <v>209200</v>
      </c>
      <c r="B2076">
        <v>5.2462</v>
      </c>
      <c r="E2076">
        <v>209200</v>
      </c>
      <c r="F2076">
        <v>4.7270000000000003</v>
      </c>
    </row>
    <row r="2077" spans="1:6" x14ac:dyDescent="0.25">
      <c r="A2077">
        <v>209300</v>
      </c>
      <c r="B2077">
        <v>5.2466999999999997</v>
      </c>
      <c r="E2077">
        <v>209300</v>
      </c>
      <c r="F2077">
        <v>4.7275</v>
      </c>
    </row>
    <row r="2078" spans="1:6" x14ac:dyDescent="0.25">
      <c r="A2078">
        <v>209400</v>
      </c>
      <c r="B2078">
        <v>5.2470999999999997</v>
      </c>
      <c r="E2078">
        <v>209400</v>
      </c>
      <c r="F2078">
        <v>4.7279999999999998</v>
      </c>
    </row>
    <row r="2079" spans="1:6" x14ac:dyDescent="0.25">
      <c r="A2079">
        <v>209500</v>
      </c>
      <c r="B2079">
        <v>5.2474999999999996</v>
      </c>
      <c r="E2079">
        <v>209500</v>
      </c>
      <c r="F2079">
        <v>4.7286000000000001</v>
      </c>
    </row>
    <row r="2080" spans="1:6" x14ac:dyDescent="0.25">
      <c r="A2080">
        <v>209600</v>
      </c>
      <c r="B2080">
        <v>5.2480000000000002</v>
      </c>
      <c r="E2080">
        <v>209600</v>
      </c>
      <c r="F2080">
        <v>4.7290999999999999</v>
      </c>
    </row>
    <row r="2081" spans="1:6" x14ac:dyDescent="0.25">
      <c r="A2081">
        <v>209700</v>
      </c>
      <c r="B2081">
        <v>5.2484000000000002</v>
      </c>
      <c r="E2081">
        <v>209700</v>
      </c>
      <c r="F2081">
        <v>4.7295999999999996</v>
      </c>
    </row>
    <row r="2082" spans="1:6" x14ac:dyDescent="0.25">
      <c r="A2082">
        <v>209800</v>
      </c>
      <c r="B2082">
        <v>5.2488000000000001</v>
      </c>
      <c r="E2082">
        <v>209800</v>
      </c>
      <c r="F2082">
        <v>4.7302</v>
      </c>
    </row>
    <row r="2083" spans="1:6" x14ac:dyDescent="0.25">
      <c r="A2083">
        <v>209900</v>
      </c>
      <c r="B2083">
        <v>5.2492999999999999</v>
      </c>
      <c r="E2083">
        <v>209900</v>
      </c>
      <c r="F2083">
        <v>4.7306999999999997</v>
      </c>
    </row>
    <row r="2084" spans="1:6" x14ac:dyDescent="0.25">
      <c r="A2084">
        <v>210000</v>
      </c>
      <c r="B2084">
        <v>5.2496999999999998</v>
      </c>
      <c r="E2084">
        <v>210000</v>
      </c>
      <c r="F2084">
        <v>4.7312000000000003</v>
      </c>
    </row>
    <row r="2085" spans="1:6" x14ac:dyDescent="0.25">
      <c r="A2085">
        <v>210100</v>
      </c>
      <c r="B2085">
        <v>5.2500999999999998</v>
      </c>
      <c r="E2085">
        <v>210100</v>
      </c>
      <c r="F2085">
        <v>4.7317999999999998</v>
      </c>
    </row>
    <row r="2086" spans="1:6" x14ac:dyDescent="0.25">
      <c r="A2086">
        <v>210200</v>
      </c>
      <c r="B2086">
        <v>5.2504999999999997</v>
      </c>
      <c r="E2086">
        <v>210200</v>
      </c>
      <c r="F2086">
        <v>4.7323000000000004</v>
      </c>
    </row>
    <row r="2087" spans="1:6" x14ac:dyDescent="0.25">
      <c r="A2087">
        <v>210300</v>
      </c>
      <c r="B2087">
        <v>5.2510000000000003</v>
      </c>
      <c r="E2087">
        <v>210300</v>
      </c>
      <c r="F2087">
        <v>4.7328000000000001</v>
      </c>
    </row>
    <row r="2088" spans="1:6" x14ac:dyDescent="0.25">
      <c r="A2088">
        <v>210400</v>
      </c>
      <c r="B2088">
        <v>5.2514000000000003</v>
      </c>
      <c r="E2088">
        <v>210400</v>
      </c>
      <c r="F2088">
        <v>4.7333999999999996</v>
      </c>
    </row>
    <row r="2089" spans="1:6" x14ac:dyDescent="0.25">
      <c r="A2089">
        <v>210500</v>
      </c>
      <c r="B2089">
        <v>5.2518000000000002</v>
      </c>
      <c r="E2089">
        <v>210500</v>
      </c>
      <c r="F2089">
        <v>4.7339000000000002</v>
      </c>
    </row>
    <row r="2090" spans="1:6" x14ac:dyDescent="0.25">
      <c r="A2090">
        <v>210600</v>
      </c>
      <c r="B2090">
        <v>5.2523</v>
      </c>
      <c r="E2090">
        <v>210600</v>
      </c>
      <c r="F2090">
        <v>4.7343999999999999</v>
      </c>
    </row>
    <row r="2091" spans="1:6" x14ac:dyDescent="0.25">
      <c r="A2091">
        <v>210700</v>
      </c>
      <c r="B2091">
        <v>5.2526999999999999</v>
      </c>
      <c r="E2091">
        <v>210700</v>
      </c>
      <c r="F2091">
        <v>4.7350000000000003</v>
      </c>
    </row>
    <row r="2092" spans="1:6" x14ac:dyDescent="0.25">
      <c r="A2092">
        <v>210800</v>
      </c>
      <c r="B2092">
        <v>5.2530999999999999</v>
      </c>
      <c r="E2092">
        <v>210800</v>
      </c>
      <c r="F2092">
        <v>4.7355</v>
      </c>
    </row>
    <row r="2093" spans="1:6" x14ac:dyDescent="0.25">
      <c r="A2093">
        <v>210900</v>
      </c>
      <c r="B2093">
        <v>5.2534999999999998</v>
      </c>
      <c r="E2093">
        <v>210900</v>
      </c>
      <c r="F2093">
        <v>4.7359999999999998</v>
      </c>
    </row>
    <row r="2094" spans="1:6" x14ac:dyDescent="0.25">
      <c r="A2094">
        <v>211000</v>
      </c>
      <c r="B2094">
        <v>5.2539999999999996</v>
      </c>
      <c r="E2094">
        <v>211000</v>
      </c>
      <c r="F2094">
        <v>4.7365000000000004</v>
      </c>
    </row>
    <row r="2095" spans="1:6" x14ac:dyDescent="0.25">
      <c r="A2095">
        <v>211100</v>
      </c>
      <c r="B2095">
        <v>5.2544000000000004</v>
      </c>
      <c r="E2095">
        <v>211100</v>
      </c>
      <c r="F2095">
        <v>4.7370999999999999</v>
      </c>
    </row>
    <row r="2096" spans="1:6" x14ac:dyDescent="0.25">
      <c r="A2096">
        <v>211200</v>
      </c>
      <c r="B2096">
        <v>5.2548000000000004</v>
      </c>
      <c r="E2096">
        <v>211200</v>
      </c>
      <c r="F2096">
        <v>4.7375999999999996</v>
      </c>
    </row>
    <row r="2097" spans="1:6" x14ac:dyDescent="0.25">
      <c r="A2097">
        <v>211300</v>
      </c>
      <c r="B2097">
        <v>5.2552000000000003</v>
      </c>
      <c r="E2097">
        <v>211300</v>
      </c>
      <c r="F2097">
        <v>4.7381000000000002</v>
      </c>
    </row>
    <row r="2098" spans="1:6" x14ac:dyDescent="0.25">
      <c r="A2098">
        <v>211400</v>
      </c>
      <c r="B2098">
        <v>5.2557</v>
      </c>
      <c r="E2098">
        <v>211400</v>
      </c>
      <c r="F2098">
        <v>4.7385999999999999</v>
      </c>
    </row>
    <row r="2099" spans="1:6" x14ac:dyDescent="0.25">
      <c r="A2099">
        <v>211500</v>
      </c>
      <c r="B2099">
        <v>5.2561</v>
      </c>
      <c r="E2099">
        <v>211500</v>
      </c>
      <c r="F2099">
        <v>4.7392000000000003</v>
      </c>
    </row>
    <row r="2100" spans="1:6" x14ac:dyDescent="0.25">
      <c r="A2100">
        <v>211600</v>
      </c>
      <c r="B2100">
        <v>5.2565</v>
      </c>
      <c r="E2100">
        <v>211600</v>
      </c>
      <c r="F2100">
        <v>4.7397</v>
      </c>
    </row>
    <row r="2101" spans="1:6" x14ac:dyDescent="0.25">
      <c r="A2101">
        <v>211700</v>
      </c>
      <c r="B2101">
        <v>5.2568999999999999</v>
      </c>
      <c r="E2101">
        <v>211700</v>
      </c>
      <c r="F2101">
        <v>4.7401999999999997</v>
      </c>
    </row>
    <row r="2102" spans="1:6" x14ac:dyDescent="0.25">
      <c r="A2102">
        <v>211800</v>
      </c>
      <c r="B2102">
        <v>5.2572999999999999</v>
      </c>
      <c r="E2102">
        <v>211800</v>
      </c>
      <c r="F2102">
        <v>4.7407000000000004</v>
      </c>
    </row>
    <row r="2103" spans="1:6" x14ac:dyDescent="0.25">
      <c r="A2103">
        <v>211900</v>
      </c>
      <c r="B2103">
        <v>5.2577999999999996</v>
      </c>
      <c r="E2103">
        <v>211900</v>
      </c>
      <c r="F2103">
        <v>4.7412999999999998</v>
      </c>
    </row>
    <row r="2104" spans="1:6" x14ac:dyDescent="0.25">
      <c r="A2104">
        <v>212000</v>
      </c>
      <c r="B2104">
        <v>5.2582000000000004</v>
      </c>
      <c r="E2104">
        <v>212000</v>
      </c>
      <c r="F2104">
        <v>4.7417999999999996</v>
      </c>
    </row>
    <row r="2105" spans="1:6" x14ac:dyDescent="0.25">
      <c r="A2105">
        <v>212100</v>
      </c>
      <c r="B2105">
        <v>5.2586000000000004</v>
      </c>
      <c r="E2105">
        <v>212100</v>
      </c>
      <c r="F2105">
        <v>4.7423000000000002</v>
      </c>
    </row>
    <row r="2106" spans="1:6" x14ac:dyDescent="0.25">
      <c r="A2106">
        <v>212200</v>
      </c>
      <c r="B2106">
        <v>5.2590000000000003</v>
      </c>
      <c r="E2106">
        <v>212200</v>
      </c>
      <c r="F2106">
        <v>4.7427999999999999</v>
      </c>
    </row>
    <row r="2107" spans="1:6" x14ac:dyDescent="0.25">
      <c r="A2107">
        <v>212300</v>
      </c>
      <c r="B2107">
        <v>5.2594000000000003</v>
      </c>
      <c r="E2107">
        <v>212300</v>
      </c>
      <c r="F2107">
        <v>4.7434000000000003</v>
      </c>
    </row>
    <row r="2108" spans="1:6" x14ac:dyDescent="0.25">
      <c r="A2108">
        <v>212400</v>
      </c>
      <c r="B2108">
        <v>5.2599</v>
      </c>
      <c r="E2108">
        <v>212400</v>
      </c>
      <c r="F2108">
        <v>4.7439</v>
      </c>
    </row>
    <row r="2109" spans="1:6" x14ac:dyDescent="0.25">
      <c r="A2109">
        <v>212500</v>
      </c>
      <c r="B2109">
        <v>5.2603</v>
      </c>
      <c r="E2109">
        <v>212500</v>
      </c>
      <c r="F2109">
        <v>4.7443999999999997</v>
      </c>
    </row>
    <row r="2110" spans="1:6" x14ac:dyDescent="0.25">
      <c r="A2110">
        <v>212600</v>
      </c>
      <c r="B2110">
        <v>5.2606999999999999</v>
      </c>
      <c r="E2110">
        <v>212600</v>
      </c>
      <c r="F2110">
        <v>4.7449000000000003</v>
      </c>
    </row>
    <row r="2111" spans="1:6" x14ac:dyDescent="0.25">
      <c r="A2111">
        <v>212700</v>
      </c>
      <c r="B2111">
        <v>5.2610999999999999</v>
      </c>
      <c r="E2111">
        <v>212700</v>
      </c>
      <c r="F2111">
        <v>4.7454000000000001</v>
      </c>
    </row>
    <row r="2112" spans="1:6" x14ac:dyDescent="0.25">
      <c r="A2112">
        <v>212800</v>
      </c>
      <c r="B2112">
        <v>5.2614999999999998</v>
      </c>
      <c r="E2112">
        <v>212800</v>
      </c>
      <c r="F2112">
        <v>4.7460000000000004</v>
      </c>
    </row>
    <row r="2113" spans="1:6" x14ac:dyDescent="0.25">
      <c r="A2113">
        <v>212900</v>
      </c>
      <c r="B2113">
        <v>5.2619999999999996</v>
      </c>
      <c r="E2113">
        <v>212900</v>
      </c>
      <c r="F2113">
        <v>4.7465000000000002</v>
      </c>
    </row>
    <row r="2114" spans="1:6" x14ac:dyDescent="0.25">
      <c r="A2114">
        <v>213000</v>
      </c>
      <c r="B2114">
        <v>5.2624000000000004</v>
      </c>
      <c r="E2114">
        <v>213000</v>
      </c>
      <c r="F2114">
        <v>4.7469999999999999</v>
      </c>
    </row>
    <row r="2115" spans="1:6" x14ac:dyDescent="0.25">
      <c r="A2115">
        <v>213100</v>
      </c>
      <c r="B2115">
        <v>5.2628000000000004</v>
      </c>
      <c r="E2115">
        <v>213100</v>
      </c>
      <c r="F2115">
        <v>4.7474999999999996</v>
      </c>
    </row>
    <row r="2116" spans="1:6" x14ac:dyDescent="0.25">
      <c r="A2116">
        <v>213200</v>
      </c>
      <c r="B2116">
        <v>5.2632000000000003</v>
      </c>
      <c r="E2116">
        <v>213200</v>
      </c>
      <c r="F2116">
        <v>4.7480000000000002</v>
      </c>
    </row>
    <row r="2117" spans="1:6" x14ac:dyDescent="0.25">
      <c r="A2117">
        <v>213300</v>
      </c>
      <c r="B2117">
        <v>5.2636000000000003</v>
      </c>
      <c r="E2117">
        <v>213300</v>
      </c>
      <c r="F2117">
        <v>4.7484999999999999</v>
      </c>
    </row>
    <row r="2118" spans="1:6" x14ac:dyDescent="0.25">
      <c r="A2118">
        <v>213400</v>
      </c>
      <c r="B2118">
        <v>5.2640000000000002</v>
      </c>
      <c r="E2118">
        <v>213400</v>
      </c>
      <c r="F2118">
        <v>4.7491000000000003</v>
      </c>
    </row>
    <row r="2119" spans="1:6" x14ac:dyDescent="0.25">
      <c r="A2119">
        <v>213500</v>
      </c>
      <c r="B2119">
        <v>5.2644000000000002</v>
      </c>
      <c r="E2119">
        <v>213500</v>
      </c>
      <c r="F2119">
        <v>4.7496</v>
      </c>
    </row>
    <row r="2120" spans="1:6" x14ac:dyDescent="0.25">
      <c r="A2120">
        <v>213600</v>
      </c>
      <c r="B2120">
        <v>5.2648999999999999</v>
      </c>
      <c r="E2120">
        <v>213600</v>
      </c>
      <c r="F2120">
        <v>4.7500999999999998</v>
      </c>
    </row>
    <row r="2121" spans="1:6" x14ac:dyDescent="0.25">
      <c r="A2121">
        <v>213700</v>
      </c>
      <c r="B2121">
        <v>5.2652999999999999</v>
      </c>
      <c r="E2121">
        <v>213700</v>
      </c>
      <c r="F2121">
        <v>4.7506000000000004</v>
      </c>
    </row>
    <row r="2122" spans="1:6" x14ac:dyDescent="0.25">
      <c r="A2122">
        <v>213800</v>
      </c>
      <c r="B2122">
        <v>5.2656999999999998</v>
      </c>
      <c r="E2122">
        <v>213800</v>
      </c>
      <c r="F2122">
        <v>4.7511000000000001</v>
      </c>
    </row>
    <row r="2123" spans="1:6" x14ac:dyDescent="0.25">
      <c r="A2123">
        <v>213900</v>
      </c>
      <c r="B2123">
        <v>5.2660999999999998</v>
      </c>
      <c r="E2123">
        <v>213900</v>
      </c>
      <c r="F2123">
        <v>4.7515999999999998</v>
      </c>
    </row>
    <row r="2124" spans="1:6" x14ac:dyDescent="0.25">
      <c r="A2124">
        <v>214000</v>
      </c>
      <c r="B2124">
        <v>5.2664999999999997</v>
      </c>
      <c r="E2124">
        <v>214000</v>
      </c>
      <c r="F2124">
        <v>4.7521000000000004</v>
      </c>
    </row>
    <row r="2125" spans="1:6" x14ac:dyDescent="0.25">
      <c r="A2125">
        <v>214100</v>
      </c>
      <c r="B2125">
        <v>5.2668999999999997</v>
      </c>
      <c r="E2125">
        <v>214100</v>
      </c>
      <c r="F2125">
        <v>4.7526999999999999</v>
      </c>
    </row>
    <row r="2126" spans="1:6" x14ac:dyDescent="0.25">
      <c r="A2126">
        <v>214200</v>
      </c>
      <c r="B2126">
        <v>5.2672999999999996</v>
      </c>
      <c r="E2126">
        <v>214200</v>
      </c>
      <c r="F2126">
        <v>4.7531999999999996</v>
      </c>
    </row>
    <row r="2127" spans="1:6" x14ac:dyDescent="0.25">
      <c r="A2127">
        <v>214300</v>
      </c>
      <c r="B2127">
        <v>5.2678000000000003</v>
      </c>
      <c r="E2127">
        <v>214300</v>
      </c>
      <c r="F2127">
        <v>4.7537000000000003</v>
      </c>
    </row>
    <row r="2128" spans="1:6" x14ac:dyDescent="0.25">
      <c r="A2128">
        <v>214400</v>
      </c>
      <c r="B2128">
        <v>5.2682000000000002</v>
      </c>
      <c r="E2128">
        <v>214400</v>
      </c>
      <c r="F2128">
        <v>4.7542</v>
      </c>
    </row>
    <row r="2129" spans="1:6" x14ac:dyDescent="0.25">
      <c r="A2129">
        <v>214500</v>
      </c>
      <c r="B2129">
        <v>5.2686000000000002</v>
      </c>
      <c r="E2129">
        <v>214500</v>
      </c>
      <c r="F2129">
        <v>4.7546999999999997</v>
      </c>
    </row>
    <row r="2130" spans="1:6" x14ac:dyDescent="0.25">
      <c r="A2130">
        <v>214600</v>
      </c>
      <c r="B2130">
        <v>5.2690000000000001</v>
      </c>
      <c r="E2130">
        <v>214600</v>
      </c>
      <c r="F2130">
        <v>4.7552000000000003</v>
      </c>
    </row>
    <row r="2131" spans="1:6" x14ac:dyDescent="0.25">
      <c r="A2131">
        <v>214700</v>
      </c>
      <c r="B2131">
        <v>5.2694000000000001</v>
      </c>
      <c r="E2131">
        <v>214700</v>
      </c>
      <c r="F2131">
        <v>4.7557</v>
      </c>
    </row>
    <row r="2132" spans="1:6" x14ac:dyDescent="0.25">
      <c r="A2132">
        <v>214800</v>
      </c>
      <c r="B2132">
        <v>5.2698</v>
      </c>
      <c r="E2132">
        <v>214800</v>
      </c>
      <c r="F2132">
        <v>4.7561999999999998</v>
      </c>
    </row>
    <row r="2133" spans="1:6" x14ac:dyDescent="0.25">
      <c r="A2133">
        <v>214900</v>
      </c>
      <c r="B2133">
        <v>5.2702</v>
      </c>
      <c r="E2133">
        <v>214900</v>
      </c>
      <c r="F2133">
        <v>4.7567000000000004</v>
      </c>
    </row>
    <row r="2134" spans="1:6" x14ac:dyDescent="0.25">
      <c r="A2134">
        <v>215000</v>
      </c>
      <c r="B2134">
        <v>5.2706</v>
      </c>
      <c r="E2134">
        <v>215000</v>
      </c>
      <c r="F2134">
        <v>4.7572999999999999</v>
      </c>
    </row>
    <row r="2135" spans="1:6" x14ac:dyDescent="0.25">
      <c r="A2135">
        <v>215100</v>
      </c>
      <c r="B2135">
        <v>5.2709999999999999</v>
      </c>
      <c r="E2135">
        <v>215100</v>
      </c>
      <c r="F2135">
        <v>4.7577999999999996</v>
      </c>
    </row>
    <row r="2136" spans="1:6" x14ac:dyDescent="0.25">
      <c r="A2136">
        <v>215200</v>
      </c>
      <c r="B2136">
        <v>5.2713999999999999</v>
      </c>
      <c r="E2136">
        <v>215200</v>
      </c>
      <c r="F2136">
        <v>4.7583000000000002</v>
      </c>
    </row>
    <row r="2137" spans="1:6" x14ac:dyDescent="0.25">
      <c r="A2137">
        <v>215300</v>
      </c>
      <c r="B2137">
        <v>5.2718999999999996</v>
      </c>
      <c r="E2137">
        <v>215300</v>
      </c>
      <c r="F2137">
        <v>4.7587999999999999</v>
      </c>
    </row>
    <row r="2138" spans="1:6" x14ac:dyDescent="0.25">
      <c r="A2138">
        <v>215400</v>
      </c>
      <c r="B2138">
        <v>5.2723000000000004</v>
      </c>
      <c r="E2138">
        <v>215400</v>
      </c>
      <c r="F2138">
        <v>4.7592999999999996</v>
      </c>
    </row>
    <row r="2139" spans="1:6" x14ac:dyDescent="0.25">
      <c r="A2139">
        <v>215500</v>
      </c>
      <c r="B2139">
        <v>5.2727000000000004</v>
      </c>
      <c r="E2139">
        <v>215500</v>
      </c>
      <c r="F2139">
        <v>4.7598000000000003</v>
      </c>
    </row>
    <row r="2140" spans="1:6" x14ac:dyDescent="0.25">
      <c r="A2140">
        <v>215600</v>
      </c>
      <c r="B2140">
        <v>5.2731000000000003</v>
      </c>
      <c r="E2140">
        <v>215600</v>
      </c>
      <c r="F2140">
        <v>4.7603</v>
      </c>
    </row>
    <row r="2141" spans="1:6" x14ac:dyDescent="0.25">
      <c r="A2141">
        <v>215700</v>
      </c>
      <c r="B2141">
        <v>5.2735000000000003</v>
      </c>
      <c r="E2141">
        <v>215700</v>
      </c>
      <c r="F2141">
        <v>4.7607999999999997</v>
      </c>
    </row>
    <row r="2142" spans="1:6" x14ac:dyDescent="0.25">
      <c r="A2142">
        <v>215800</v>
      </c>
      <c r="B2142">
        <v>5.2739000000000003</v>
      </c>
      <c r="E2142">
        <v>215800</v>
      </c>
      <c r="F2142">
        <v>4.7613000000000003</v>
      </c>
    </row>
    <row r="2143" spans="1:6" x14ac:dyDescent="0.25">
      <c r="A2143">
        <v>215900</v>
      </c>
      <c r="B2143">
        <v>5.2743000000000002</v>
      </c>
      <c r="E2143">
        <v>215900</v>
      </c>
      <c r="F2143">
        <v>4.7618</v>
      </c>
    </row>
    <row r="2144" spans="1:6" x14ac:dyDescent="0.25">
      <c r="A2144">
        <v>216000</v>
      </c>
      <c r="B2144">
        <v>5.2747000000000002</v>
      </c>
      <c r="E2144">
        <v>216000</v>
      </c>
      <c r="F2144">
        <v>4.7622999999999998</v>
      </c>
    </row>
    <row r="2145" spans="1:6" x14ac:dyDescent="0.25">
      <c r="A2145">
        <v>216100</v>
      </c>
      <c r="B2145">
        <v>5.2751000000000001</v>
      </c>
      <c r="E2145">
        <v>216100</v>
      </c>
      <c r="F2145">
        <v>4.7628000000000004</v>
      </c>
    </row>
    <row r="2146" spans="1:6" x14ac:dyDescent="0.25">
      <c r="A2146">
        <v>216200</v>
      </c>
      <c r="B2146">
        <v>5.2755000000000001</v>
      </c>
      <c r="E2146">
        <v>216200</v>
      </c>
      <c r="F2146">
        <v>4.7633000000000001</v>
      </c>
    </row>
    <row r="2147" spans="1:6" x14ac:dyDescent="0.25">
      <c r="A2147">
        <v>216300</v>
      </c>
      <c r="B2147">
        <v>5.2759</v>
      </c>
      <c r="E2147">
        <v>216300</v>
      </c>
      <c r="F2147">
        <v>4.7637999999999998</v>
      </c>
    </row>
    <row r="2148" spans="1:6" x14ac:dyDescent="0.25">
      <c r="A2148">
        <v>216400</v>
      </c>
      <c r="B2148">
        <v>5.2763</v>
      </c>
      <c r="E2148">
        <v>216400</v>
      </c>
      <c r="F2148">
        <v>4.7643000000000004</v>
      </c>
    </row>
    <row r="2149" spans="1:6" x14ac:dyDescent="0.25">
      <c r="A2149">
        <v>216500</v>
      </c>
      <c r="B2149">
        <v>5.2766999999999999</v>
      </c>
      <c r="E2149">
        <v>216500</v>
      </c>
      <c r="F2149">
        <v>4.7648000000000001</v>
      </c>
    </row>
    <row r="2150" spans="1:6" x14ac:dyDescent="0.25">
      <c r="A2150">
        <v>216600</v>
      </c>
      <c r="B2150">
        <v>5.2770999999999999</v>
      </c>
      <c r="E2150">
        <v>216600</v>
      </c>
      <c r="F2150">
        <v>4.7652999999999999</v>
      </c>
    </row>
    <row r="2151" spans="1:6" x14ac:dyDescent="0.25">
      <c r="A2151">
        <v>216700</v>
      </c>
      <c r="B2151">
        <v>5.2774999999999999</v>
      </c>
      <c r="E2151">
        <v>216700</v>
      </c>
      <c r="F2151">
        <v>4.7657999999999996</v>
      </c>
    </row>
    <row r="2152" spans="1:6" x14ac:dyDescent="0.25">
      <c r="A2152">
        <v>216800</v>
      </c>
      <c r="B2152">
        <v>5.2778999999999998</v>
      </c>
      <c r="E2152">
        <v>216800</v>
      </c>
      <c r="F2152">
        <v>4.7663000000000002</v>
      </c>
    </row>
    <row r="2153" spans="1:6" x14ac:dyDescent="0.25">
      <c r="A2153">
        <v>216900</v>
      </c>
      <c r="B2153">
        <v>5.2782999999999998</v>
      </c>
      <c r="E2153">
        <v>216900</v>
      </c>
      <c r="F2153">
        <v>4.7667999999999999</v>
      </c>
    </row>
    <row r="2154" spans="1:6" x14ac:dyDescent="0.25">
      <c r="A2154">
        <v>217000</v>
      </c>
      <c r="B2154">
        <v>5.2786999999999997</v>
      </c>
      <c r="E2154">
        <v>217000</v>
      </c>
      <c r="F2154">
        <v>4.7672999999999996</v>
      </c>
    </row>
    <row r="2155" spans="1:6" x14ac:dyDescent="0.25">
      <c r="A2155">
        <v>217100</v>
      </c>
      <c r="B2155">
        <v>5.2790999999999997</v>
      </c>
      <c r="E2155">
        <v>217100</v>
      </c>
      <c r="F2155">
        <v>4.7678000000000003</v>
      </c>
    </row>
    <row r="2156" spans="1:6" x14ac:dyDescent="0.25">
      <c r="A2156">
        <v>217200</v>
      </c>
      <c r="B2156">
        <v>5.2794999999999996</v>
      </c>
      <c r="E2156">
        <v>217200</v>
      </c>
      <c r="F2156">
        <v>4.7683</v>
      </c>
    </row>
    <row r="2157" spans="1:6" x14ac:dyDescent="0.25">
      <c r="A2157">
        <v>217300</v>
      </c>
      <c r="B2157">
        <v>5.2798999999999996</v>
      </c>
      <c r="E2157">
        <v>217300</v>
      </c>
      <c r="F2157">
        <v>4.7687999999999997</v>
      </c>
    </row>
    <row r="2158" spans="1:6" x14ac:dyDescent="0.25">
      <c r="A2158">
        <v>217400</v>
      </c>
      <c r="B2158">
        <v>5.2803000000000004</v>
      </c>
      <c r="E2158">
        <v>217400</v>
      </c>
      <c r="F2158">
        <v>4.7693000000000003</v>
      </c>
    </row>
    <row r="2159" spans="1:6" x14ac:dyDescent="0.25">
      <c r="A2159">
        <v>217500</v>
      </c>
      <c r="B2159">
        <v>5.2807000000000004</v>
      </c>
      <c r="E2159">
        <v>217500</v>
      </c>
      <c r="F2159">
        <v>4.7698</v>
      </c>
    </row>
    <row r="2160" spans="1:6" x14ac:dyDescent="0.25">
      <c r="A2160">
        <v>217600</v>
      </c>
      <c r="B2160">
        <v>5.2811000000000003</v>
      </c>
      <c r="E2160">
        <v>217600</v>
      </c>
      <c r="F2160">
        <v>4.7702999999999998</v>
      </c>
    </row>
    <row r="2161" spans="1:6" x14ac:dyDescent="0.25">
      <c r="A2161">
        <v>217700</v>
      </c>
      <c r="B2161">
        <v>5.2815000000000003</v>
      </c>
      <c r="E2161">
        <v>217700</v>
      </c>
      <c r="F2161">
        <v>4.7708000000000004</v>
      </c>
    </row>
    <row r="2162" spans="1:6" x14ac:dyDescent="0.25">
      <c r="A2162">
        <v>217800</v>
      </c>
      <c r="B2162">
        <v>5.2819000000000003</v>
      </c>
      <c r="E2162">
        <v>217800</v>
      </c>
      <c r="F2162">
        <v>4.7713000000000001</v>
      </c>
    </row>
    <row r="2163" spans="1:6" x14ac:dyDescent="0.25">
      <c r="A2163">
        <v>217900</v>
      </c>
      <c r="B2163">
        <v>5.2823000000000002</v>
      </c>
      <c r="E2163">
        <v>217900</v>
      </c>
      <c r="F2163">
        <v>4.7717999999999998</v>
      </c>
    </row>
    <row r="2164" spans="1:6" x14ac:dyDescent="0.25">
      <c r="A2164">
        <v>218000</v>
      </c>
      <c r="B2164">
        <v>5.2827000000000002</v>
      </c>
      <c r="E2164">
        <v>218000</v>
      </c>
      <c r="F2164">
        <v>4.7723000000000004</v>
      </c>
    </row>
    <row r="2165" spans="1:6" x14ac:dyDescent="0.25">
      <c r="A2165">
        <v>218100</v>
      </c>
      <c r="B2165">
        <v>5.2831000000000001</v>
      </c>
      <c r="E2165">
        <v>218100</v>
      </c>
      <c r="F2165">
        <v>4.7728000000000002</v>
      </c>
    </row>
    <row r="2166" spans="1:6" x14ac:dyDescent="0.25">
      <c r="A2166">
        <v>218200</v>
      </c>
      <c r="B2166">
        <v>5.2835000000000001</v>
      </c>
      <c r="E2166">
        <v>218200</v>
      </c>
      <c r="F2166">
        <v>4.7732999999999999</v>
      </c>
    </row>
    <row r="2167" spans="1:6" x14ac:dyDescent="0.25">
      <c r="A2167">
        <v>218300</v>
      </c>
      <c r="B2167">
        <v>5.2839</v>
      </c>
      <c r="E2167">
        <v>218300</v>
      </c>
      <c r="F2167">
        <v>4.7737999999999996</v>
      </c>
    </row>
    <row r="2168" spans="1:6" x14ac:dyDescent="0.25">
      <c r="A2168">
        <v>218400</v>
      </c>
      <c r="B2168">
        <v>5.2843</v>
      </c>
      <c r="E2168">
        <v>218400</v>
      </c>
      <c r="F2168">
        <v>4.7743000000000002</v>
      </c>
    </row>
    <row r="2169" spans="1:6" x14ac:dyDescent="0.25">
      <c r="A2169">
        <v>218500</v>
      </c>
      <c r="B2169">
        <v>5.2847</v>
      </c>
      <c r="E2169">
        <v>218500</v>
      </c>
      <c r="F2169">
        <v>4.7747999999999999</v>
      </c>
    </row>
    <row r="2170" spans="1:6" x14ac:dyDescent="0.25">
      <c r="A2170">
        <v>218600</v>
      </c>
      <c r="B2170">
        <v>5.2850999999999999</v>
      </c>
      <c r="E2170">
        <v>218600</v>
      </c>
      <c r="F2170">
        <v>4.7752999999999997</v>
      </c>
    </row>
    <row r="2171" spans="1:6" x14ac:dyDescent="0.25">
      <c r="A2171">
        <v>218700</v>
      </c>
      <c r="B2171">
        <v>5.2854999999999999</v>
      </c>
      <c r="E2171">
        <v>218700</v>
      </c>
      <c r="F2171">
        <v>4.7756999999999996</v>
      </c>
    </row>
    <row r="2172" spans="1:6" x14ac:dyDescent="0.25">
      <c r="A2172">
        <v>218800</v>
      </c>
      <c r="B2172">
        <v>5.2858999999999998</v>
      </c>
      <c r="E2172">
        <v>218800</v>
      </c>
      <c r="F2172">
        <v>4.7762000000000002</v>
      </c>
    </row>
    <row r="2173" spans="1:6" x14ac:dyDescent="0.25">
      <c r="A2173">
        <v>218900</v>
      </c>
      <c r="B2173">
        <v>5.2862999999999998</v>
      </c>
      <c r="E2173">
        <v>218900</v>
      </c>
      <c r="F2173">
        <v>4.7766999999999999</v>
      </c>
    </row>
    <row r="2174" spans="1:6" x14ac:dyDescent="0.25">
      <c r="A2174">
        <v>219000</v>
      </c>
      <c r="B2174">
        <v>5.2866999999999997</v>
      </c>
      <c r="E2174">
        <v>219000</v>
      </c>
      <c r="F2174">
        <v>4.7771999999999997</v>
      </c>
    </row>
    <row r="2175" spans="1:6" x14ac:dyDescent="0.25">
      <c r="A2175">
        <v>219100</v>
      </c>
      <c r="B2175">
        <v>5.2870999999999997</v>
      </c>
      <c r="E2175">
        <v>219100</v>
      </c>
      <c r="F2175">
        <v>4.7777000000000003</v>
      </c>
    </row>
    <row r="2176" spans="1:6" x14ac:dyDescent="0.25">
      <c r="A2176">
        <v>219200</v>
      </c>
      <c r="B2176">
        <v>5.2874999999999996</v>
      </c>
      <c r="E2176">
        <v>219200</v>
      </c>
      <c r="F2176">
        <v>4.7782</v>
      </c>
    </row>
    <row r="2177" spans="1:6" x14ac:dyDescent="0.25">
      <c r="A2177">
        <v>219300</v>
      </c>
      <c r="B2177">
        <v>5.2878999999999996</v>
      </c>
      <c r="E2177">
        <v>219300</v>
      </c>
      <c r="F2177">
        <v>4.7786999999999997</v>
      </c>
    </row>
    <row r="2178" spans="1:6" x14ac:dyDescent="0.25">
      <c r="A2178">
        <v>219400</v>
      </c>
      <c r="B2178">
        <v>5.2882999999999996</v>
      </c>
      <c r="E2178">
        <v>219400</v>
      </c>
      <c r="F2178">
        <v>4.7792000000000003</v>
      </c>
    </row>
    <row r="2179" spans="1:6" x14ac:dyDescent="0.25">
      <c r="A2179">
        <v>219500</v>
      </c>
      <c r="B2179">
        <v>5.2887000000000004</v>
      </c>
      <c r="E2179">
        <v>219500</v>
      </c>
      <c r="F2179">
        <v>4.7797000000000001</v>
      </c>
    </row>
    <row r="2180" spans="1:6" x14ac:dyDescent="0.25">
      <c r="A2180">
        <v>219600</v>
      </c>
      <c r="B2180">
        <v>5.2889999999999997</v>
      </c>
      <c r="E2180">
        <v>219600</v>
      </c>
      <c r="F2180">
        <v>4.7801</v>
      </c>
    </row>
    <row r="2181" spans="1:6" x14ac:dyDescent="0.25">
      <c r="A2181">
        <v>219700</v>
      </c>
      <c r="B2181">
        <v>5.2893999999999997</v>
      </c>
      <c r="E2181">
        <v>219700</v>
      </c>
      <c r="F2181">
        <v>4.7805999999999997</v>
      </c>
    </row>
    <row r="2182" spans="1:6" x14ac:dyDescent="0.25">
      <c r="A2182">
        <v>219800</v>
      </c>
      <c r="B2182">
        <v>5.2897999999999996</v>
      </c>
      <c r="E2182">
        <v>219800</v>
      </c>
      <c r="F2182">
        <v>4.7811000000000003</v>
      </c>
    </row>
    <row r="2183" spans="1:6" x14ac:dyDescent="0.25">
      <c r="A2183">
        <v>219900</v>
      </c>
      <c r="B2183">
        <v>5.2901999999999996</v>
      </c>
      <c r="E2183">
        <v>219900</v>
      </c>
      <c r="F2183">
        <v>4.7816000000000001</v>
      </c>
    </row>
    <row r="2184" spans="1:6" x14ac:dyDescent="0.25">
      <c r="A2184">
        <v>220000</v>
      </c>
      <c r="B2184">
        <v>5.2906000000000004</v>
      </c>
      <c r="E2184">
        <v>220000</v>
      </c>
      <c r="F2184">
        <v>4.7820999999999998</v>
      </c>
    </row>
    <row r="2185" spans="1:6" x14ac:dyDescent="0.25">
      <c r="A2185">
        <v>220100</v>
      </c>
      <c r="B2185">
        <v>5.2910000000000004</v>
      </c>
      <c r="E2185">
        <v>220100</v>
      </c>
      <c r="F2185">
        <v>4.7826000000000004</v>
      </c>
    </row>
    <row r="2186" spans="1:6" x14ac:dyDescent="0.25">
      <c r="A2186">
        <v>220200</v>
      </c>
      <c r="B2186">
        <v>5.2914000000000003</v>
      </c>
      <c r="E2186">
        <v>220200</v>
      </c>
      <c r="F2186">
        <v>4.7831000000000001</v>
      </c>
    </row>
    <row r="2187" spans="1:6" x14ac:dyDescent="0.25">
      <c r="A2187">
        <v>220300</v>
      </c>
      <c r="B2187">
        <v>5.2918000000000003</v>
      </c>
      <c r="E2187">
        <v>220300</v>
      </c>
      <c r="F2187">
        <v>4.7835000000000001</v>
      </c>
    </row>
    <row r="2188" spans="1:6" x14ac:dyDescent="0.25">
      <c r="A2188">
        <v>220400</v>
      </c>
      <c r="B2188">
        <v>5.2922000000000002</v>
      </c>
      <c r="E2188">
        <v>220400</v>
      </c>
      <c r="F2188">
        <v>4.7839999999999998</v>
      </c>
    </row>
    <row r="2189" spans="1:6" x14ac:dyDescent="0.25">
      <c r="A2189">
        <v>220500</v>
      </c>
      <c r="B2189">
        <v>5.2926000000000002</v>
      </c>
      <c r="E2189">
        <v>220500</v>
      </c>
      <c r="F2189">
        <v>4.7845000000000004</v>
      </c>
    </row>
    <row r="2190" spans="1:6" x14ac:dyDescent="0.25">
      <c r="A2190">
        <v>220600</v>
      </c>
      <c r="B2190">
        <v>5.2930000000000001</v>
      </c>
      <c r="E2190">
        <v>220600</v>
      </c>
      <c r="F2190">
        <v>4.7850000000000001</v>
      </c>
    </row>
    <row r="2191" spans="1:6" x14ac:dyDescent="0.25">
      <c r="A2191">
        <v>220700</v>
      </c>
      <c r="B2191">
        <v>5.2933000000000003</v>
      </c>
      <c r="E2191">
        <v>220700</v>
      </c>
      <c r="F2191">
        <v>4.7854999999999999</v>
      </c>
    </row>
    <row r="2192" spans="1:6" x14ac:dyDescent="0.25">
      <c r="A2192">
        <v>220800</v>
      </c>
      <c r="B2192">
        <v>5.2937000000000003</v>
      </c>
      <c r="E2192">
        <v>220800</v>
      </c>
      <c r="F2192">
        <v>4.7859999999999996</v>
      </c>
    </row>
    <row r="2193" spans="1:6" x14ac:dyDescent="0.25">
      <c r="A2193">
        <v>220900</v>
      </c>
      <c r="B2193">
        <v>5.2941000000000003</v>
      </c>
      <c r="E2193">
        <v>220900</v>
      </c>
      <c r="F2193">
        <v>4.7864000000000004</v>
      </c>
    </row>
    <row r="2194" spans="1:6" x14ac:dyDescent="0.25">
      <c r="A2194">
        <v>221000</v>
      </c>
      <c r="B2194">
        <v>5.2945000000000002</v>
      </c>
      <c r="E2194">
        <v>221000</v>
      </c>
      <c r="F2194">
        <v>4.7869000000000002</v>
      </c>
    </row>
    <row r="2195" spans="1:6" x14ac:dyDescent="0.25">
      <c r="A2195">
        <v>221100</v>
      </c>
      <c r="B2195">
        <v>5.2949000000000002</v>
      </c>
      <c r="E2195">
        <v>221100</v>
      </c>
      <c r="F2195">
        <v>4.7873999999999999</v>
      </c>
    </row>
    <row r="2196" spans="1:6" x14ac:dyDescent="0.25">
      <c r="A2196">
        <v>221200</v>
      </c>
      <c r="B2196">
        <v>5.2953000000000001</v>
      </c>
      <c r="E2196">
        <v>221200</v>
      </c>
      <c r="F2196">
        <v>4.7878999999999996</v>
      </c>
    </row>
    <row r="2197" spans="1:6" x14ac:dyDescent="0.25">
      <c r="A2197">
        <v>221300</v>
      </c>
      <c r="B2197">
        <v>5.2957000000000001</v>
      </c>
      <c r="E2197">
        <v>221300</v>
      </c>
      <c r="F2197">
        <v>4.7884000000000002</v>
      </c>
    </row>
    <row r="2198" spans="1:6" x14ac:dyDescent="0.25">
      <c r="A2198">
        <v>221400</v>
      </c>
      <c r="B2198">
        <v>5.2960000000000003</v>
      </c>
      <c r="E2198">
        <v>221400</v>
      </c>
      <c r="F2198">
        <v>4.7888000000000002</v>
      </c>
    </row>
    <row r="2199" spans="1:6" x14ac:dyDescent="0.25">
      <c r="A2199">
        <v>221500</v>
      </c>
      <c r="B2199">
        <v>5.2964000000000002</v>
      </c>
      <c r="E2199">
        <v>221500</v>
      </c>
      <c r="F2199">
        <v>4.7892999999999999</v>
      </c>
    </row>
    <row r="2200" spans="1:6" x14ac:dyDescent="0.25">
      <c r="A2200">
        <v>221600</v>
      </c>
      <c r="B2200">
        <v>5.2968000000000002</v>
      </c>
      <c r="E2200">
        <v>221600</v>
      </c>
      <c r="F2200">
        <v>4.7897999999999996</v>
      </c>
    </row>
    <row r="2201" spans="1:6" x14ac:dyDescent="0.25">
      <c r="A2201">
        <v>221700</v>
      </c>
      <c r="B2201">
        <v>5.2972000000000001</v>
      </c>
      <c r="E2201">
        <v>221700</v>
      </c>
      <c r="F2201">
        <v>4.7903000000000002</v>
      </c>
    </row>
    <row r="2202" spans="1:6" x14ac:dyDescent="0.25">
      <c r="A2202">
        <v>221800</v>
      </c>
      <c r="B2202">
        <v>5.2976000000000001</v>
      </c>
      <c r="E2202">
        <v>221800</v>
      </c>
      <c r="F2202">
        <v>4.7907999999999999</v>
      </c>
    </row>
    <row r="2203" spans="1:6" x14ac:dyDescent="0.25">
      <c r="A2203">
        <v>221900</v>
      </c>
      <c r="B2203">
        <v>5.298</v>
      </c>
      <c r="E2203">
        <v>221900</v>
      </c>
      <c r="F2203">
        <v>4.7911999999999999</v>
      </c>
    </row>
    <row r="2204" spans="1:6" x14ac:dyDescent="0.25">
      <c r="A2204">
        <v>222000</v>
      </c>
      <c r="B2204">
        <v>5.2984</v>
      </c>
      <c r="E2204">
        <v>222000</v>
      </c>
      <c r="F2204">
        <v>4.7916999999999996</v>
      </c>
    </row>
    <row r="2205" spans="1:6" x14ac:dyDescent="0.25">
      <c r="A2205">
        <v>222100</v>
      </c>
      <c r="B2205">
        <v>5.2987000000000002</v>
      </c>
      <c r="E2205">
        <v>222100</v>
      </c>
      <c r="F2205">
        <v>4.7922000000000002</v>
      </c>
    </row>
    <row r="2206" spans="1:6" x14ac:dyDescent="0.25">
      <c r="A2206">
        <v>222200</v>
      </c>
      <c r="B2206">
        <v>5.2991000000000001</v>
      </c>
      <c r="E2206">
        <v>222200</v>
      </c>
      <c r="F2206">
        <v>4.7927</v>
      </c>
    </row>
    <row r="2207" spans="1:6" x14ac:dyDescent="0.25">
      <c r="A2207">
        <v>222300</v>
      </c>
      <c r="B2207">
        <v>5.2995000000000001</v>
      </c>
      <c r="E2207">
        <v>222300</v>
      </c>
      <c r="F2207">
        <v>4.7930999999999999</v>
      </c>
    </row>
    <row r="2208" spans="1:6" x14ac:dyDescent="0.25">
      <c r="A2208">
        <v>222400</v>
      </c>
      <c r="B2208">
        <v>5.2999000000000001</v>
      </c>
      <c r="E2208">
        <v>222400</v>
      </c>
      <c r="F2208">
        <v>4.7935999999999996</v>
      </c>
    </row>
    <row r="2209" spans="1:6" x14ac:dyDescent="0.25">
      <c r="A2209">
        <v>222500</v>
      </c>
      <c r="B2209">
        <v>5.3003</v>
      </c>
      <c r="E2209">
        <v>222500</v>
      </c>
      <c r="F2209">
        <v>4.7941000000000003</v>
      </c>
    </row>
    <row r="2210" spans="1:6" x14ac:dyDescent="0.25">
      <c r="A2210">
        <v>222600</v>
      </c>
      <c r="B2210">
        <v>5.3007</v>
      </c>
      <c r="E2210">
        <v>222600</v>
      </c>
      <c r="F2210">
        <v>4.7946</v>
      </c>
    </row>
    <row r="2211" spans="1:6" x14ac:dyDescent="0.25">
      <c r="A2211">
        <v>222700</v>
      </c>
      <c r="B2211">
        <v>5.3010000000000002</v>
      </c>
      <c r="E2211">
        <v>222700</v>
      </c>
      <c r="F2211">
        <v>4.7949999999999999</v>
      </c>
    </row>
    <row r="2212" spans="1:6" x14ac:dyDescent="0.25">
      <c r="A2212">
        <v>222800</v>
      </c>
      <c r="B2212">
        <v>5.3014000000000001</v>
      </c>
      <c r="E2212">
        <v>222800</v>
      </c>
      <c r="F2212">
        <v>4.7954999999999997</v>
      </c>
    </row>
    <row r="2213" spans="1:6" x14ac:dyDescent="0.25">
      <c r="A2213">
        <v>222900</v>
      </c>
      <c r="B2213">
        <v>5.3018000000000001</v>
      </c>
      <c r="E2213">
        <v>222900</v>
      </c>
      <c r="F2213">
        <v>4.7960000000000003</v>
      </c>
    </row>
    <row r="2214" spans="1:6" x14ac:dyDescent="0.25">
      <c r="A2214">
        <v>223000</v>
      </c>
      <c r="B2214">
        <v>5.3022</v>
      </c>
      <c r="E2214">
        <v>223000</v>
      </c>
      <c r="F2214">
        <v>4.7965</v>
      </c>
    </row>
    <row r="2215" spans="1:6" x14ac:dyDescent="0.25">
      <c r="A2215">
        <v>223100</v>
      </c>
      <c r="B2215">
        <v>5.3026</v>
      </c>
      <c r="E2215">
        <v>223100</v>
      </c>
      <c r="F2215">
        <v>4.7968999999999999</v>
      </c>
    </row>
    <row r="2216" spans="1:6" x14ac:dyDescent="0.25">
      <c r="A2216">
        <v>223200</v>
      </c>
      <c r="B2216">
        <v>5.3029000000000002</v>
      </c>
      <c r="E2216">
        <v>223200</v>
      </c>
      <c r="F2216">
        <v>4.7973999999999997</v>
      </c>
    </row>
    <row r="2217" spans="1:6" x14ac:dyDescent="0.25">
      <c r="A2217">
        <v>223300</v>
      </c>
      <c r="B2217">
        <v>5.3033000000000001</v>
      </c>
      <c r="E2217">
        <v>223300</v>
      </c>
      <c r="F2217">
        <v>4.7979000000000003</v>
      </c>
    </row>
    <row r="2218" spans="1:6" x14ac:dyDescent="0.25">
      <c r="A2218">
        <v>223400</v>
      </c>
      <c r="B2218">
        <v>5.3037000000000001</v>
      </c>
      <c r="E2218">
        <v>223400</v>
      </c>
      <c r="F2218">
        <v>4.7983000000000002</v>
      </c>
    </row>
    <row r="2219" spans="1:6" x14ac:dyDescent="0.25">
      <c r="A2219">
        <v>223500</v>
      </c>
      <c r="B2219">
        <v>5.3041</v>
      </c>
      <c r="E2219">
        <v>223500</v>
      </c>
      <c r="F2219">
        <v>4.7988</v>
      </c>
    </row>
    <row r="2220" spans="1:6" x14ac:dyDescent="0.25">
      <c r="A2220">
        <v>223600</v>
      </c>
      <c r="B2220">
        <v>5.3044000000000002</v>
      </c>
      <c r="E2220">
        <v>223600</v>
      </c>
      <c r="F2220">
        <v>4.7992999999999997</v>
      </c>
    </row>
    <row r="2221" spans="1:6" x14ac:dyDescent="0.25">
      <c r="A2221">
        <v>223700</v>
      </c>
      <c r="B2221">
        <v>5.3048000000000002</v>
      </c>
      <c r="E2221">
        <v>223700</v>
      </c>
      <c r="F2221">
        <v>4.7998000000000003</v>
      </c>
    </row>
    <row r="2222" spans="1:6" x14ac:dyDescent="0.25">
      <c r="A2222">
        <v>223800</v>
      </c>
      <c r="B2222">
        <v>5.3052000000000001</v>
      </c>
      <c r="E2222">
        <v>223800</v>
      </c>
      <c r="F2222">
        <v>4.8002000000000002</v>
      </c>
    </row>
    <row r="2223" spans="1:6" x14ac:dyDescent="0.25">
      <c r="A2223">
        <v>223900</v>
      </c>
      <c r="B2223">
        <v>5.3056000000000001</v>
      </c>
      <c r="E2223">
        <v>223900</v>
      </c>
      <c r="F2223">
        <v>4.8007</v>
      </c>
    </row>
    <row r="2224" spans="1:6" x14ac:dyDescent="0.25">
      <c r="A2224">
        <v>224000</v>
      </c>
      <c r="B2224">
        <v>5.306</v>
      </c>
      <c r="E2224">
        <v>224000</v>
      </c>
      <c r="F2224">
        <v>4.8011999999999997</v>
      </c>
    </row>
    <row r="2225" spans="1:6" x14ac:dyDescent="0.25">
      <c r="A2225">
        <v>224100</v>
      </c>
      <c r="B2225">
        <v>5.3063000000000002</v>
      </c>
      <c r="E2225">
        <v>224100</v>
      </c>
      <c r="F2225">
        <v>4.8015999999999996</v>
      </c>
    </row>
    <row r="2226" spans="1:6" x14ac:dyDescent="0.25">
      <c r="A2226">
        <v>224200</v>
      </c>
      <c r="B2226">
        <v>5.3067000000000002</v>
      </c>
      <c r="E2226">
        <v>224200</v>
      </c>
      <c r="F2226">
        <v>4.8021000000000003</v>
      </c>
    </row>
    <row r="2227" spans="1:6" x14ac:dyDescent="0.25">
      <c r="A2227">
        <v>224300</v>
      </c>
      <c r="B2227">
        <v>5.3071000000000002</v>
      </c>
      <c r="E2227">
        <v>224300</v>
      </c>
      <c r="F2227">
        <v>4.8026</v>
      </c>
    </row>
    <row r="2228" spans="1:6" x14ac:dyDescent="0.25">
      <c r="A2228">
        <v>224400</v>
      </c>
      <c r="B2228">
        <v>5.3075000000000001</v>
      </c>
      <c r="E2228">
        <v>224400</v>
      </c>
      <c r="F2228">
        <v>4.8029999999999999</v>
      </c>
    </row>
    <row r="2229" spans="1:6" x14ac:dyDescent="0.25">
      <c r="A2229">
        <v>224500</v>
      </c>
      <c r="B2229">
        <v>5.3078000000000003</v>
      </c>
      <c r="E2229">
        <v>224500</v>
      </c>
      <c r="F2229">
        <v>4.8034999999999997</v>
      </c>
    </row>
    <row r="2230" spans="1:6" x14ac:dyDescent="0.25">
      <c r="A2230">
        <v>224600</v>
      </c>
      <c r="B2230">
        <v>5.3082000000000003</v>
      </c>
      <c r="E2230">
        <v>224600</v>
      </c>
      <c r="F2230">
        <v>4.8040000000000003</v>
      </c>
    </row>
    <row r="2231" spans="1:6" x14ac:dyDescent="0.25">
      <c r="A2231">
        <v>224700</v>
      </c>
      <c r="B2231">
        <v>5.3086000000000002</v>
      </c>
      <c r="E2231">
        <v>224700</v>
      </c>
      <c r="F2231">
        <v>4.8044000000000002</v>
      </c>
    </row>
    <row r="2232" spans="1:6" x14ac:dyDescent="0.25">
      <c r="A2232">
        <v>224800</v>
      </c>
      <c r="B2232">
        <v>5.3090000000000002</v>
      </c>
      <c r="E2232">
        <v>224800</v>
      </c>
      <c r="F2232">
        <v>4.8048999999999999</v>
      </c>
    </row>
    <row r="2233" spans="1:6" x14ac:dyDescent="0.25">
      <c r="A2233">
        <v>224900</v>
      </c>
      <c r="B2233">
        <v>5.3093000000000004</v>
      </c>
      <c r="E2233">
        <v>224900</v>
      </c>
      <c r="F2233">
        <v>4.8053999999999997</v>
      </c>
    </row>
    <row r="2234" spans="1:6" x14ac:dyDescent="0.25">
      <c r="A2234">
        <v>225000</v>
      </c>
      <c r="B2234">
        <v>5.3097000000000003</v>
      </c>
      <c r="E2234">
        <v>225000</v>
      </c>
      <c r="F2234">
        <v>4.8057999999999996</v>
      </c>
    </row>
    <row r="2235" spans="1:6" x14ac:dyDescent="0.25">
      <c r="A2235">
        <v>225100</v>
      </c>
      <c r="B2235">
        <v>5.3101000000000003</v>
      </c>
      <c r="E2235">
        <v>225100</v>
      </c>
      <c r="F2235">
        <v>4.8063000000000002</v>
      </c>
    </row>
    <row r="2236" spans="1:6" x14ac:dyDescent="0.25">
      <c r="A2236">
        <v>225200</v>
      </c>
      <c r="B2236">
        <v>5.3105000000000002</v>
      </c>
      <c r="E2236">
        <v>225200</v>
      </c>
      <c r="F2236">
        <v>4.8067000000000002</v>
      </c>
    </row>
    <row r="2237" spans="1:6" x14ac:dyDescent="0.25">
      <c r="A2237">
        <v>225300</v>
      </c>
      <c r="B2237">
        <v>5.3108000000000004</v>
      </c>
      <c r="E2237">
        <v>225300</v>
      </c>
      <c r="F2237">
        <v>4.8071999999999999</v>
      </c>
    </row>
    <row r="2238" spans="1:6" x14ac:dyDescent="0.25">
      <c r="A2238">
        <v>225400</v>
      </c>
      <c r="B2238">
        <v>5.3112000000000004</v>
      </c>
      <c r="E2238">
        <v>225400</v>
      </c>
      <c r="F2238">
        <v>4.8076999999999996</v>
      </c>
    </row>
    <row r="2239" spans="1:6" x14ac:dyDescent="0.25">
      <c r="A2239">
        <v>225500</v>
      </c>
      <c r="B2239">
        <v>5.3116000000000003</v>
      </c>
      <c r="E2239">
        <v>225500</v>
      </c>
      <c r="F2239">
        <v>4.8080999999999996</v>
      </c>
    </row>
    <row r="2240" spans="1:6" x14ac:dyDescent="0.25">
      <c r="A2240">
        <v>225600</v>
      </c>
      <c r="B2240">
        <v>5.3118999999999996</v>
      </c>
      <c r="E2240">
        <v>225600</v>
      </c>
      <c r="F2240">
        <v>4.8086000000000002</v>
      </c>
    </row>
    <row r="2241" spans="1:6" x14ac:dyDescent="0.25">
      <c r="A2241">
        <v>225700</v>
      </c>
      <c r="B2241">
        <v>5.3122999999999996</v>
      </c>
      <c r="E2241">
        <v>225700</v>
      </c>
      <c r="F2241">
        <v>4.8090999999999999</v>
      </c>
    </row>
    <row r="2242" spans="1:6" x14ac:dyDescent="0.25">
      <c r="A2242">
        <v>225800</v>
      </c>
      <c r="B2242">
        <v>5.3127000000000004</v>
      </c>
      <c r="E2242">
        <v>225800</v>
      </c>
      <c r="F2242">
        <v>4.8094999999999999</v>
      </c>
    </row>
    <row r="2243" spans="1:6" x14ac:dyDescent="0.25">
      <c r="A2243">
        <v>225900</v>
      </c>
      <c r="B2243">
        <v>5.3131000000000004</v>
      </c>
      <c r="E2243">
        <v>225900</v>
      </c>
      <c r="F2243">
        <v>4.8099999999999996</v>
      </c>
    </row>
    <row r="2244" spans="1:6" x14ac:dyDescent="0.25">
      <c r="A2244">
        <v>226000</v>
      </c>
      <c r="B2244">
        <v>5.3133999999999997</v>
      </c>
      <c r="E2244">
        <v>226000</v>
      </c>
      <c r="F2244">
        <v>4.8103999999999996</v>
      </c>
    </row>
    <row r="2245" spans="1:6" x14ac:dyDescent="0.25">
      <c r="A2245">
        <v>226100</v>
      </c>
      <c r="B2245">
        <v>5.3137999999999996</v>
      </c>
      <c r="E2245">
        <v>226100</v>
      </c>
      <c r="F2245">
        <v>4.8109000000000002</v>
      </c>
    </row>
    <row r="2246" spans="1:6" x14ac:dyDescent="0.25">
      <c r="A2246">
        <v>226200</v>
      </c>
      <c r="B2246">
        <v>5.3141999999999996</v>
      </c>
      <c r="E2246">
        <v>226200</v>
      </c>
      <c r="F2246">
        <v>4.8113999999999999</v>
      </c>
    </row>
    <row r="2247" spans="1:6" x14ac:dyDescent="0.25">
      <c r="A2247">
        <v>226300</v>
      </c>
      <c r="B2247">
        <v>5.3144999999999998</v>
      </c>
      <c r="E2247">
        <v>226300</v>
      </c>
      <c r="F2247">
        <v>4.8117999999999999</v>
      </c>
    </row>
    <row r="2248" spans="1:6" x14ac:dyDescent="0.25">
      <c r="A2248">
        <v>226400</v>
      </c>
      <c r="B2248">
        <v>5.3148999999999997</v>
      </c>
      <c r="E2248">
        <v>226400</v>
      </c>
      <c r="F2248">
        <v>4.8122999999999996</v>
      </c>
    </row>
    <row r="2249" spans="1:6" x14ac:dyDescent="0.25">
      <c r="A2249">
        <v>226500</v>
      </c>
      <c r="B2249">
        <v>5.3152999999999997</v>
      </c>
      <c r="E2249">
        <v>226500</v>
      </c>
      <c r="F2249">
        <v>4.8127000000000004</v>
      </c>
    </row>
    <row r="2250" spans="1:6" x14ac:dyDescent="0.25">
      <c r="A2250">
        <v>226600</v>
      </c>
      <c r="B2250">
        <v>5.3158000000000003</v>
      </c>
      <c r="E2250">
        <v>226600</v>
      </c>
      <c r="F2250">
        <v>4.8132000000000001</v>
      </c>
    </row>
    <row r="2251" spans="1:6" x14ac:dyDescent="0.25">
      <c r="A2251">
        <v>226700</v>
      </c>
      <c r="B2251">
        <v>5.3162000000000003</v>
      </c>
      <c r="E2251">
        <v>226700</v>
      </c>
      <c r="F2251">
        <v>4.8136999999999999</v>
      </c>
    </row>
    <row r="2252" spans="1:6" x14ac:dyDescent="0.25">
      <c r="A2252">
        <v>226800</v>
      </c>
      <c r="B2252">
        <v>5.3166000000000002</v>
      </c>
      <c r="E2252">
        <v>226800</v>
      </c>
      <c r="F2252">
        <v>4.8140999999999998</v>
      </c>
    </row>
    <row r="2253" spans="1:6" x14ac:dyDescent="0.25">
      <c r="A2253">
        <v>226900</v>
      </c>
      <c r="B2253">
        <v>5.3170999999999999</v>
      </c>
      <c r="E2253">
        <v>226900</v>
      </c>
      <c r="F2253">
        <v>4.8146000000000004</v>
      </c>
    </row>
    <row r="2254" spans="1:6" x14ac:dyDescent="0.25">
      <c r="A2254">
        <v>227000</v>
      </c>
      <c r="B2254">
        <v>5.3174999999999999</v>
      </c>
      <c r="E2254">
        <v>227000</v>
      </c>
      <c r="F2254">
        <v>4.8150000000000004</v>
      </c>
    </row>
    <row r="2255" spans="1:6" x14ac:dyDescent="0.25">
      <c r="A2255">
        <v>227100</v>
      </c>
      <c r="B2255">
        <v>5.3178999999999998</v>
      </c>
      <c r="E2255">
        <v>227100</v>
      </c>
      <c r="F2255">
        <v>4.8155000000000001</v>
      </c>
    </row>
    <row r="2256" spans="1:6" x14ac:dyDescent="0.25">
      <c r="A2256">
        <v>227200</v>
      </c>
      <c r="B2256">
        <v>5.3183999999999996</v>
      </c>
      <c r="E2256">
        <v>227200</v>
      </c>
      <c r="F2256">
        <v>4.8159000000000001</v>
      </c>
    </row>
    <row r="2257" spans="1:6" x14ac:dyDescent="0.25">
      <c r="A2257">
        <v>227300</v>
      </c>
      <c r="B2257">
        <v>5.3188000000000004</v>
      </c>
      <c r="E2257">
        <v>227300</v>
      </c>
      <c r="F2257">
        <v>4.8163999999999998</v>
      </c>
    </row>
    <row r="2258" spans="1:6" x14ac:dyDescent="0.25">
      <c r="A2258">
        <v>227400</v>
      </c>
      <c r="B2258">
        <v>5.3192000000000004</v>
      </c>
      <c r="E2258">
        <v>227400</v>
      </c>
      <c r="F2258">
        <v>4.8167999999999997</v>
      </c>
    </row>
    <row r="2259" spans="1:6" x14ac:dyDescent="0.25">
      <c r="A2259">
        <v>227500</v>
      </c>
      <c r="B2259">
        <v>5.3197000000000001</v>
      </c>
      <c r="E2259">
        <v>227500</v>
      </c>
      <c r="F2259">
        <v>4.8173000000000004</v>
      </c>
    </row>
    <row r="2260" spans="1:6" x14ac:dyDescent="0.25">
      <c r="A2260">
        <v>227600</v>
      </c>
      <c r="B2260">
        <v>5.3201000000000001</v>
      </c>
      <c r="E2260">
        <v>227600</v>
      </c>
      <c r="F2260">
        <v>4.8178000000000001</v>
      </c>
    </row>
    <row r="2261" spans="1:6" x14ac:dyDescent="0.25">
      <c r="A2261">
        <v>227700</v>
      </c>
      <c r="B2261">
        <v>5.3205</v>
      </c>
      <c r="E2261">
        <v>227700</v>
      </c>
      <c r="F2261">
        <v>4.8182</v>
      </c>
    </row>
    <row r="2262" spans="1:6" x14ac:dyDescent="0.25">
      <c r="A2262">
        <v>227800</v>
      </c>
      <c r="B2262">
        <v>5.3209999999999997</v>
      </c>
      <c r="E2262">
        <v>227800</v>
      </c>
      <c r="F2262">
        <v>4.8186999999999998</v>
      </c>
    </row>
    <row r="2263" spans="1:6" x14ac:dyDescent="0.25">
      <c r="A2263">
        <v>227900</v>
      </c>
      <c r="B2263">
        <v>5.3213999999999997</v>
      </c>
      <c r="E2263">
        <v>227900</v>
      </c>
      <c r="F2263">
        <v>4.8190999999999997</v>
      </c>
    </row>
    <row r="2264" spans="1:6" x14ac:dyDescent="0.25">
      <c r="A2264">
        <v>228000</v>
      </c>
      <c r="B2264">
        <v>5.3217999999999996</v>
      </c>
      <c r="E2264">
        <v>228000</v>
      </c>
      <c r="F2264">
        <v>4.8196000000000003</v>
      </c>
    </row>
    <row r="2265" spans="1:6" x14ac:dyDescent="0.25">
      <c r="A2265">
        <v>228100</v>
      </c>
      <c r="B2265">
        <v>5.3221999999999996</v>
      </c>
      <c r="E2265">
        <v>228100</v>
      </c>
      <c r="F2265">
        <v>4.82</v>
      </c>
    </row>
    <row r="2266" spans="1:6" x14ac:dyDescent="0.25">
      <c r="A2266">
        <v>228200</v>
      </c>
      <c r="B2266">
        <v>5.3227000000000002</v>
      </c>
      <c r="E2266">
        <v>228200</v>
      </c>
      <c r="F2266">
        <v>4.8205</v>
      </c>
    </row>
    <row r="2267" spans="1:6" x14ac:dyDescent="0.25">
      <c r="A2267">
        <v>228300</v>
      </c>
      <c r="B2267">
        <v>5.3231000000000002</v>
      </c>
      <c r="E2267">
        <v>228300</v>
      </c>
      <c r="F2267">
        <v>4.8209</v>
      </c>
    </row>
    <row r="2268" spans="1:6" x14ac:dyDescent="0.25">
      <c r="A2268">
        <v>228400</v>
      </c>
      <c r="B2268">
        <v>5.3235000000000001</v>
      </c>
      <c r="E2268">
        <v>228400</v>
      </c>
      <c r="F2268">
        <v>4.8213999999999997</v>
      </c>
    </row>
    <row r="2269" spans="1:6" x14ac:dyDescent="0.25">
      <c r="A2269">
        <v>228500</v>
      </c>
      <c r="B2269">
        <v>5.3239999999999998</v>
      </c>
      <c r="E2269">
        <v>228500</v>
      </c>
      <c r="F2269">
        <v>4.8217999999999996</v>
      </c>
    </row>
    <row r="2270" spans="1:6" x14ac:dyDescent="0.25">
      <c r="A2270">
        <v>228600</v>
      </c>
      <c r="B2270">
        <v>5.3243999999999998</v>
      </c>
      <c r="E2270">
        <v>228600</v>
      </c>
      <c r="F2270">
        <v>4.8223000000000003</v>
      </c>
    </row>
    <row r="2271" spans="1:6" x14ac:dyDescent="0.25">
      <c r="A2271">
        <v>228700</v>
      </c>
      <c r="B2271">
        <v>5.3247999999999998</v>
      </c>
      <c r="E2271">
        <v>228700</v>
      </c>
      <c r="F2271">
        <v>4.8227000000000002</v>
      </c>
    </row>
    <row r="2272" spans="1:6" x14ac:dyDescent="0.25">
      <c r="A2272">
        <v>228800</v>
      </c>
      <c r="B2272">
        <v>5.3251999999999997</v>
      </c>
      <c r="E2272">
        <v>228800</v>
      </c>
      <c r="F2272">
        <v>4.8231999999999999</v>
      </c>
    </row>
    <row r="2273" spans="1:6" x14ac:dyDescent="0.25">
      <c r="A2273">
        <v>228900</v>
      </c>
      <c r="B2273">
        <v>5.3257000000000003</v>
      </c>
      <c r="E2273">
        <v>228900</v>
      </c>
      <c r="F2273">
        <v>4.8235999999999999</v>
      </c>
    </row>
    <row r="2274" spans="1:6" x14ac:dyDescent="0.25">
      <c r="A2274">
        <v>229000</v>
      </c>
      <c r="B2274">
        <v>5.3261000000000003</v>
      </c>
      <c r="E2274">
        <v>229000</v>
      </c>
      <c r="F2274">
        <v>4.8240999999999996</v>
      </c>
    </row>
    <row r="2275" spans="1:6" x14ac:dyDescent="0.25">
      <c r="A2275">
        <v>229100</v>
      </c>
      <c r="B2275">
        <v>5.3265000000000002</v>
      </c>
      <c r="E2275">
        <v>229100</v>
      </c>
      <c r="F2275">
        <v>4.8244999999999996</v>
      </c>
    </row>
    <row r="2276" spans="1:6" x14ac:dyDescent="0.25">
      <c r="A2276">
        <v>229200</v>
      </c>
      <c r="B2276">
        <v>5.3269000000000002</v>
      </c>
      <c r="E2276">
        <v>229200</v>
      </c>
      <c r="F2276">
        <v>4.8250000000000002</v>
      </c>
    </row>
    <row r="2277" spans="1:6" x14ac:dyDescent="0.25">
      <c r="A2277">
        <v>229300</v>
      </c>
      <c r="B2277">
        <v>5.3273999999999999</v>
      </c>
      <c r="E2277">
        <v>229300</v>
      </c>
      <c r="F2277">
        <v>4.8254000000000001</v>
      </c>
    </row>
    <row r="2278" spans="1:6" x14ac:dyDescent="0.25">
      <c r="A2278">
        <v>229400</v>
      </c>
      <c r="B2278">
        <v>5.3277999999999999</v>
      </c>
      <c r="E2278">
        <v>229400</v>
      </c>
      <c r="F2278">
        <v>4.8258999999999999</v>
      </c>
    </row>
    <row r="2279" spans="1:6" x14ac:dyDescent="0.25">
      <c r="A2279">
        <v>229500</v>
      </c>
      <c r="B2279">
        <v>5.3281999999999998</v>
      </c>
      <c r="E2279">
        <v>229500</v>
      </c>
      <c r="F2279">
        <v>4.8262999999999998</v>
      </c>
    </row>
    <row r="2280" spans="1:6" x14ac:dyDescent="0.25">
      <c r="A2280">
        <v>229600</v>
      </c>
      <c r="B2280">
        <v>5.3285999999999998</v>
      </c>
      <c r="E2280">
        <v>229600</v>
      </c>
      <c r="F2280">
        <v>4.8266999999999998</v>
      </c>
    </row>
    <row r="2281" spans="1:6" x14ac:dyDescent="0.25">
      <c r="A2281">
        <v>229700</v>
      </c>
      <c r="B2281">
        <v>5.3291000000000004</v>
      </c>
      <c r="E2281">
        <v>229700</v>
      </c>
      <c r="F2281">
        <v>4.8272000000000004</v>
      </c>
    </row>
    <row r="2282" spans="1:6" x14ac:dyDescent="0.25">
      <c r="A2282">
        <v>229800</v>
      </c>
      <c r="B2282">
        <v>5.3295000000000003</v>
      </c>
      <c r="E2282">
        <v>229800</v>
      </c>
      <c r="F2282">
        <v>4.8276000000000003</v>
      </c>
    </row>
    <row r="2283" spans="1:6" x14ac:dyDescent="0.25">
      <c r="A2283">
        <v>229900</v>
      </c>
      <c r="B2283">
        <v>5.3299000000000003</v>
      </c>
      <c r="E2283">
        <v>229900</v>
      </c>
      <c r="F2283">
        <v>4.8281000000000001</v>
      </c>
    </row>
    <row r="2284" spans="1:6" x14ac:dyDescent="0.25">
      <c r="A2284">
        <v>230000</v>
      </c>
      <c r="B2284">
        <v>5.3303000000000003</v>
      </c>
      <c r="E2284">
        <v>230000</v>
      </c>
      <c r="F2284">
        <v>4.8285</v>
      </c>
    </row>
    <row r="2285" spans="1:6" x14ac:dyDescent="0.25">
      <c r="A2285">
        <v>230100</v>
      </c>
      <c r="B2285">
        <v>5.3307000000000002</v>
      </c>
      <c r="E2285">
        <v>230100</v>
      </c>
      <c r="F2285">
        <v>4.8289999999999997</v>
      </c>
    </row>
    <row r="2286" spans="1:6" x14ac:dyDescent="0.25">
      <c r="A2286">
        <v>230200</v>
      </c>
      <c r="B2286">
        <v>5.3311999999999999</v>
      </c>
      <c r="E2286">
        <v>230200</v>
      </c>
      <c r="F2286">
        <v>4.8293999999999997</v>
      </c>
    </row>
    <row r="2287" spans="1:6" x14ac:dyDescent="0.25">
      <c r="A2287">
        <v>230300</v>
      </c>
      <c r="B2287">
        <v>5.3315999999999999</v>
      </c>
      <c r="E2287">
        <v>230300</v>
      </c>
      <c r="F2287">
        <v>4.8299000000000003</v>
      </c>
    </row>
    <row r="2288" spans="1:6" x14ac:dyDescent="0.25">
      <c r="A2288">
        <v>230400</v>
      </c>
      <c r="B2288">
        <v>5.3319999999999999</v>
      </c>
      <c r="E2288">
        <v>230400</v>
      </c>
      <c r="F2288">
        <v>4.8303000000000003</v>
      </c>
    </row>
    <row r="2289" spans="1:6" x14ac:dyDescent="0.25">
      <c r="A2289">
        <v>230500</v>
      </c>
      <c r="B2289">
        <v>5.3323999999999998</v>
      </c>
      <c r="E2289">
        <v>230500</v>
      </c>
      <c r="F2289">
        <v>4.8307000000000002</v>
      </c>
    </row>
    <row r="2290" spans="1:6" x14ac:dyDescent="0.25">
      <c r="A2290">
        <v>230600</v>
      </c>
      <c r="B2290">
        <v>5.3327999999999998</v>
      </c>
      <c r="E2290">
        <v>230600</v>
      </c>
      <c r="F2290">
        <v>4.8311999999999999</v>
      </c>
    </row>
    <row r="2291" spans="1:6" x14ac:dyDescent="0.25">
      <c r="A2291">
        <v>230700</v>
      </c>
      <c r="B2291">
        <v>5.3333000000000004</v>
      </c>
      <c r="E2291">
        <v>230700</v>
      </c>
      <c r="F2291">
        <v>4.8315999999999999</v>
      </c>
    </row>
    <row r="2292" spans="1:6" x14ac:dyDescent="0.25">
      <c r="A2292">
        <v>230800</v>
      </c>
      <c r="B2292">
        <v>5.3337000000000003</v>
      </c>
      <c r="E2292">
        <v>230800</v>
      </c>
      <c r="F2292">
        <v>4.8320999999999996</v>
      </c>
    </row>
    <row r="2293" spans="1:6" x14ac:dyDescent="0.25">
      <c r="A2293">
        <v>230900</v>
      </c>
      <c r="B2293">
        <v>5.3341000000000003</v>
      </c>
      <c r="E2293">
        <v>230900</v>
      </c>
      <c r="F2293">
        <v>4.8324999999999996</v>
      </c>
    </row>
    <row r="2294" spans="1:6" x14ac:dyDescent="0.25">
      <c r="A2294">
        <v>231000</v>
      </c>
      <c r="B2294">
        <v>5.3345000000000002</v>
      </c>
      <c r="E2294">
        <v>231000</v>
      </c>
      <c r="F2294">
        <v>4.8330000000000002</v>
      </c>
    </row>
    <row r="2295" spans="1:6" x14ac:dyDescent="0.25">
      <c r="A2295">
        <v>231100</v>
      </c>
      <c r="B2295">
        <v>5.3349000000000002</v>
      </c>
      <c r="E2295">
        <v>231100</v>
      </c>
      <c r="F2295">
        <v>4.8334999999999999</v>
      </c>
    </row>
    <row r="2296" spans="1:6" x14ac:dyDescent="0.25">
      <c r="A2296">
        <v>231200</v>
      </c>
      <c r="B2296">
        <v>5.3353999999999999</v>
      </c>
      <c r="E2296">
        <v>231200</v>
      </c>
      <c r="F2296">
        <v>4.8339999999999996</v>
      </c>
    </row>
    <row r="2297" spans="1:6" x14ac:dyDescent="0.25">
      <c r="A2297">
        <v>231300</v>
      </c>
      <c r="B2297">
        <v>5.3357999999999999</v>
      </c>
      <c r="E2297">
        <v>231300</v>
      </c>
      <c r="F2297">
        <v>4.8345000000000002</v>
      </c>
    </row>
    <row r="2298" spans="1:6" x14ac:dyDescent="0.25">
      <c r="A2298">
        <v>231400</v>
      </c>
      <c r="B2298">
        <v>5.3361999999999998</v>
      </c>
      <c r="E2298">
        <v>231400</v>
      </c>
      <c r="F2298">
        <v>4.835</v>
      </c>
    </row>
    <row r="2299" spans="1:6" x14ac:dyDescent="0.25">
      <c r="A2299">
        <v>231500</v>
      </c>
      <c r="B2299">
        <v>5.3365999999999998</v>
      </c>
      <c r="E2299">
        <v>231500</v>
      </c>
      <c r="F2299">
        <v>4.8353999999999999</v>
      </c>
    </row>
    <row r="2300" spans="1:6" x14ac:dyDescent="0.25">
      <c r="A2300">
        <v>231600</v>
      </c>
      <c r="B2300">
        <v>5.3369999999999997</v>
      </c>
      <c r="E2300">
        <v>231600</v>
      </c>
      <c r="F2300">
        <v>4.8358999999999996</v>
      </c>
    </row>
    <row r="2301" spans="1:6" x14ac:dyDescent="0.25">
      <c r="A2301">
        <v>231700</v>
      </c>
      <c r="B2301">
        <v>5.3373999999999997</v>
      </c>
      <c r="E2301">
        <v>231700</v>
      </c>
      <c r="F2301">
        <v>4.8364000000000003</v>
      </c>
    </row>
    <row r="2302" spans="1:6" x14ac:dyDescent="0.25">
      <c r="A2302">
        <v>231800</v>
      </c>
      <c r="B2302">
        <v>5.3379000000000003</v>
      </c>
      <c r="E2302">
        <v>231800</v>
      </c>
      <c r="F2302">
        <v>4.8369</v>
      </c>
    </row>
    <row r="2303" spans="1:6" x14ac:dyDescent="0.25">
      <c r="A2303">
        <v>231900</v>
      </c>
      <c r="B2303">
        <v>5.3383000000000003</v>
      </c>
      <c r="E2303">
        <v>231900</v>
      </c>
      <c r="F2303">
        <v>4.8373999999999997</v>
      </c>
    </row>
    <row r="2304" spans="1:6" x14ac:dyDescent="0.25">
      <c r="A2304">
        <v>232000</v>
      </c>
      <c r="B2304">
        <v>5.3387000000000002</v>
      </c>
      <c r="E2304">
        <v>232000</v>
      </c>
      <c r="F2304">
        <v>4.8377999999999997</v>
      </c>
    </row>
    <row r="2305" spans="1:6" x14ac:dyDescent="0.25">
      <c r="A2305">
        <v>232100</v>
      </c>
      <c r="B2305">
        <v>5.3391000000000002</v>
      </c>
      <c r="E2305">
        <v>232100</v>
      </c>
      <c r="F2305">
        <v>4.8383000000000003</v>
      </c>
    </row>
    <row r="2306" spans="1:6" x14ac:dyDescent="0.25">
      <c r="A2306">
        <v>232200</v>
      </c>
      <c r="B2306">
        <v>5.3395000000000001</v>
      </c>
      <c r="E2306">
        <v>232200</v>
      </c>
      <c r="F2306">
        <v>4.8388</v>
      </c>
    </row>
    <row r="2307" spans="1:6" x14ac:dyDescent="0.25">
      <c r="A2307">
        <v>232300</v>
      </c>
      <c r="B2307">
        <v>5.3399000000000001</v>
      </c>
      <c r="E2307">
        <v>232300</v>
      </c>
      <c r="F2307">
        <v>4.8392999999999997</v>
      </c>
    </row>
    <row r="2308" spans="1:6" x14ac:dyDescent="0.25">
      <c r="A2308">
        <v>232400</v>
      </c>
      <c r="B2308">
        <v>5.3403</v>
      </c>
      <c r="E2308">
        <v>232400</v>
      </c>
      <c r="F2308">
        <v>4.8398000000000003</v>
      </c>
    </row>
    <row r="2309" spans="1:6" x14ac:dyDescent="0.25">
      <c r="A2309">
        <v>232500</v>
      </c>
      <c r="B2309">
        <v>5.3407999999999998</v>
      </c>
      <c r="E2309">
        <v>232500</v>
      </c>
      <c r="F2309">
        <v>4.8402000000000003</v>
      </c>
    </row>
    <row r="2310" spans="1:6" x14ac:dyDescent="0.25">
      <c r="A2310">
        <v>232600</v>
      </c>
      <c r="B2310">
        <v>5.3411999999999997</v>
      </c>
      <c r="E2310">
        <v>232600</v>
      </c>
      <c r="F2310">
        <v>4.8407</v>
      </c>
    </row>
    <row r="2311" spans="1:6" x14ac:dyDescent="0.25">
      <c r="A2311">
        <v>232700</v>
      </c>
      <c r="B2311">
        <v>5.3415999999999997</v>
      </c>
      <c r="E2311">
        <v>232700</v>
      </c>
      <c r="F2311">
        <v>4.8411999999999997</v>
      </c>
    </row>
    <row r="2312" spans="1:6" x14ac:dyDescent="0.25">
      <c r="A2312">
        <v>232800</v>
      </c>
      <c r="B2312">
        <v>5.3419999999999996</v>
      </c>
      <c r="E2312">
        <v>232800</v>
      </c>
      <c r="F2312">
        <v>4.8417000000000003</v>
      </c>
    </row>
    <row r="2313" spans="1:6" x14ac:dyDescent="0.25">
      <c r="A2313">
        <v>232900</v>
      </c>
      <c r="B2313">
        <v>5.3423999999999996</v>
      </c>
      <c r="E2313">
        <v>232900</v>
      </c>
      <c r="F2313">
        <v>4.8421000000000003</v>
      </c>
    </row>
    <row r="2314" spans="1:6" x14ac:dyDescent="0.25">
      <c r="A2314">
        <v>233000</v>
      </c>
      <c r="B2314">
        <v>5.3428000000000004</v>
      </c>
      <c r="E2314">
        <v>233000</v>
      </c>
      <c r="F2314">
        <v>4.8426</v>
      </c>
    </row>
    <row r="2315" spans="1:6" x14ac:dyDescent="0.25">
      <c r="A2315">
        <v>233100</v>
      </c>
      <c r="B2315">
        <v>5.3432000000000004</v>
      </c>
      <c r="E2315">
        <v>233100</v>
      </c>
      <c r="F2315">
        <v>4.8430999999999997</v>
      </c>
    </row>
    <row r="2316" spans="1:6" x14ac:dyDescent="0.25">
      <c r="A2316">
        <v>233200</v>
      </c>
      <c r="B2316">
        <v>5.3436000000000003</v>
      </c>
      <c r="E2316">
        <v>233200</v>
      </c>
      <c r="F2316">
        <v>4.8436000000000003</v>
      </c>
    </row>
    <row r="2317" spans="1:6" x14ac:dyDescent="0.25">
      <c r="A2317">
        <v>233300</v>
      </c>
      <c r="B2317">
        <v>5.3440000000000003</v>
      </c>
      <c r="E2317">
        <v>233300</v>
      </c>
      <c r="F2317">
        <v>4.8440000000000003</v>
      </c>
    </row>
    <row r="2318" spans="1:6" x14ac:dyDescent="0.25">
      <c r="A2318">
        <v>233400</v>
      </c>
      <c r="B2318">
        <v>5.3445</v>
      </c>
      <c r="E2318">
        <v>233400</v>
      </c>
      <c r="F2318">
        <v>4.8445</v>
      </c>
    </row>
    <row r="2319" spans="1:6" x14ac:dyDescent="0.25">
      <c r="A2319">
        <v>233500</v>
      </c>
      <c r="B2319">
        <v>5.3449</v>
      </c>
      <c r="E2319">
        <v>233500</v>
      </c>
      <c r="F2319">
        <v>4.8449999999999998</v>
      </c>
    </row>
    <row r="2320" spans="1:6" x14ac:dyDescent="0.25">
      <c r="A2320">
        <v>233600</v>
      </c>
      <c r="B2320">
        <v>5.3452999999999999</v>
      </c>
      <c r="E2320">
        <v>233600</v>
      </c>
      <c r="F2320">
        <v>4.8455000000000004</v>
      </c>
    </row>
    <row r="2321" spans="1:6" x14ac:dyDescent="0.25">
      <c r="A2321">
        <v>233700</v>
      </c>
      <c r="B2321">
        <v>5.3456999999999999</v>
      </c>
      <c r="E2321">
        <v>233700</v>
      </c>
      <c r="F2321">
        <v>4.8459000000000003</v>
      </c>
    </row>
    <row r="2322" spans="1:6" x14ac:dyDescent="0.25">
      <c r="A2322">
        <v>233800</v>
      </c>
      <c r="B2322">
        <v>5.3460999999999999</v>
      </c>
      <c r="E2322">
        <v>233800</v>
      </c>
      <c r="F2322">
        <v>4.8464</v>
      </c>
    </row>
    <row r="2323" spans="1:6" x14ac:dyDescent="0.25">
      <c r="A2323">
        <v>233900</v>
      </c>
      <c r="B2323">
        <v>5.3464999999999998</v>
      </c>
      <c r="E2323">
        <v>233900</v>
      </c>
      <c r="F2323">
        <v>4.8468999999999998</v>
      </c>
    </row>
    <row r="2324" spans="1:6" x14ac:dyDescent="0.25">
      <c r="A2324">
        <v>234000</v>
      </c>
      <c r="B2324">
        <v>5.3468999999999998</v>
      </c>
      <c r="E2324">
        <v>234000</v>
      </c>
      <c r="F2324">
        <v>4.8474000000000004</v>
      </c>
    </row>
    <row r="2325" spans="1:6" x14ac:dyDescent="0.25">
      <c r="A2325">
        <v>234100</v>
      </c>
      <c r="B2325">
        <v>5.3472999999999997</v>
      </c>
      <c r="E2325">
        <v>234100</v>
      </c>
      <c r="F2325">
        <v>4.8478000000000003</v>
      </c>
    </row>
    <row r="2326" spans="1:6" x14ac:dyDescent="0.25">
      <c r="A2326">
        <v>234200</v>
      </c>
      <c r="B2326">
        <v>5.3476999999999997</v>
      </c>
      <c r="E2326">
        <v>234200</v>
      </c>
      <c r="F2326">
        <v>4.8483000000000001</v>
      </c>
    </row>
    <row r="2327" spans="1:6" x14ac:dyDescent="0.25">
      <c r="A2327">
        <v>234300</v>
      </c>
      <c r="B2327">
        <v>5.3480999999999996</v>
      </c>
      <c r="E2327">
        <v>234300</v>
      </c>
      <c r="F2327">
        <v>4.8487999999999998</v>
      </c>
    </row>
    <row r="2328" spans="1:6" x14ac:dyDescent="0.25">
      <c r="A2328">
        <v>234400</v>
      </c>
      <c r="B2328">
        <v>5.3484999999999996</v>
      </c>
      <c r="E2328">
        <v>234400</v>
      </c>
      <c r="F2328">
        <v>4.8491999999999997</v>
      </c>
    </row>
    <row r="2329" spans="1:6" x14ac:dyDescent="0.25">
      <c r="A2329">
        <v>234500</v>
      </c>
      <c r="B2329">
        <v>5.3489000000000004</v>
      </c>
      <c r="E2329">
        <v>234500</v>
      </c>
      <c r="F2329">
        <v>4.8497000000000003</v>
      </c>
    </row>
    <row r="2330" spans="1:6" x14ac:dyDescent="0.25">
      <c r="A2330">
        <v>234600</v>
      </c>
      <c r="B2330">
        <v>5.3493000000000004</v>
      </c>
      <c r="E2330">
        <v>234600</v>
      </c>
      <c r="F2330">
        <v>4.8502000000000001</v>
      </c>
    </row>
    <row r="2331" spans="1:6" x14ac:dyDescent="0.25">
      <c r="A2331">
        <v>234700</v>
      </c>
      <c r="B2331">
        <v>5.3497000000000003</v>
      </c>
      <c r="E2331">
        <v>234700</v>
      </c>
      <c r="F2331">
        <v>4.8506</v>
      </c>
    </row>
    <row r="2332" spans="1:6" x14ac:dyDescent="0.25">
      <c r="A2332">
        <v>234800</v>
      </c>
      <c r="B2332">
        <v>5.3501000000000003</v>
      </c>
      <c r="E2332">
        <v>234800</v>
      </c>
      <c r="F2332">
        <v>4.8510999999999997</v>
      </c>
    </row>
    <row r="2333" spans="1:6" x14ac:dyDescent="0.25">
      <c r="A2333">
        <v>234900</v>
      </c>
      <c r="B2333">
        <v>5.3506</v>
      </c>
      <c r="E2333">
        <v>234900</v>
      </c>
      <c r="F2333">
        <v>4.8516000000000004</v>
      </c>
    </row>
    <row r="2334" spans="1:6" x14ac:dyDescent="0.25">
      <c r="A2334">
        <v>235000</v>
      </c>
      <c r="B2334">
        <v>5.351</v>
      </c>
      <c r="E2334">
        <v>235000</v>
      </c>
      <c r="F2334">
        <v>4.8520000000000003</v>
      </c>
    </row>
    <row r="2335" spans="1:6" x14ac:dyDescent="0.25">
      <c r="A2335">
        <v>235100</v>
      </c>
      <c r="B2335">
        <v>5.3513999999999999</v>
      </c>
      <c r="E2335">
        <v>235100</v>
      </c>
      <c r="F2335">
        <v>4.8525</v>
      </c>
    </row>
    <row r="2336" spans="1:6" x14ac:dyDescent="0.25">
      <c r="A2336">
        <v>235200</v>
      </c>
      <c r="B2336">
        <v>5.3517999999999999</v>
      </c>
      <c r="E2336">
        <v>235200</v>
      </c>
      <c r="F2336">
        <v>4.8529999999999998</v>
      </c>
    </row>
    <row r="2337" spans="1:6" x14ac:dyDescent="0.25">
      <c r="A2337">
        <v>235300</v>
      </c>
      <c r="B2337">
        <v>5.3521999999999998</v>
      </c>
      <c r="E2337">
        <v>235300</v>
      </c>
      <c r="F2337">
        <v>4.8533999999999997</v>
      </c>
    </row>
    <row r="2338" spans="1:6" x14ac:dyDescent="0.25">
      <c r="A2338">
        <v>235400</v>
      </c>
      <c r="B2338">
        <v>5.3525999999999998</v>
      </c>
      <c r="E2338">
        <v>235400</v>
      </c>
      <c r="F2338">
        <v>4.8539000000000003</v>
      </c>
    </row>
    <row r="2339" spans="1:6" x14ac:dyDescent="0.25">
      <c r="A2339">
        <v>235500</v>
      </c>
      <c r="B2339">
        <v>5.3529999999999998</v>
      </c>
      <c r="E2339">
        <v>235500</v>
      </c>
      <c r="F2339">
        <v>4.8544</v>
      </c>
    </row>
    <row r="2340" spans="1:6" x14ac:dyDescent="0.25">
      <c r="A2340">
        <v>235600</v>
      </c>
      <c r="B2340">
        <v>5.3533999999999997</v>
      </c>
      <c r="E2340">
        <v>235600</v>
      </c>
      <c r="F2340">
        <v>4.8548</v>
      </c>
    </row>
    <row r="2341" spans="1:6" x14ac:dyDescent="0.25">
      <c r="A2341">
        <v>235700</v>
      </c>
      <c r="B2341">
        <v>5.3537999999999997</v>
      </c>
      <c r="E2341">
        <v>235700</v>
      </c>
      <c r="F2341">
        <v>4.8552999999999997</v>
      </c>
    </row>
    <row r="2342" spans="1:6" x14ac:dyDescent="0.25">
      <c r="A2342">
        <v>235800</v>
      </c>
      <c r="B2342">
        <v>5.3541999999999996</v>
      </c>
      <c r="E2342">
        <v>235800</v>
      </c>
      <c r="F2342">
        <v>4.8558000000000003</v>
      </c>
    </row>
    <row r="2343" spans="1:6" x14ac:dyDescent="0.25">
      <c r="A2343">
        <v>235900</v>
      </c>
      <c r="B2343">
        <v>5.3545999999999996</v>
      </c>
      <c r="E2343">
        <v>235900</v>
      </c>
      <c r="F2343">
        <v>4.8562000000000003</v>
      </c>
    </row>
    <row r="2344" spans="1:6" x14ac:dyDescent="0.25">
      <c r="A2344">
        <v>236000</v>
      </c>
      <c r="B2344">
        <v>5.3550000000000004</v>
      </c>
      <c r="E2344">
        <v>236000</v>
      </c>
      <c r="F2344">
        <v>4.8567</v>
      </c>
    </row>
    <row r="2345" spans="1:6" x14ac:dyDescent="0.25">
      <c r="A2345">
        <v>236100</v>
      </c>
      <c r="B2345">
        <v>5.3554000000000004</v>
      </c>
      <c r="E2345">
        <v>236100</v>
      </c>
      <c r="F2345">
        <v>4.8571999999999997</v>
      </c>
    </row>
    <row r="2346" spans="1:6" x14ac:dyDescent="0.25">
      <c r="A2346">
        <v>236200</v>
      </c>
      <c r="B2346">
        <v>5.3558000000000003</v>
      </c>
      <c r="E2346">
        <v>236200</v>
      </c>
      <c r="F2346">
        <v>4.8575999999999997</v>
      </c>
    </row>
    <row r="2347" spans="1:6" x14ac:dyDescent="0.25">
      <c r="A2347">
        <v>236300</v>
      </c>
      <c r="B2347">
        <v>5.3562000000000003</v>
      </c>
      <c r="E2347">
        <v>236300</v>
      </c>
      <c r="F2347">
        <v>4.8581000000000003</v>
      </c>
    </row>
    <row r="2348" spans="1:6" x14ac:dyDescent="0.25">
      <c r="A2348">
        <v>236400</v>
      </c>
      <c r="B2348">
        <v>5.3566000000000003</v>
      </c>
      <c r="E2348">
        <v>236400</v>
      </c>
      <c r="F2348">
        <v>4.8585000000000003</v>
      </c>
    </row>
    <row r="2349" spans="1:6" x14ac:dyDescent="0.25">
      <c r="A2349">
        <v>236500</v>
      </c>
      <c r="B2349">
        <v>5.3570000000000002</v>
      </c>
      <c r="E2349">
        <v>236500</v>
      </c>
      <c r="F2349">
        <v>4.859</v>
      </c>
    </row>
    <row r="2350" spans="1:6" x14ac:dyDescent="0.25">
      <c r="A2350">
        <v>236600</v>
      </c>
      <c r="B2350">
        <v>5.3574000000000002</v>
      </c>
      <c r="E2350">
        <v>236600</v>
      </c>
      <c r="F2350">
        <v>4.8594999999999997</v>
      </c>
    </row>
    <row r="2351" spans="1:6" x14ac:dyDescent="0.25">
      <c r="A2351">
        <v>236700</v>
      </c>
      <c r="B2351">
        <v>5.3578000000000001</v>
      </c>
      <c r="E2351">
        <v>236700</v>
      </c>
      <c r="F2351">
        <v>4.8598999999999997</v>
      </c>
    </row>
    <row r="2352" spans="1:6" x14ac:dyDescent="0.25">
      <c r="A2352">
        <v>236800</v>
      </c>
      <c r="B2352">
        <v>5.3582000000000001</v>
      </c>
      <c r="E2352">
        <v>236800</v>
      </c>
      <c r="F2352">
        <v>4.8604000000000003</v>
      </c>
    </row>
    <row r="2353" spans="1:6" x14ac:dyDescent="0.25">
      <c r="A2353">
        <v>236900</v>
      </c>
      <c r="B2353">
        <v>5.3586</v>
      </c>
      <c r="E2353">
        <v>236900</v>
      </c>
      <c r="F2353">
        <v>4.8608000000000002</v>
      </c>
    </row>
    <row r="2354" spans="1:6" x14ac:dyDescent="0.25">
      <c r="A2354">
        <v>237000</v>
      </c>
      <c r="B2354">
        <v>5.359</v>
      </c>
      <c r="E2354">
        <v>237000</v>
      </c>
      <c r="F2354">
        <v>4.8613</v>
      </c>
    </row>
    <row r="2355" spans="1:6" x14ac:dyDescent="0.25">
      <c r="A2355">
        <v>237100</v>
      </c>
      <c r="B2355">
        <v>5.3593999999999999</v>
      </c>
      <c r="E2355">
        <v>237100</v>
      </c>
      <c r="F2355">
        <v>4.8617999999999997</v>
      </c>
    </row>
    <row r="2356" spans="1:6" x14ac:dyDescent="0.25">
      <c r="A2356">
        <v>237200</v>
      </c>
      <c r="B2356">
        <v>5.3597999999999999</v>
      </c>
      <c r="E2356">
        <v>237200</v>
      </c>
      <c r="F2356">
        <v>4.8621999999999996</v>
      </c>
    </row>
    <row r="2357" spans="1:6" x14ac:dyDescent="0.25">
      <c r="A2357">
        <v>237300</v>
      </c>
      <c r="B2357">
        <v>5.3601999999999999</v>
      </c>
      <c r="E2357">
        <v>237300</v>
      </c>
      <c r="F2357">
        <v>4.8627000000000002</v>
      </c>
    </row>
    <row r="2358" spans="1:6" x14ac:dyDescent="0.25">
      <c r="A2358">
        <v>237400</v>
      </c>
      <c r="B2358">
        <v>5.3605999999999998</v>
      </c>
      <c r="E2358">
        <v>237400</v>
      </c>
      <c r="F2358">
        <v>4.8631000000000002</v>
      </c>
    </row>
    <row r="2359" spans="1:6" x14ac:dyDescent="0.25">
      <c r="A2359">
        <v>237500</v>
      </c>
      <c r="B2359">
        <v>5.3609</v>
      </c>
      <c r="E2359">
        <v>237500</v>
      </c>
      <c r="F2359">
        <v>4.8635999999999999</v>
      </c>
    </row>
    <row r="2360" spans="1:6" x14ac:dyDescent="0.25">
      <c r="A2360">
        <v>237600</v>
      </c>
      <c r="B2360">
        <v>5.3613</v>
      </c>
      <c r="E2360">
        <v>237600</v>
      </c>
      <c r="F2360">
        <v>4.8640999999999996</v>
      </c>
    </row>
    <row r="2361" spans="1:6" x14ac:dyDescent="0.25">
      <c r="A2361">
        <v>237700</v>
      </c>
      <c r="B2361">
        <v>5.3616999999999999</v>
      </c>
      <c r="E2361">
        <v>237700</v>
      </c>
      <c r="F2361">
        <v>4.8644999999999996</v>
      </c>
    </row>
    <row r="2362" spans="1:6" x14ac:dyDescent="0.25">
      <c r="A2362">
        <v>237800</v>
      </c>
      <c r="B2362">
        <v>5.3620999999999999</v>
      </c>
      <c r="E2362">
        <v>237800</v>
      </c>
      <c r="F2362">
        <v>4.8650000000000002</v>
      </c>
    </row>
    <row r="2363" spans="1:6" x14ac:dyDescent="0.25">
      <c r="A2363">
        <v>237900</v>
      </c>
      <c r="B2363">
        <v>5.3624999999999998</v>
      </c>
      <c r="E2363">
        <v>237900</v>
      </c>
      <c r="F2363">
        <v>4.8654000000000002</v>
      </c>
    </row>
    <row r="2364" spans="1:6" x14ac:dyDescent="0.25">
      <c r="A2364">
        <v>238000</v>
      </c>
      <c r="B2364">
        <v>5.3628999999999998</v>
      </c>
      <c r="E2364">
        <v>238000</v>
      </c>
      <c r="F2364">
        <v>4.8658999999999999</v>
      </c>
    </row>
    <row r="2365" spans="1:6" x14ac:dyDescent="0.25">
      <c r="A2365">
        <v>238100</v>
      </c>
      <c r="B2365">
        <v>5.3632999999999997</v>
      </c>
      <c r="E2365">
        <v>238100</v>
      </c>
      <c r="F2365">
        <v>4.8662999999999998</v>
      </c>
    </row>
    <row r="2366" spans="1:6" x14ac:dyDescent="0.25">
      <c r="A2366">
        <v>238200</v>
      </c>
      <c r="B2366">
        <v>5.3636999999999997</v>
      </c>
      <c r="E2366">
        <v>238200</v>
      </c>
      <c r="F2366">
        <v>4.8667999999999996</v>
      </c>
    </row>
    <row r="2367" spans="1:6" x14ac:dyDescent="0.25">
      <c r="A2367">
        <v>238300</v>
      </c>
      <c r="B2367">
        <v>5.3640999999999996</v>
      </c>
      <c r="E2367">
        <v>238300</v>
      </c>
      <c r="F2367">
        <v>4.8672000000000004</v>
      </c>
    </row>
    <row r="2368" spans="1:6" x14ac:dyDescent="0.25">
      <c r="A2368">
        <v>238400</v>
      </c>
      <c r="B2368">
        <v>5.3644999999999996</v>
      </c>
      <c r="E2368">
        <v>238400</v>
      </c>
      <c r="F2368">
        <v>4.8677000000000001</v>
      </c>
    </row>
    <row r="2369" spans="1:6" x14ac:dyDescent="0.25">
      <c r="A2369">
        <v>238500</v>
      </c>
      <c r="B2369">
        <v>5.3648999999999996</v>
      </c>
      <c r="E2369">
        <v>238500</v>
      </c>
      <c r="F2369">
        <v>4.8681999999999999</v>
      </c>
    </row>
    <row r="2370" spans="1:6" x14ac:dyDescent="0.25">
      <c r="A2370">
        <v>238600</v>
      </c>
      <c r="B2370">
        <v>5.3653000000000004</v>
      </c>
      <c r="E2370">
        <v>238600</v>
      </c>
      <c r="F2370">
        <v>4.8685999999999998</v>
      </c>
    </row>
    <row r="2371" spans="1:6" x14ac:dyDescent="0.25">
      <c r="A2371">
        <v>238700</v>
      </c>
      <c r="B2371">
        <v>5.3657000000000004</v>
      </c>
      <c r="E2371">
        <v>238700</v>
      </c>
      <c r="F2371">
        <v>4.8691000000000004</v>
      </c>
    </row>
    <row r="2372" spans="1:6" x14ac:dyDescent="0.25">
      <c r="A2372">
        <v>238800</v>
      </c>
      <c r="B2372">
        <v>5.3661000000000003</v>
      </c>
      <c r="E2372">
        <v>238800</v>
      </c>
      <c r="F2372">
        <v>4.8695000000000004</v>
      </c>
    </row>
    <row r="2373" spans="1:6" x14ac:dyDescent="0.25">
      <c r="A2373">
        <v>238900</v>
      </c>
      <c r="B2373">
        <v>5.3665000000000003</v>
      </c>
      <c r="E2373">
        <v>238900</v>
      </c>
      <c r="F2373">
        <v>4.87</v>
      </c>
    </row>
    <row r="2374" spans="1:6" x14ac:dyDescent="0.25">
      <c r="A2374">
        <v>239000</v>
      </c>
      <c r="B2374">
        <v>5.3667999999999996</v>
      </c>
      <c r="E2374">
        <v>239000</v>
      </c>
      <c r="F2374">
        <v>4.8704000000000001</v>
      </c>
    </row>
    <row r="2375" spans="1:6" x14ac:dyDescent="0.25">
      <c r="A2375">
        <v>239100</v>
      </c>
      <c r="B2375">
        <v>5.3672000000000004</v>
      </c>
      <c r="E2375">
        <v>239100</v>
      </c>
      <c r="F2375">
        <v>4.8708999999999998</v>
      </c>
    </row>
    <row r="2376" spans="1:6" x14ac:dyDescent="0.25">
      <c r="A2376">
        <v>239200</v>
      </c>
      <c r="B2376">
        <v>5.3676000000000004</v>
      </c>
      <c r="E2376">
        <v>239200</v>
      </c>
      <c r="F2376">
        <v>4.8712999999999997</v>
      </c>
    </row>
    <row r="2377" spans="1:6" x14ac:dyDescent="0.25">
      <c r="A2377">
        <v>239300</v>
      </c>
      <c r="B2377">
        <v>5.3680000000000003</v>
      </c>
      <c r="E2377">
        <v>239300</v>
      </c>
      <c r="F2377">
        <v>4.8718000000000004</v>
      </c>
    </row>
    <row r="2378" spans="1:6" x14ac:dyDescent="0.25">
      <c r="A2378">
        <v>239400</v>
      </c>
      <c r="B2378">
        <v>5.3684000000000003</v>
      </c>
      <c r="E2378">
        <v>239400</v>
      </c>
      <c r="F2378">
        <v>4.8722000000000003</v>
      </c>
    </row>
    <row r="2379" spans="1:6" x14ac:dyDescent="0.25">
      <c r="A2379">
        <v>239500</v>
      </c>
      <c r="B2379">
        <v>5.3688000000000002</v>
      </c>
      <c r="E2379">
        <v>239500</v>
      </c>
      <c r="F2379">
        <v>4.8727</v>
      </c>
    </row>
    <row r="2380" spans="1:6" x14ac:dyDescent="0.25">
      <c r="A2380">
        <v>239600</v>
      </c>
      <c r="B2380">
        <v>5.3692000000000002</v>
      </c>
      <c r="E2380">
        <v>239600</v>
      </c>
      <c r="F2380">
        <v>4.8731</v>
      </c>
    </row>
    <row r="2381" spans="1:6" x14ac:dyDescent="0.25">
      <c r="A2381">
        <v>239700</v>
      </c>
      <c r="B2381">
        <v>5.3696000000000002</v>
      </c>
      <c r="E2381">
        <v>239700</v>
      </c>
      <c r="F2381">
        <v>4.8735999999999997</v>
      </c>
    </row>
    <row r="2382" spans="1:6" x14ac:dyDescent="0.25">
      <c r="A2382">
        <v>239800</v>
      </c>
      <c r="B2382">
        <v>5.37</v>
      </c>
      <c r="E2382">
        <v>239800</v>
      </c>
      <c r="F2382">
        <v>4.8739999999999997</v>
      </c>
    </row>
    <row r="2383" spans="1:6" x14ac:dyDescent="0.25">
      <c r="A2383">
        <v>239900</v>
      </c>
      <c r="B2383">
        <v>5.3703000000000003</v>
      </c>
      <c r="E2383">
        <v>239900</v>
      </c>
      <c r="F2383">
        <v>4.8745000000000003</v>
      </c>
    </row>
    <row r="2384" spans="1:6" x14ac:dyDescent="0.25">
      <c r="A2384">
        <v>240000</v>
      </c>
      <c r="B2384">
        <v>5.3707000000000003</v>
      </c>
      <c r="E2384">
        <v>240000</v>
      </c>
      <c r="F2384">
        <v>4.8749000000000002</v>
      </c>
    </row>
    <row r="2385" spans="1:6" x14ac:dyDescent="0.25">
      <c r="A2385">
        <v>240100</v>
      </c>
      <c r="B2385">
        <v>5.3711000000000002</v>
      </c>
      <c r="E2385">
        <v>240100</v>
      </c>
      <c r="F2385">
        <v>4.8754</v>
      </c>
    </row>
    <row r="2386" spans="1:6" x14ac:dyDescent="0.25">
      <c r="A2386">
        <v>240200</v>
      </c>
      <c r="B2386">
        <v>5.3715000000000002</v>
      </c>
      <c r="E2386">
        <v>240200</v>
      </c>
      <c r="F2386">
        <v>4.8757999999999999</v>
      </c>
    </row>
    <row r="2387" spans="1:6" x14ac:dyDescent="0.25">
      <c r="A2387">
        <v>240300</v>
      </c>
      <c r="B2387">
        <v>5.3719000000000001</v>
      </c>
      <c r="E2387">
        <v>240300</v>
      </c>
      <c r="F2387">
        <v>4.8762999999999996</v>
      </c>
    </row>
    <row r="2388" spans="1:6" x14ac:dyDescent="0.25">
      <c r="A2388">
        <v>240400</v>
      </c>
      <c r="B2388">
        <v>5.3723000000000001</v>
      </c>
      <c r="E2388">
        <v>240400</v>
      </c>
      <c r="F2388">
        <v>4.8766999999999996</v>
      </c>
    </row>
    <row r="2389" spans="1:6" x14ac:dyDescent="0.25">
      <c r="A2389">
        <v>240500</v>
      </c>
      <c r="B2389">
        <v>5.3727</v>
      </c>
      <c r="E2389">
        <v>240500</v>
      </c>
      <c r="F2389">
        <v>4.8772000000000002</v>
      </c>
    </row>
    <row r="2390" spans="1:6" x14ac:dyDescent="0.25">
      <c r="A2390">
        <v>240600</v>
      </c>
      <c r="B2390">
        <v>5.3730000000000002</v>
      </c>
      <c r="E2390">
        <v>240600</v>
      </c>
      <c r="F2390">
        <v>4.8776000000000002</v>
      </c>
    </row>
    <row r="2391" spans="1:6" x14ac:dyDescent="0.25">
      <c r="A2391">
        <v>240700</v>
      </c>
      <c r="B2391">
        <v>5.3734000000000002</v>
      </c>
      <c r="E2391">
        <v>240700</v>
      </c>
      <c r="F2391">
        <v>4.8780000000000001</v>
      </c>
    </row>
    <row r="2392" spans="1:6" x14ac:dyDescent="0.25">
      <c r="A2392">
        <v>240800</v>
      </c>
      <c r="B2392">
        <v>5.3738000000000001</v>
      </c>
      <c r="E2392">
        <v>240800</v>
      </c>
      <c r="F2392">
        <v>4.8784999999999998</v>
      </c>
    </row>
    <row r="2393" spans="1:6" x14ac:dyDescent="0.25">
      <c r="A2393">
        <v>240900</v>
      </c>
      <c r="B2393">
        <v>5.3742000000000001</v>
      </c>
      <c r="E2393">
        <v>240900</v>
      </c>
      <c r="F2393">
        <v>4.8788999999999998</v>
      </c>
    </row>
    <row r="2394" spans="1:6" x14ac:dyDescent="0.25">
      <c r="A2394">
        <v>241000</v>
      </c>
      <c r="B2394">
        <v>5.3746</v>
      </c>
      <c r="E2394">
        <v>241000</v>
      </c>
      <c r="F2394">
        <v>4.8794000000000004</v>
      </c>
    </row>
    <row r="2395" spans="1:6" x14ac:dyDescent="0.25">
      <c r="A2395">
        <v>241100</v>
      </c>
      <c r="B2395">
        <v>5.375</v>
      </c>
      <c r="E2395">
        <v>241100</v>
      </c>
      <c r="F2395">
        <v>4.8798000000000004</v>
      </c>
    </row>
    <row r="2396" spans="1:6" x14ac:dyDescent="0.25">
      <c r="A2396">
        <v>241200</v>
      </c>
      <c r="B2396">
        <v>5.3754</v>
      </c>
      <c r="E2396">
        <v>241200</v>
      </c>
      <c r="F2396">
        <v>4.8803000000000001</v>
      </c>
    </row>
    <row r="2397" spans="1:6" x14ac:dyDescent="0.25">
      <c r="A2397">
        <v>241300</v>
      </c>
      <c r="B2397">
        <v>5.3757000000000001</v>
      </c>
      <c r="E2397">
        <v>241300</v>
      </c>
      <c r="F2397">
        <v>4.8807</v>
      </c>
    </row>
    <row r="2398" spans="1:6" x14ac:dyDescent="0.25">
      <c r="A2398">
        <v>241400</v>
      </c>
      <c r="B2398">
        <v>5.3761000000000001</v>
      </c>
      <c r="E2398">
        <v>241400</v>
      </c>
      <c r="F2398">
        <v>4.8811999999999998</v>
      </c>
    </row>
    <row r="2399" spans="1:6" x14ac:dyDescent="0.25">
      <c r="A2399">
        <v>241500</v>
      </c>
      <c r="B2399">
        <v>5.3765000000000001</v>
      </c>
      <c r="E2399">
        <v>241500</v>
      </c>
      <c r="F2399">
        <v>4.8815999999999997</v>
      </c>
    </row>
    <row r="2400" spans="1:6" x14ac:dyDescent="0.25">
      <c r="A2400">
        <v>241600</v>
      </c>
      <c r="B2400">
        <v>5.3769</v>
      </c>
      <c r="E2400">
        <v>241600</v>
      </c>
      <c r="F2400">
        <v>4.8819999999999997</v>
      </c>
    </row>
    <row r="2401" spans="1:6" x14ac:dyDescent="0.25">
      <c r="A2401">
        <v>241700</v>
      </c>
      <c r="B2401">
        <v>5.3773</v>
      </c>
      <c r="E2401">
        <v>241700</v>
      </c>
      <c r="F2401">
        <v>4.8825000000000003</v>
      </c>
    </row>
    <row r="2402" spans="1:6" x14ac:dyDescent="0.25">
      <c r="A2402">
        <v>241800</v>
      </c>
      <c r="B2402">
        <v>5.3776000000000002</v>
      </c>
      <c r="E2402">
        <v>241800</v>
      </c>
      <c r="F2402">
        <v>4.8829000000000002</v>
      </c>
    </row>
    <row r="2403" spans="1:6" x14ac:dyDescent="0.25">
      <c r="A2403">
        <v>241900</v>
      </c>
      <c r="B2403">
        <v>5.3780000000000001</v>
      </c>
      <c r="E2403">
        <v>241900</v>
      </c>
      <c r="F2403">
        <v>4.8834</v>
      </c>
    </row>
    <row r="2404" spans="1:6" x14ac:dyDescent="0.25">
      <c r="A2404">
        <v>242000</v>
      </c>
      <c r="B2404">
        <v>5.3784000000000001</v>
      </c>
      <c r="E2404">
        <v>242000</v>
      </c>
      <c r="F2404">
        <v>4.8837999999999999</v>
      </c>
    </row>
    <row r="2405" spans="1:6" x14ac:dyDescent="0.25">
      <c r="A2405">
        <v>242100</v>
      </c>
      <c r="B2405">
        <v>5.3788</v>
      </c>
      <c r="E2405">
        <v>242100</v>
      </c>
      <c r="F2405">
        <v>4.8841999999999999</v>
      </c>
    </row>
    <row r="2406" spans="1:6" x14ac:dyDescent="0.25">
      <c r="A2406">
        <v>242200</v>
      </c>
      <c r="B2406">
        <v>5.3792</v>
      </c>
      <c r="E2406">
        <v>242200</v>
      </c>
      <c r="F2406">
        <v>4.8846999999999996</v>
      </c>
    </row>
    <row r="2407" spans="1:6" x14ac:dyDescent="0.25">
      <c r="A2407">
        <v>242300</v>
      </c>
      <c r="B2407">
        <v>5.3795999999999999</v>
      </c>
      <c r="E2407">
        <v>242300</v>
      </c>
      <c r="F2407">
        <v>4.8851000000000004</v>
      </c>
    </row>
    <row r="2408" spans="1:6" x14ac:dyDescent="0.25">
      <c r="A2408">
        <v>242400</v>
      </c>
      <c r="B2408">
        <v>5.3799000000000001</v>
      </c>
      <c r="E2408">
        <v>242400</v>
      </c>
      <c r="F2408">
        <v>4.8856000000000002</v>
      </c>
    </row>
    <row r="2409" spans="1:6" x14ac:dyDescent="0.25">
      <c r="A2409">
        <v>242500</v>
      </c>
      <c r="B2409">
        <v>5.3803000000000001</v>
      </c>
      <c r="E2409">
        <v>242500</v>
      </c>
      <c r="F2409">
        <v>4.8860000000000001</v>
      </c>
    </row>
    <row r="2410" spans="1:6" x14ac:dyDescent="0.25">
      <c r="A2410">
        <v>242600</v>
      </c>
      <c r="B2410">
        <v>5.3807</v>
      </c>
      <c r="E2410">
        <v>242600</v>
      </c>
      <c r="F2410">
        <v>4.8864000000000001</v>
      </c>
    </row>
    <row r="2411" spans="1:6" x14ac:dyDescent="0.25">
      <c r="A2411">
        <v>242700</v>
      </c>
      <c r="B2411">
        <v>5.3811</v>
      </c>
      <c r="E2411">
        <v>242700</v>
      </c>
      <c r="F2411">
        <v>4.8868999999999998</v>
      </c>
    </row>
    <row r="2412" spans="1:6" x14ac:dyDescent="0.25">
      <c r="A2412">
        <v>242800</v>
      </c>
      <c r="B2412">
        <v>5.3814000000000002</v>
      </c>
      <c r="E2412">
        <v>242800</v>
      </c>
      <c r="F2412">
        <v>4.8872999999999998</v>
      </c>
    </row>
    <row r="2413" spans="1:6" x14ac:dyDescent="0.25">
      <c r="A2413">
        <v>242900</v>
      </c>
      <c r="B2413">
        <v>5.3818000000000001</v>
      </c>
      <c r="E2413">
        <v>242900</v>
      </c>
      <c r="F2413">
        <v>4.8878000000000004</v>
      </c>
    </row>
    <row r="2414" spans="1:6" x14ac:dyDescent="0.25">
      <c r="A2414">
        <v>243000</v>
      </c>
      <c r="B2414">
        <v>5.3822000000000001</v>
      </c>
      <c r="E2414">
        <v>243000</v>
      </c>
      <c r="F2414">
        <v>4.8882000000000003</v>
      </c>
    </row>
    <row r="2415" spans="1:6" x14ac:dyDescent="0.25">
      <c r="A2415">
        <v>243100</v>
      </c>
      <c r="B2415">
        <v>5.3826000000000001</v>
      </c>
      <c r="E2415">
        <v>243100</v>
      </c>
      <c r="F2415">
        <v>4.8886000000000003</v>
      </c>
    </row>
    <row r="2416" spans="1:6" x14ac:dyDescent="0.25">
      <c r="A2416">
        <v>243200</v>
      </c>
      <c r="B2416">
        <v>5.383</v>
      </c>
      <c r="E2416">
        <v>243200</v>
      </c>
      <c r="F2416">
        <v>4.8891</v>
      </c>
    </row>
    <row r="2417" spans="1:6" x14ac:dyDescent="0.25">
      <c r="A2417">
        <v>243300</v>
      </c>
      <c r="B2417">
        <v>5.3833000000000002</v>
      </c>
      <c r="E2417">
        <v>243300</v>
      </c>
      <c r="F2417">
        <v>4.8895</v>
      </c>
    </row>
    <row r="2418" spans="1:6" x14ac:dyDescent="0.25">
      <c r="A2418">
        <v>243400</v>
      </c>
      <c r="B2418">
        <v>5.3837000000000002</v>
      </c>
      <c r="E2418">
        <v>243400</v>
      </c>
      <c r="F2418">
        <v>4.8898999999999999</v>
      </c>
    </row>
    <row r="2419" spans="1:6" x14ac:dyDescent="0.25">
      <c r="A2419">
        <v>243500</v>
      </c>
      <c r="B2419">
        <v>5.3841000000000001</v>
      </c>
      <c r="E2419">
        <v>243500</v>
      </c>
      <c r="F2419">
        <v>4.8903999999999996</v>
      </c>
    </row>
    <row r="2420" spans="1:6" x14ac:dyDescent="0.25">
      <c r="A2420">
        <v>243600</v>
      </c>
      <c r="B2420">
        <v>5.3845000000000001</v>
      </c>
      <c r="E2420">
        <v>243600</v>
      </c>
      <c r="F2420">
        <v>4.8907999999999996</v>
      </c>
    </row>
    <row r="2421" spans="1:6" x14ac:dyDescent="0.25">
      <c r="A2421">
        <v>243700</v>
      </c>
      <c r="B2421">
        <v>5.3848000000000003</v>
      </c>
      <c r="E2421">
        <v>243700</v>
      </c>
      <c r="F2421">
        <v>4.8912000000000004</v>
      </c>
    </row>
    <row r="2422" spans="1:6" x14ac:dyDescent="0.25">
      <c r="A2422">
        <v>243800</v>
      </c>
      <c r="B2422">
        <v>5.3852000000000002</v>
      </c>
      <c r="E2422">
        <v>243800</v>
      </c>
      <c r="F2422">
        <v>4.8917000000000002</v>
      </c>
    </row>
    <row r="2423" spans="1:6" x14ac:dyDescent="0.25">
      <c r="A2423">
        <v>243900</v>
      </c>
      <c r="B2423">
        <v>5.3856000000000002</v>
      </c>
      <c r="E2423">
        <v>243900</v>
      </c>
      <c r="F2423">
        <v>4.8921000000000001</v>
      </c>
    </row>
    <row r="2424" spans="1:6" x14ac:dyDescent="0.25">
      <c r="A2424">
        <v>244000</v>
      </c>
      <c r="B2424">
        <v>5.3860000000000001</v>
      </c>
      <c r="E2424">
        <v>244000</v>
      </c>
      <c r="F2424">
        <v>4.8925000000000001</v>
      </c>
    </row>
    <row r="2425" spans="1:6" x14ac:dyDescent="0.25">
      <c r="A2425">
        <v>244100</v>
      </c>
      <c r="B2425">
        <v>5.3863000000000003</v>
      </c>
      <c r="E2425">
        <v>244100</v>
      </c>
      <c r="F2425">
        <v>4.8929999999999998</v>
      </c>
    </row>
    <row r="2426" spans="1:6" x14ac:dyDescent="0.25">
      <c r="A2426">
        <v>244200</v>
      </c>
      <c r="B2426">
        <v>5.3867000000000003</v>
      </c>
      <c r="E2426">
        <v>244200</v>
      </c>
      <c r="F2426">
        <v>4.8933999999999997</v>
      </c>
    </row>
    <row r="2427" spans="1:6" x14ac:dyDescent="0.25">
      <c r="A2427">
        <v>244300</v>
      </c>
      <c r="B2427">
        <v>5.3871000000000002</v>
      </c>
      <c r="E2427">
        <v>244300</v>
      </c>
      <c r="F2427">
        <v>4.8937999999999997</v>
      </c>
    </row>
    <row r="2428" spans="1:6" x14ac:dyDescent="0.25">
      <c r="A2428">
        <v>244400</v>
      </c>
      <c r="B2428">
        <v>5.3875000000000002</v>
      </c>
      <c r="E2428">
        <v>244400</v>
      </c>
      <c r="F2428">
        <v>4.8943000000000003</v>
      </c>
    </row>
    <row r="2429" spans="1:6" x14ac:dyDescent="0.25">
      <c r="A2429">
        <v>244500</v>
      </c>
      <c r="B2429">
        <v>5.3878000000000004</v>
      </c>
      <c r="E2429">
        <v>244500</v>
      </c>
      <c r="F2429">
        <v>4.8947000000000003</v>
      </c>
    </row>
    <row r="2430" spans="1:6" x14ac:dyDescent="0.25">
      <c r="A2430">
        <v>244600</v>
      </c>
      <c r="B2430">
        <v>5.3882000000000003</v>
      </c>
      <c r="E2430">
        <v>244600</v>
      </c>
      <c r="F2430">
        <v>4.8951000000000002</v>
      </c>
    </row>
    <row r="2431" spans="1:6" x14ac:dyDescent="0.25">
      <c r="A2431">
        <v>244700</v>
      </c>
      <c r="B2431">
        <v>5.3886000000000003</v>
      </c>
      <c r="E2431">
        <v>244700</v>
      </c>
      <c r="F2431">
        <v>4.8956</v>
      </c>
    </row>
    <row r="2432" spans="1:6" x14ac:dyDescent="0.25">
      <c r="A2432">
        <v>244800</v>
      </c>
      <c r="B2432">
        <v>5.3890000000000002</v>
      </c>
      <c r="E2432">
        <v>244800</v>
      </c>
      <c r="F2432">
        <v>4.8959999999999999</v>
      </c>
    </row>
    <row r="2433" spans="1:6" x14ac:dyDescent="0.25">
      <c r="A2433">
        <v>244900</v>
      </c>
      <c r="B2433">
        <v>5.3893000000000004</v>
      </c>
      <c r="E2433">
        <v>244900</v>
      </c>
      <c r="F2433">
        <v>4.8963999999999999</v>
      </c>
    </row>
    <row r="2434" spans="1:6" x14ac:dyDescent="0.25">
      <c r="A2434">
        <v>245000</v>
      </c>
      <c r="B2434">
        <v>5.3897000000000004</v>
      </c>
      <c r="E2434">
        <v>245000</v>
      </c>
      <c r="F2434">
        <v>4.8968999999999996</v>
      </c>
    </row>
    <row r="2435" spans="1:6" x14ac:dyDescent="0.25">
      <c r="A2435">
        <v>245100</v>
      </c>
      <c r="B2435">
        <v>5.3901000000000003</v>
      </c>
      <c r="E2435">
        <v>245100</v>
      </c>
      <c r="F2435">
        <v>4.8973000000000004</v>
      </c>
    </row>
    <row r="2436" spans="1:6" x14ac:dyDescent="0.25">
      <c r="A2436">
        <v>245200</v>
      </c>
      <c r="B2436">
        <v>5.3903999999999996</v>
      </c>
      <c r="E2436">
        <v>245200</v>
      </c>
      <c r="F2436">
        <v>4.8977000000000004</v>
      </c>
    </row>
    <row r="2437" spans="1:6" x14ac:dyDescent="0.25">
      <c r="A2437">
        <v>245300</v>
      </c>
      <c r="B2437">
        <v>5.3907999999999996</v>
      </c>
      <c r="E2437">
        <v>245300</v>
      </c>
      <c r="F2437">
        <v>4.8981000000000003</v>
      </c>
    </row>
    <row r="2438" spans="1:6" x14ac:dyDescent="0.25">
      <c r="A2438">
        <v>245400</v>
      </c>
      <c r="B2438">
        <v>5.3912000000000004</v>
      </c>
      <c r="E2438">
        <v>245400</v>
      </c>
      <c r="F2438">
        <v>4.8986000000000001</v>
      </c>
    </row>
    <row r="2439" spans="1:6" x14ac:dyDescent="0.25">
      <c r="A2439">
        <v>245500</v>
      </c>
      <c r="B2439">
        <v>5.3914999999999997</v>
      </c>
      <c r="E2439">
        <v>245500</v>
      </c>
      <c r="F2439">
        <v>4.899</v>
      </c>
    </row>
    <row r="2440" spans="1:6" x14ac:dyDescent="0.25">
      <c r="A2440">
        <v>245600</v>
      </c>
      <c r="B2440">
        <v>5.3918999999999997</v>
      </c>
      <c r="E2440">
        <v>245600</v>
      </c>
      <c r="F2440">
        <v>4.8994</v>
      </c>
    </row>
    <row r="2441" spans="1:6" x14ac:dyDescent="0.25">
      <c r="A2441">
        <v>245700</v>
      </c>
      <c r="B2441">
        <v>5.3922999999999996</v>
      </c>
      <c r="E2441">
        <v>245700</v>
      </c>
      <c r="F2441">
        <v>4.8998999999999997</v>
      </c>
    </row>
    <row r="2442" spans="1:6" x14ac:dyDescent="0.25">
      <c r="A2442">
        <v>245800</v>
      </c>
      <c r="B2442">
        <v>5.3926999999999996</v>
      </c>
      <c r="E2442">
        <v>245800</v>
      </c>
      <c r="F2442">
        <v>4.9002999999999997</v>
      </c>
    </row>
    <row r="2443" spans="1:6" x14ac:dyDescent="0.25">
      <c r="A2443">
        <v>245900</v>
      </c>
      <c r="B2443">
        <v>5.3929999999999998</v>
      </c>
      <c r="E2443">
        <v>245900</v>
      </c>
      <c r="F2443">
        <v>4.9006999999999996</v>
      </c>
    </row>
    <row r="2444" spans="1:6" x14ac:dyDescent="0.25">
      <c r="A2444">
        <v>246000</v>
      </c>
      <c r="B2444">
        <v>5.3933999999999997</v>
      </c>
      <c r="E2444">
        <v>246000</v>
      </c>
      <c r="F2444">
        <v>4.9010999999999996</v>
      </c>
    </row>
    <row r="2445" spans="1:6" x14ac:dyDescent="0.25">
      <c r="A2445">
        <v>246100</v>
      </c>
      <c r="B2445">
        <v>5.3937999999999997</v>
      </c>
      <c r="E2445">
        <v>246100</v>
      </c>
      <c r="F2445">
        <v>4.9016000000000002</v>
      </c>
    </row>
    <row r="2446" spans="1:6" x14ac:dyDescent="0.25">
      <c r="A2446">
        <v>246200</v>
      </c>
      <c r="B2446">
        <v>5.3940999999999999</v>
      </c>
      <c r="E2446">
        <v>246200</v>
      </c>
      <c r="F2446">
        <v>4.9020000000000001</v>
      </c>
    </row>
    <row r="2447" spans="1:6" x14ac:dyDescent="0.25">
      <c r="A2447">
        <v>246300</v>
      </c>
      <c r="B2447">
        <v>5.3944999999999999</v>
      </c>
      <c r="E2447">
        <v>246300</v>
      </c>
      <c r="F2447">
        <v>4.9024000000000001</v>
      </c>
    </row>
    <row r="2448" spans="1:6" x14ac:dyDescent="0.25">
      <c r="A2448">
        <v>246400</v>
      </c>
      <c r="B2448">
        <v>5.3948999999999998</v>
      </c>
      <c r="E2448">
        <v>246400</v>
      </c>
      <c r="F2448">
        <v>4.9028</v>
      </c>
    </row>
    <row r="2449" spans="1:6" x14ac:dyDescent="0.25">
      <c r="A2449">
        <v>246500</v>
      </c>
      <c r="B2449">
        <v>5.3952</v>
      </c>
      <c r="E2449">
        <v>246500</v>
      </c>
      <c r="F2449">
        <v>4.9032999999999998</v>
      </c>
    </row>
    <row r="2450" spans="1:6" x14ac:dyDescent="0.25">
      <c r="A2450">
        <v>246600</v>
      </c>
      <c r="B2450">
        <v>5.3956</v>
      </c>
      <c r="E2450">
        <v>246600</v>
      </c>
      <c r="F2450">
        <v>4.9036999999999997</v>
      </c>
    </row>
    <row r="2451" spans="1:6" x14ac:dyDescent="0.25">
      <c r="A2451">
        <v>246700</v>
      </c>
      <c r="B2451">
        <v>5.3959999999999999</v>
      </c>
      <c r="E2451">
        <v>246700</v>
      </c>
      <c r="F2451">
        <v>4.9040999999999997</v>
      </c>
    </row>
    <row r="2452" spans="1:6" x14ac:dyDescent="0.25">
      <c r="A2452">
        <v>246800</v>
      </c>
      <c r="B2452">
        <v>5.3963000000000001</v>
      </c>
      <c r="E2452">
        <v>246800</v>
      </c>
      <c r="F2452">
        <v>4.9044999999999996</v>
      </c>
    </row>
    <row r="2453" spans="1:6" x14ac:dyDescent="0.25">
      <c r="A2453">
        <v>246900</v>
      </c>
      <c r="B2453">
        <v>5.3967000000000001</v>
      </c>
      <c r="E2453">
        <v>246900</v>
      </c>
      <c r="F2453">
        <v>4.9050000000000002</v>
      </c>
    </row>
    <row r="2454" spans="1:6" x14ac:dyDescent="0.25">
      <c r="A2454">
        <v>247000</v>
      </c>
      <c r="B2454">
        <v>5.3971</v>
      </c>
      <c r="E2454">
        <v>247000</v>
      </c>
      <c r="F2454">
        <v>4.9054000000000002</v>
      </c>
    </row>
    <row r="2455" spans="1:6" x14ac:dyDescent="0.25">
      <c r="A2455">
        <v>247100</v>
      </c>
      <c r="B2455">
        <v>5.3974000000000002</v>
      </c>
      <c r="E2455">
        <v>247100</v>
      </c>
      <c r="F2455">
        <v>4.9058000000000002</v>
      </c>
    </row>
    <row r="2456" spans="1:6" x14ac:dyDescent="0.25">
      <c r="A2456">
        <v>247200</v>
      </c>
      <c r="B2456">
        <v>5.3978000000000002</v>
      </c>
      <c r="E2456">
        <v>247200</v>
      </c>
      <c r="F2456">
        <v>4.9062000000000001</v>
      </c>
    </row>
    <row r="2457" spans="1:6" x14ac:dyDescent="0.25">
      <c r="A2457">
        <v>247300</v>
      </c>
      <c r="B2457">
        <v>5.3982000000000001</v>
      </c>
      <c r="E2457">
        <v>247300</v>
      </c>
      <c r="F2457">
        <v>4.9066999999999998</v>
      </c>
    </row>
    <row r="2458" spans="1:6" x14ac:dyDescent="0.25">
      <c r="A2458">
        <v>247400</v>
      </c>
      <c r="B2458">
        <v>5.3985000000000003</v>
      </c>
      <c r="E2458">
        <v>247400</v>
      </c>
      <c r="F2458">
        <v>4.9070999999999998</v>
      </c>
    </row>
    <row r="2459" spans="1:6" x14ac:dyDescent="0.25">
      <c r="A2459">
        <v>247500</v>
      </c>
      <c r="B2459">
        <v>5.3989000000000003</v>
      </c>
      <c r="E2459">
        <v>247500</v>
      </c>
      <c r="F2459">
        <v>4.9074999999999998</v>
      </c>
    </row>
    <row r="2460" spans="1:6" x14ac:dyDescent="0.25">
      <c r="A2460">
        <v>247600</v>
      </c>
      <c r="B2460">
        <v>5.3993000000000002</v>
      </c>
      <c r="E2460">
        <v>247600</v>
      </c>
      <c r="F2460">
        <v>4.9078999999999997</v>
      </c>
    </row>
    <row r="2461" spans="1:6" x14ac:dyDescent="0.25">
      <c r="A2461">
        <v>247700</v>
      </c>
      <c r="B2461">
        <v>5.3996000000000004</v>
      </c>
      <c r="E2461">
        <v>247700</v>
      </c>
      <c r="F2461">
        <v>4.9082999999999997</v>
      </c>
    </row>
    <row r="2462" spans="1:6" x14ac:dyDescent="0.25">
      <c r="A2462">
        <v>247800</v>
      </c>
      <c r="B2462">
        <v>5.4</v>
      </c>
      <c r="E2462">
        <v>247800</v>
      </c>
      <c r="F2462">
        <v>4.9088000000000003</v>
      </c>
    </row>
    <row r="2463" spans="1:6" x14ac:dyDescent="0.25">
      <c r="A2463">
        <v>247900</v>
      </c>
      <c r="B2463">
        <v>5.4002999999999997</v>
      </c>
      <c r="E2463">
        <v>247900</v>
      </c>
      <c r="F2463">
        <v>4.9092000000000002</v>
      </c>
    </row>
    <row r="2464" spans="1:6" x14ac:dyDescent="0.25">
      <c r="A2464">
        <v>248000</v>
      </c>
      <c r="B2464">
        <v>5.4006999999999996</v>
      </c>
      <c r="E2464">
        <v>248000</v>
      </c>
      <c r="F2464">
        <v>4.9096000000000002</v>
      </c>
    </row>
    <row r="2465" spans="1:6" x14ac:dyDescent="0.25">
      <c r="A2465">
        <v>248100</v>
      </c>
      <c r="B2465">
        <v>5.4010999999999996</v>
      </c>
      <c r="E2465">
        <v>248100</v>
      </c>
      <c r="F2465">
        <v>4.91</v>
      </c>
    </row>
    <row r="2466" spans="1:6" x14ac:dyDescent="0.25">
      <c r="A2466">
        <v>248200</v>
      </c>
      <c r="B2466">
        <v>5.4013999999999998</v>
      </c>
      <c r="E2466">
        <v>248200</v>
      </c>
      <c r="F2466">
        <v>4.9104000000000001</v>
      </c>
    </row>
    <row r="2467" spans="1:6" x14ac:dyDescent="0.25">
      <c r="A2467">
        <v>248300</v>
      </c>
      <c r="B2467">
        <v>5.4017999999999997</v>
      </c>
      <c r="E2467">
        <v>248300</v>
      </c>
      <c r="F2467">
        <v>4.9108999999999998</v>
      </c>
    </row>
    <row r="2468" spans="1:6" x14ac:dyDescent="0.25">
      <c r="A2468">
        <v>248400</v>
      </c>
      <c r="B2468">
        <v>5.4021999999999997</v>
      </c>
      <c r="E2468">
        <v>248400</v>
      </c>
      <c r="F2468">
        <v>4.9112999999999998</v>
      </c>
    </row>
    <row r="2469" spans="1:6" x14ac:dyDescent="0.25">
      <c r="A2469">
        <v>248500</v>
      </c>
      <c r="B2469">
        <v>5.4024999999999999</v>
      </c>
      <c r="E2469">
        <v>248500</v>
      </c>
      <c r="F2469">
        <v>4.9116999999999997</v>
      </c>
    </row>
    <row r="2470" spans="1:6" x14ac:dyDescent="0.25">
      <c r="A2470">
        <v>248600</v>
      </c>
      <c r="B2470">
        <v>5.4028999999999998</v>
      </c>
      <c r="E2470">
        <v>248600</v>
      </c>
      <c r="F2470">
        <v>4.9120999999999997</v>
      </c>
    </row>
    <row r="2471" spans="1:6" x14ac:dyDescent="0.25">
      <c r="A2471">
        <v>248700</v>
      </c>
      <c r="B2471">
        <v>5.4032</v>
      </c>
      <c r="E2471">
        <v>248700</v>
      </c>
      <c r="F2471">
        <v>4.9124999999999996</v>
      </c>
    </row>
    <row r="2472" spans="1:6" x14ac:dyDescent="0.25">
      <c r="A2472">
        <v>248800</v>
      </c>
      <c r="B2472">
        <v>5.4036</v>
      </c>
      <c r="E2472">
        <v>248800</v>
      </c>
      <c r="F2472">
        <v>4.9128999999999996</v>
      </c>
    </row>
    <row r="2473" spans="1:6" x14ac:dyDescent="0.25">
      <c r="A2473">
        <v>248900</v>
      </c>
      <c r="B2473">
        <v>5.4039999999999999</v>
      </c>
      <c r="E2473">
        <v>248900</v>
      </c>
      <c r="F2473">
        <v>4.9134000000000002</v>
      </c>
    </row>
    <row r="2474" spans="1:6" x14ac:dyDescent="0.25">
      <c r="A2474">
        <v>249000</v>
      </c>
      <c r="B2474">
        <v>5.4043000000000001</v>
      </c>
      <c r="E2474">
        <v>249000</v>
      </c>
      <c r="F2474">
        <v>4.9138000000000002</v>
      </c>
    </row>
    <row r="2475" spans="1:6" x14ac:dyDescent="0.25">
      <c r="A2475">
        <v>249100</v>
      </c>
      <c r="B2475">
        <v>5.4047000000000001</v>
      </c>
      <c r="E2475">
        <v>249100</v>
      </c>
      <c r="F2475">
        <v>4.9142000000000001</v>
      </c>
    </row>
    <row r="2476" spans="1:6" x14ac:dyDescent="0.25">
      <c r="A2476">
        <v>249200</v>
      </c>
      <c r="B2476">
        <v>5.4050000000000002</v>
      </c>
      <c r="E2476">
        <v>249200</v>
      </c>
      <c r="F2476">
        <v>4.9146000000000001</v>
      </c>
    </row>
    <row r="2477" spans="1:6" x14ac:dyDescent="0.25">
      <c r="A2477">
        <v>249300</v>
      </c>
      <c r="B2477">
        <v>5.4054000000000002</v>
      </c>
      <c r="E2477">
        <v>249300</v>
      </c>
      <c r="F2477">
        <v>4.915</v>
      </c>
    </row>
    <row r="2478" spans="1:6" x14ac:dyDescent="0.25">
      <c r="A2478">
        <v>249400</v>
      </c>
      <c r="B2478">
        <v>5.4058000000000002</v>
      </c>
      <c r="E2478">
        <v>249400</v>
      </c>
      <c r="F2478">
        <v>4.9154</v>
      </c>
    </row>
    <row r="2479" spans="1:6" x14ac:dyDescent="0.25">
      <c r="A2479">
        <v>249500</v>
      </c>
      <c r="B2479">
        <v>5.4061000000000003</v>
      </c>
      <c r="E2479">
        <v>249500</v>
      </c>
      <c r="F2479">
        <v>4.9158999999999997</v>
      </c>
    </row>
    <row r="2480" spans="1:6" x14ac:dyDescent="0.25">
      <c r="A2480">
        <v>249600</v>
      </c>
      <c r="B2480">
        <v>5.4065000000000003</v>
      </c>
      <c r="E2480">
        <v>249600</v>
      </c>
      <c r="F2480">
        <v>4.9162999999999997</v>
      </c>
    </row>
    <row r="2481" spans="1:6" x14ac:dyDescent="0.25">
      <c r="A2481">
        <v>249700</v>
      </c>
      <c r="B2481">
        <v>5.4067999999999996</v>
      </c>
      <c r="E2481">
        <v>249700</v>
      </c>
      <c r="F2481">
        <v>4.9166999999999996</v>
      </c>
    </row>
    <row r="2482" spans="1:6" x14ac:dyDescent="0.25">
      <c r="A2482">
        <v>249800</v>
      </c>
      <c r="B2482">
        <v>5.4071999999999996</v>
      </c>
      <c r="E2482">
        <v>249800</v>
      </c>
      <c r="F2482">
        <v>4.9170999999999996</v>
      </c>
    </row>
    <row r="2483" spans="1:6" x14ac:dyDescent="0.25">
      <c r="A2483">
        <v>249900</v>
      </c>
      <c r="B2483">
        <v>5.4074999999999998</v>
      </c>
      <c r="E2483">
        <v>249900</v>
      </c>
      <c r="F2483">
        <v>4.9175000000000004</v>
      </c>
    </row>
    <row r="2484" spans="1:6" x14ac:dyDescent="0.25">
      <c r="A2484">
        <v>250000</v>
      </c>
      <c r="B2484">
        <v>5.4078999999999997</v>
      </c>
      <c r="E2484">
        <v>250000</v>
      </c>
      <c r="F2484">
        <v>4.9179000000000004</v>
      </c>
    </row>
    <row r="2485" spans="1:6" x14ac:dyDescent="0.25">
      <c r="A2485">
        <v>251000</v>
      </c>
      <c r="B2485">
        <v>5.4115000000000002</v>
      </c>
      <c r="E2485">
        <v>251000</v>
      </c>
      <c r="F2485">
        <v>4.9219999999999997</v>
      </c>
    </row>
    <row r="2486" spans="1:6" x14ac:dyDescent="0.25">
      <c r="A2486">
        <v>252000</v>
      </c>
      <c r="B2486">
        <v>5.415</v>
      </c>
      <c r="E2486">
        <v>252000</v>
      </c>
      <c r="F2486">
        <v>4.9260999999999999</v>
      </c>
    </row>
    <row r="2487" spans="1:6" x14ac:dyDescent="0.25">
      <c r="A2487">
        <v>253000</v>
      </c>
      <c r="B2487">
        <v>5.4184999999999999</v>
      </c>
      <c r="E2487">
        <v>253000</v>
      </c>
      <c r="F2487">
        <v>4.9302000000000001</v>
      </c>
    </row>
    <row r="2488" spans="1:6" x14ac:dyDescent="0.25">
      <c r="A2488">
        <v>254000</v>
      </c>
      <c r="B2488">
        <v>5.4218999999999999</v>
      </c>
      <c r="E2488">
        <v>254000</v>
      </c>
      <c r="F2488">
        <v>4.9341999999999997</v>
      </c>
    </row>
    <row r="2489" spans="1:6" x14ac:dyDescent="0.25">
      <c r="A2489">
        <v>255000</v>
      </c>
      <c r="B2489">
        <v>5.4253999999999998</v>
      </c>
      <c r="E2489">
        <v>255000</v>
      </c>
      <c r="F2489">
        <v>4.9382000000000001</v>
      </c>
    </row>
    <row r="2490" spans="1:6" x14ac:dyDescent="0.25">
      <c r="A2490">
        <v>256000</v>
      </c>
      <c r="B2490">
        <v>5.4287999999999998</v>
      </c>
      <c r="E2490">
        <v>256000</v>
      </c>
      <c r="F2490">
        <v>4.9420999999999999</v>
      </c>
    </row>
    <row r="2491" spans="1:6" x14ac:dyDescent="0.25">
      <c r="A2491">
        <v>257000</v>
      </c>
      <c r="B2491">
        <v>5.4321999999999999</v>
      </c>
      <c r="E2491">
        <v>257000</v>
      </c>
      <c r="F2491">
        <v>4.9459999999999997</v>
      </c>
    </row>
    <row r="2492" spans="1:6" x14ac:dyDescent="0.25">
      <c r="A2492">
        <v>258000</v>
      </c>
      <c r="B2492">
        <v>5.4356</v>
      </c>
      <c r="E2492">
        <v>258000</v>
      </c>
      <c r="F2492">
        <v>4.9499000000000004</v>
      </c>
    </row>
    <row r="2493" spans="1:6" x14ac:dyDescent="0.25">
      <c r="A2493">
        <v>259000</v>
      </c>
      <c r="B2493">
        <v>5.4389000000000003</v>
      </c>
      <c r="E2493">
        <v>259000</v>
      </c>
      <c r="F2493">
        <v>4.9538000000000002</v>
      </c>
    </row>
    <row r="2494" spans="1:6" x14ac:dyDescent="0.25">
      <c r="A2494">
        <v>260000</v>
      </c>
      <c r="B2494">
        <v>5.4421999999999997</v>
      </c>
      <c r="E2494">
        <v>260000</v>
      </c>
      <c r="F2494">
        <v>4.9576000000000002</v>
      </c>
    </row>
    <row r="2495" spans="1:6" x14ac:dyDescent="0.25">
      <c r="A2495">
        <v>261000</v>
      </c>
      <c r="B2495">
        <v>5.4455</v>
      </c>
      <c r="E2495">
        <v>261000</v>
      </c>
      <c r="F2495">
        <v>4.9614000000000003</v>
      </c>
    </row>
    <row r="2496" spans="1:6" x14ac:dyDescent="0.25">
      <c r="A2496">
        <v>262000</v>
      </c>
      <c r="B2496">
        <v>5.4488000000000003</v>
      </c>
      <c r="E2496">
        <v>262000</v>
      </c>
      <c r="F2496">
        <v>4.9652000000000003</v>
      </c>
    </row>
    <row r="2497" spans="1:6" x14ac:dyDescent="0.25">
      <c r="A2497">
        <v>263000</v>
      </c>
      <c r="B2497">
        <v>5.452</v>
      </c>
      <c r="E2497">
        <v>263000</v>
      </c>
      <c r="F2497">
        <v>4.9688999999999997</v>
      </c>
    </row>
    <row r="2498" spans="1:6" x14ac:dyDescent="0.25">
      <c r="A2498">
        <v>264000</v>
      </c>
      <c r="B2498">
        <v>5.4551999999999996</v>
      </c>
      <c r="E2498">
        <v>264000</v>
      </c>
      <c r="F2498">
        <v>4.9726999999999997</v>
      </c>
    </row>
    <row r="2499" spans="1:6" x14ac:dyDescent="0.25">
      <c r="A2499">
        <v>265000</v>
      </c>
      <c r="B2499">
        <v>5.4584000000000001</v>
      </c>
      <c r="E2499">
        <v>265000</v>
      </c>
      <c r="F2499">
        <v>4.9763000000000002</v>
      </c>
    </row>
    <row r="2500" spans="1:6" x14ac:dyDescent="0.25">
      <c r="A2500">
        <v>266000</v>
      </c>
      <c r="B2500">
        <v>5.4615999999999998</v>
      </c>
      <c r="E2500">
        <v>266000</v>
      </c>
      <c r="F2500">
        <v>4.9800000000000004</v>
      </c>
    </row>
    <row r="2501" spans="1:6" x14ac:dyDescent="0.25">
      <c r="A2501">
        <v>267000</v>
      </c>
      <c r="B2501">
        <v>5.4646999999999997</v>
      </c>
      <c r="E2501">
        <v>267000</v>
      </c>
      <c r="F2501">
        <v>4.9836</v>
      </c>
    </row>
    <row r="2502" spans="1:6" x14ac:dyDescent="0.25">
      <c r="A2502">
        <v>268000</v>
      </c>
      <c r="B2502">
        <v>5.4678000000000004</v>
      </c>
      <c r="E2502">
        <v>268000</v>
      </c>
      <c r="F2502">
        <v>4.9871999999999996</v>
      </c>
    </row>
    <row r="2503" spans="1:6" x14ac:dyDescent="0.25">
      <c r="A2503">
        <v>269000</v>
      </c>
      <c r="B2503">
        <v>5.4709000000000003</v>
      </c>
      <c r="E2503">
        <v>269000</v>
      </c>
      <c r="F2503">
        <v>4.9908000000000001</v>
      </c>
    </row>
    <row r="2504" spans="1:6" x14ac:dyDescent="0.25">
      <c r="A2504">
        <v>270000</v>
      </c>
      <c r="B2504">
        <v>5.4740000000000002</v>
      </c>
      <c r="E2504">
        <v>270000</v>
      </c>
      <c r="F2504">
        <v>4.9943999999999997</v>
      </c>
    </row>
    <row r="2505" spans="1:6" x14ac:dyDescent="0.25">
      <c r="A2505">
        <v>271000</v>
      </c>
      <c r="B2505">
        <v>5.4770000000000003</v>
      </c>
      <c r="E2505">
        <v>271000</v>
      </c>
      <c r="F2505">
        <v>4.9978999999999996</v>
      </c>
    </row>
    <row r="2506" spans="1:6" x14ac:dyDescent="0.25">
      <c r="A2506">
        <v>272000</v>
      </c>
      <c r="B2506">
        <v>5.4801000000000002</v>
      </c>
      <c r="E2506">
        <v>272000</v>
      </c>
      <c r="F2506">
        <v>5.0014000000000003</v>
      </c>
    </row>
    <row r="2507" spans="1:6" x14ac:dyDescent="0.25">
      <c r="A2507">
        <v>273000</v>
      </c>
      <c r="B2507">
        <v>5.4831000000000003</v>
      </c>
      <c r="E2507">
        <v>273000</v>
      </c>
      <c r="F2507">
        <v>5.0049000000000001</v>
      </c>
    </row>
    <row r="2508" spans="1:6" x14ac:dyDescent="0.25">
      <c r="A2508">
        <v>274000</v>
      </c>
      <c r="B2508">
        <v>5.4859999999999998</v>
      </c>
      <c r="E2508">
        <v>274000</v>
      </c>
      <c r="F2508">
        <v>5.0083000000000002</v>
      </c>
    </row>
    <row r="2509" spans="1:6" x14ac:dyDescent="0.25">
      <c r="A2509">
        <v>275000</v>
      </c>
      <c r="B2509">
        <v>5.4889999999999999</v>
      </c>
      <c r="E2509">
        <v>275000</v>
      </c>
      <c r="F2509">
        <v>5.0117000000000003</v>
      </c>
    </row>
    <row r="2510" spans="1:6" x14ac:dyDescent="0.25">
      <c r="A2510">
        <v>276000</v>
      </c>
      <c r="B2510">
        <v>5.4919000000000002</v>
      </c>
      <c r="E2510">
        <v>276000</v>
      </c>
      <c r="F2510">
        <v>5.0151000000000003</v>
      </c>
    </row>
    <row r="2511" spans="1:6" x14ac:dyDescent="0.25">
      <c r="A2511">
        <v>277000</v>
      </c>
      <c r="B2511">
        <v>5.4949000000000003</v>
      </c>
      <c r="E2511">
        <v>277000</v>
      </c>
      <c r="F2511">
        <v>5.0185000000000004</v>
      </c>
    </row>
    <row r="2512" spans="1:6" x14ac:dyDescent="0.25">
      <c r="A2512">
        <v>278000</v>
      </c>
      <c r="B2512">
        <v>5.4977999999999998</v>
      </c>
      <c r="E2512">
        <v>278000</v>
      </c>
      <c r="F2512">
        <v>5.0218999999999996</v>
      </c>
    </row>
    <row r="2513" spans="1:6" x14ac:dyDescent="0.25">
      <c r="A2513">
        <v>279000</v>
      </c>
      <c r="B2513">
        <v>5.5006000000000004</v>
      </c>
      <c r="E2513">
        <v>279000</v>
      </c>
      <c r="F2513">
        <v>5.0251999999999999</v>
      </c>
    </row>
    <row r="2514" spans="1:6" x14ac:dyDescent="0.25">
      <c r="A2514">
        <v>280000</v>
      </c>
      <c r="B2514">
        <v>5.5034999999999998</v>
      </c>
      <c r="E2514">
        <v>280000</v>
      </c>
      <c r="F2514">
        <v>5.0285000000000002</v>
      </c>
    </row>
    <row r="2515" spans="1:6" x14ac:dyDescent="0.25">
      <c r="A2515">
        <v>281000</v>
      </c>
      <c r="B2515">
        <v>5.5063000000000004</v>
      </c>
      <c r="E2515">
        <v>281000</v>
      </c>
      <c r="F2515">
        <v>5.0317999999999996</v>
      </c>
    </row>
    <row r="2516" spans="1:6" x14ac:dyDescent="0.25">
      <c r="A2516">
        <v>282000</v>
      </c>
      <c r="B2516">
        <v>5.5091000000000001</v>
      </c>
      <c r="E2516">
        <v>282000</v>
      </c>
      <c r="F2516">
        <v>5.0350000000000001</v>
      </c>
    </row>
    <row r="2517" spans="1:6" x14ac:dyDescent="0.25">
      <c r="A2517">
        <v>283000</v>
      </c>
      <c r="B2517">
        <v>5.5118999999999998</v>
      </c>
      <c r="E2517">
        <v>283000</v>
      </c>
      <c r="F2517">
        <v>5.0382999999999996</v>
      </c>
    </row>
    <row r="2518" spans="1:6" x14ac:dyDescent="0.25">
      <c r="A2518">
        <v>284000</v>
      </c>
      <c r="B2518">
        <v>5.5147000000000004</v>
      </c>
      <c r="E2518">
        <v>284000</v>
      </c>
      <c r="F2518">
        <v>5.0415999999999999</v>
      </c>
    </row>
    <row r="2519" spans="1:6" x14ac:dyDescent="0.25">
      <c r="A2519">
        <v>285000</v>
      </c>
      <c r="B2519">
        <v>5.5175000000000001</v>
      </c>
      <c r="E2519">
        <v>285000</v>
      </c>
      <c r="F2519">
        <v>5.0456000000000003</v>
      </c>
    </row>
    <row r="2520" spans="1:6" x14ac:dyDescent="0.25">
      <c r="A2520">
        <v>286000</v>
      </c>
      <c r="B2520">
        <v>5.5202</v>
      </c>
      <c r="E2520">
        <v>286000</v>
      </c>
      <c r="F2520">
        <v>5.0496999999999996</v>
      </c>
    </row>
    <row r="2521" spans="1:6" x14ac:dyDescent="0.25">
      <c r="A2521">
        <v>287000</v>
      </c>
      <c r="B2521">
        <v>5.5228999999999999</v>
      </c>
      <c r="E2521">
        <v>287000</v>
      </c>
      <c r="F2521">
        <v>5.0537000000000001</v>
      </c>
    </row>
    <row r="2522" spans="1:6" x14ac:dyDescent="0.25">
      <c r="A2522">
        <v>288000</v>
      </c>
      <c r="B2522">
        <v>5.5255999999999998</v>
      </c>
      <c r="E2522">
        <v>288000</v>
      </c>
      <c r="F2522">
        <v>5.0576999999999996</v>
      </c>
    </row>
    <row r="2523" spans="1:6" x14ac:dyDescent="0.25">
      <c r="A2523">
        <v>289000</v>
      </c>
      <c r="B2523">
        <v>5.5282999999999998</v>
      </c>
      <c r="E2523">
        <v>289000</v>
      </c>
      <c r="F2523">
        <v>5.0616000000000003</v>
      </c>
    </row>
    <row r="2524" spans="1:6" x14ac:dyDescent="0.25">
      <c r="A2524">
        <v>290000</v>
      </c>
      <c r="B2524">
        <v>5.5308999999999999</v>
      </c>
      <c r="E2524">
        <v>290000</v>
      </c>
      <c r="F2524">
        <v>5.0655000000000001</v>
      </c>
    </row>
    <row r="2525" spans="1:6" x14ac:dyDescent="0.25">
      <c r="A2525">
        <v>291000</v>
      </c>
      <c r="B2525">
        <v>5.5335999999999999</v>
      </c>
      <c r="E2525">
        <v>291000</v>
      </c>
      <c r="F2525">
        <v>5.0693999999999999</v>
      </c>
    </row>
    <row r="2526" spans="1:6" x14ac:dyDescent="0.25">
      <c r="A2526">
        <v>292000</v>
      </c>
      <c r="B2526">
        <v>5.5362</v>
      </c>
      <c r="E2526">
        <v>292000</v>
      </c>
      <c r="F2526">
        <v>5.0732999999999997</v>
      </c>
    </row>
    <row r="2527" spans="1:6" x14ac:dyDescent="0.25">
      <c r="A2527">
        <v>293000</v>
      </c>
      <c r="B2527">
        <v>5.5388000000000002</v>
      </c>
      <c r="E2527">
        <v>293000</v>
      </c>
      <c r="F2527">
        <v>5.0772000000000004</v>
      </c>
    </row>
    <row r="2528" spans="1:6" x14ac:dyDescent="0.25">
      <c r="A2528">
        <v>294000</v>
      </c>
      <c r="B2528">
        <v>5.5414000000000003</v>
      </c>
      <c r="E2528">
        <v>294000</v>
      </c>
      <c r="F2528">
        <v>5.0810000000000004</v>
      </c>
    </row>
    <row r="2529" spans="1:6" x14ac:dyDescent="0.25">
      <c r="A2529">
        <v>295000</v>
      </c>
      <c r="B2529">
        <v>5.5439999999999996</v>
      </c>
      <c r="E2529">
        <v>295000</v>
      </c>
      <c r="F2529">
        <v>5.0848000000000004</v>
      </c>
    </row>
    <row r="2530" spans="1:6" x14ac:dyDescent="0.25">
      <c r="A2530">
        <v>296000</v>
      </c>
      <c r="B2530">
        <v>5.5465</v>
      </c>
      <c r="E2530">
        <v>296000</v>
      </c>
      <c r="F2530">
        <v>5.0884999999999998</v>
      </c>
    </row>
    <row r="2531" spans="1:6" x14ac:dyDescent="0.25">
      <c r="A2531">
        <v>297000</v>
      </c>
      <c r="B2531">
        <v>5.5491000000000001</v>
      </c>
      <c r="E2531">
        <v>297000</v>
      </c>
      <c r="F2531">
        <v>5.0922999999999998</v>
      </c>
    </row>
    <row r="2532" spans="1:6" x14ac:dyDescent="0.25">
      <c r="A2532">
        <v>298000</v>
      </c>
      <c r="B2532">
        <v>5.5515999999999996</v>
      </c>
      <c r="E2532">
        <v>298000</v>
      </c>
      <c r="F2532">
        <v>5.0960000000000001</v>
      </c>
    </row>
    <row r="2533" spans="1:6" x14ac:dyDescent="0.25">
      <c r="A2533">
        <v>299000</v>
      </c>
      <c r="B2533">
        <v>5.5541</v>
      </c>
      <c r="E2533">
        <v>299000</v>
      </c>
      <c r="F2533">
        <v>5.0997000000000003</v>
      </c>
    </row>
    <row r="2534" spans="1:6" x14ac:dyDescent="0.25">
      <c r="A2534">
        <v>300000</v>
      </c>
      <c r="B2534">
        <v>5.5566000000000004</v>
      </c>
      <c r="E2534">
        <v>300000</v>
      </c>
      <c r="F2534">
        <v>5.1033999999999997</v>
      </c>
    </row>
    <row r="2535" spans="1:6" x14ac:dyDescent="0.25">
      <c r="A2535">
        <v>301000</v>
      </c>
      <c r="B2535">
        <v>5.5590999999999999</v>
      </c>
      <c r="E2535">
        <v>301000</v>
      </c>
      <c r="F2535">
        <v>5.1070000000000002</v>
      </c>
    </row>
    <row r="2536" spans="1:6" x14ac:dyDescent="0.25">
      <c r="A2536">
        <v>302000</v>
      </c>
      <c r="B2536">
        <v>5.5614999999999997</v>
      </c>
      <c r="E2536">
        <v>302000</v>
      </c>
      <c r="F2536">
        <v>5.1105999999999998</v>
      </c>
    </row>
    <row r="2537" spans="1:6" x14ac:dyDescent="0.25">
      <c r="A2537">
        <v>303000</v>
      </c>
      <c r="B2537">
        <v>5.5639000000000003</v>
      </c>
      <c r="E2537">
        <v>303000</v>
      </c>
      <c r="F2537">
        <v>5.1142000000000003</v>
      </c>
    </row>
    <row r="2538" spans="1:6" x14ac:dyDescent="0.25">
      <c r="A2538">
        <v>304000</v>
      </c>
      <c r="B2538">
        <v>5.5663999999999998</v>
      </c>
      <c r="E2538">
        <v>304000</v>
      </c>
      <c r="F2538">
        <v>5.1177999999999999</v>
      </c>
    </row>
    <row r="2539" spans="1:6" x14ac:dyDescent="0.25">
      <c r="A2539">
        <v>305000</v>
      </c>
      <c r="B2539">
        <v>5.5688000000000004</v>
      </c>
      <c r="E2539">
        <v>305000</v>
      </c>
      <c r="F2539">
        <v>5.1212999999999997</v>
      </c>
    </row>
    <row r="2540" spans="1:6" x14ac:dyDescent="0.25">
      <c r="A2540">
        <v>306000</v>
      </c>
      <c r="B2540">
        <v>5.5712000000000002</v>
      </c>
      <c r="E2540">
        <v>306000</v>
      </c>
      <c r="F2540">
        <v>5.1249000000000002</v>
      </c>
    </row>
    <row r="2541" spans="1:6" x14ac:dyDescent="0.25">
      <c r="A2541">
        <v>307000</v>
      </c>
      <c r="B2541">
        <v>5.5735000000000001</v>
      </c>
      <c r="E2541">
        <v>307000</v>
      </c>
      <c r="F2541">
        <v>5.1284000000000001</v>
      </c>
    </row>
    <row r="2542" spans="1:6" x14ac:dyDescent="0.25">
      <c r="A2542">
        <v>308000</v>
      </c>
      <c r="B2542">
        <v>5.5758999999999999</v>
      </c>
      <c r="E2542">
        <v>308000</v>
      </c>
      <c r="F2542">
        <v>5.1318000000000001</v>
      </c>
    </row>
    <row r="2543" spans="1:6" x14ac:dyDescent="0.25">
      <c r="A2543">
        <v>309000</v>
      </c>
      <c r="B2543">
        <v>5.5781999999999998</v>
      </c>
      <c r="E2543">
        <v>309000</v>
      </c>
      <c r="F2543">
        <v>5.1353</v>
      </c>
    </row>
    <row r="2544" spans="1:6" x14ac:dyDescent="0.25">
      <c r="A2544">
        <v>310000</v>
      </c>
      <c r="B2544">
        <v>5.5805999999999996</v>
      </c>
      <c r="E2544">
        <v>310000</v>
      </c>
      <c r="F2544">
        <v>5.1387</v>
      </c>
    </row>
    <row r="2545" spans="1:6" x14ac:dyDescent="0.25">
      <c r="A2545">
        <v>311000</v>
      </c>
      <c r="B2545">
        <v>5.5829000000000004</v>
      </c>
      <c r="E2545">
        <v>311000</v>
      </c>
      <c r="F2545">
        <v>5.1421000000000001</v>
      </c>
    </row>
    <row r="2546" spans="1:6" x14ac:dyDescent="0.25">
      <c r="A2546">
        <v>312000</v>
      </c>
      <c r="B2546">
        <v>5.5853999999999999</v>
      </c>
      <c r="E2546">
        <v>312000</v>
      </c>
      <c r="F2546">
        <v>5.1455000000000002</v>
      </c>
    </row>
    <row r="2547" spans="1:6" x14ac:dyDescent="0.25">
      <c r="A2547">
        <v>313000</v>
      </c>
      <c r="B2547">
        <v>5.5880000000000001</v>
      </c>
      <c r="E2547">
        <v>313000</v>
      </c>
      <c r="F2547">
        <v>5.1489000000000003</v>
      </c>
    </row>
    <row r="2548" spans="1:6" x14ac:dyDescent="0.25">
      <c r="A2548">
        <v>314000</v>
      </c>
      <c r="B2548">
        <v>5.5906000000000002</v>
      </c>
      <c r="E2548">
        <v>314000</v>
      </c>
      <c r="F2548">
        <v>5.1521999999999997</v>
      </c>
    </row>
    <row r="2549" spans="1:6" x14ac:dyDescent="0.25">
      <c r="A2549">
        <v>315000</v>
      </c>
      <c r="B2549">
        <v>5.5930999999999997</v>
      </c>
      <c r="E2549">
        <v>315000</v>
      </c>
      <c r="F2549">
        <v>5.1555999999999997</v>
      </c>
    </row>
    <row r="2550" spans="1:6" x14ac:dyDescent="0.25">
      <c r="A2550">
        <v>316000</v>
      </c>
      <c r="B2550">
        <v>5.5956999999999999</v>
      </c>
      <c r="E2550">
        <v>316000</v>
      </c>
      <c r="F2550">
        <v>5.1589</v>
      </c>
    </row>
    <row r="2551" spans="1:6" x14ac:dyDescent="0.25">
      <c r="A2551">
        <v>317000</v>
      </c>
      <c r="B2551">
        <v>5.5982000000000003</v>
      </c>
      <c r="E2551">
        <v>317000</v>
      </c>
      <c r="F2551">
        <v>5.1622000000000003</v>
      </c>
    </row>
    <row r="2552" spans="1:6" x14ac:dyDescent="0.25">
      <c r="A2552">
        <v>318000</v>
      </c>
      <c r="B2552">
        <v>5.6006999999999998</v>
      </c>
      <c r="E2552">
        <v>318000</v>
      </c>
      <c r="F2552">
        <v>5.1654</v>
      </c>
    </row>
    <row r="2553" spans="1:6" x14ac:dyDescent="0.25">
      <c r="A2553">
        <v>319000</v>
      </c>
      <c r="B2553">
        <v>5.6032000000000002</v>
      </c>
      <c r="E2553">
        <v>319000</v>
      </c>
      <c r="F2553">
        <v>5.1687000000000003</v>
      </c>
    </row>
    <row r="2554" spans="1:6" x14ac:dyDescent="0.25">
      <c r="A2554">
        <v>320000</v>
      </c>
      <c r="B2554">
        <v>5.6056999999999997</v>
      </c>
      <c r="E2554">
        <v>320000</v>
      </c>
      <c r="F2554">
        <v>5.1718999999999999</v>
      </c>
    </row>
    <row r="2555" spans="1:6" x14ac:dyDescent="0.25">
      <c r="A2555">
        <v>321000</v>
      </c>
      <c r="B2555">
        <v>5.6082000000000001</v>
      </c>
      <c r="E2555">
        <v>321000</v>
      </c>
      <c r="F2555">
        <v>5.1750999999999996</v>
      </c>
    </row>
    <row r="2556" spans="1:6" x14ac:dyDescent="0.25">
      <c r="A2556">
        <v>322000</v>
      </c>
      <c r="B2556">
        <v>5.6106999999999996</v>
      </c>
      <c r="E2556">
        <v>322000</v>
      </c>
      <c r="F2556">
        <v>5.1783000000000001</v>
      </c>
    </row>
    <row r="2557" spans="1:6" x14ac:dyDescent="0.25">
      <c r="A2557">
        <v>323000</v>
      </c>
      <c r="B2557">
        <v>5.6131000000000002</v>
      </c>
      <c r="E2557">
        <v>323000</v>
      </c>
      <c r="F2557">
        <v>5.1814</v>
      </c>
    </row>
    <row r="2558" spans="1:6" x14ac:dyDescent="0.25">
      <c r="A2558">
        <v>324000</v>
      </c>
      <c r="B2558">
        <v>5.6154999999999999</v>
      </c>
      <c r="E2558">
        <v>324000</v>
      </c>
      <c r="F2558">
        <v>5.1845999999999997</v>
      </c>
    </row>
    <row r="2559" spans="1:6" x14ac:dyDescent="0.25">
      <c r="A2559">
        <v>325000</v>
      </c>
      <c r="B2559">
        <v>5.6180000000000003</v>
      </c>
      <c r="E2559">
        <v>325000</v>
      </c>
      <c r="F2559">
        <v>5.1877000000000004</v>
      </c>
    </row>
    <row r="2560" spans="1:6" x14ac:dyDescent="0.25">
      <c r="A2560">
        <v>326000</v>
      </c>
      <c r="B2560">
        <v>5.6204000000000001</v>
      </c>
      <c r="E2560">
        <v>326000</v>
      </c>
      <c r="F2560">
        <v>5.1908000000000003</v>
      </c>
    </row>
    <row r="2561" spans="1:6" x14ac:dyDescent="0.25">
      <c r="A2561">
        <v>327000</v>
      </c>
      <c r="B2561">
        <v>5.6227</v>
      </c>
      <c r="E2561">
        <v>327000</v>
      </c>
      <c r="F2561">
        <v>5.1939000000000002</v>
      </c>
    </row>
    <row r="2562" spans="1:6" x14ac:dyDescent="0.25">
      <c r="A2562">
        <v>328000</v>
      </c>
      <c r="B2562">
        <v>5.6250999999999998</v>
      </c>
      <c r="E2562">
        <v>328000</v>
      </c>
      <c r="F2562">
        <v>5.1970000000000001</v>
      </c>
    </row>
    <row r="2563" spans="1:6" x14ac:dyDescent="0.25">
      <c r="A2563">
        <v>329000</v>
      </c>
      <c r="B2563">
        <v>5.6275000000000004</v>
      </c>
      <c r="E2563">
        <v>329000</v>
      </c>
      <c r="F2563">
        <v>5.2</v>
      </c>
    </row>
    <row r="2564" spans="1:6" x14ac:dyDescent="0.25">
      <c r="A2564">
        <v>330000</v>
      </c>
      <c r="B2564">
        <v>5.6298000000000004</v>
      </c>
      <c r="E2564">
        <v>330000</v>
      </c>
      <c r="F2564">
        <v>5.2030000000000003</v>
      </c>
    </row>
    <row r="2565" spans="1:6" x14ac:dyDescent="0.25">
      <c r="A2565">
        <v>331000</v>
      </c>
      <c r="B2565">
        <v>5.6321000000000003</v>
      </c>
      <c r="E2565">
        <v>331000</v>
      </c>
      <c r="F2565">
        <v>5.2061000000000002</v>
      </c>
    </row>
    <row r="2566" spans="1:6" x14ac:dyDescent="0.25">
      <c r="A2566">
        <v>332000</v>
      </c>
      <c r="B2566">
        <v>5.6344000000000003</v>
      </c>
      <c r="E2566">
        <v>332000</v>
      </c>
      <c r="F2566">
        <v>5.2091000000000003</v>
      </c>
    </row>
    <row r="2567" spans="1:6" x14ac:dyDescent="0.25">
      <c r="A2567">
        <v>333000</v>
      </c>
      <c r="B2567">
        <v>5.6367000000000003</v>
      </c>
      <c r="E2567">
        <v>333000</v>
      </c>
      <c r="F2567">
        <v>5.2119999999999997</v>
      </c>
    </row>
    <row r="2568" spans="1:6" x14ac:dyDescent="0.25">
      <c r="A2568">
        <v>334000</v>
      </c>
      <c r="B2568">
        <v>5.6390000000000002</v>
      </c>
      <c r="E2568">
        <v>334000</v>
      </c>
      <c r="F2568">
        <v>5.2149999999999999</v>
      </c>
    </row>
    <row r="2569" spans="1:6" x14ac:dyDescent="0.25">
      <c r="A2569">
        <v>335000</v>
      </c>
      <c r="B2569">
        <v>5.6413000000000002</v>
      </c>
      <c r="E2569">
        <v>335000</v>
      </c>
      <c r="F2569">
        <v>5.2179000000000002</v>
      </c>
    </row>
    <row r="2570" spans="1:6" x14ac:dyDescent="0.25">
      <c r="A2570">
        <v>336000</v>
      </c>
      <c r="B2570">
        <v>5.6436000000000002</v>
      </c>
      <c r="E2570">
        <v>336000</v>
      </c>
      <c r="F2570">
        <v>5.2207999999999997</v>
      </c>
    </row>
    <row r="2571" spans="1:6" x14ac:dyDescent="0.25">
      <c r="A2571">
        <v>337000</v>
      </c>
      <c r="B2571">
        <v>5.6458000000000004</v>
      </c>
      <c r="E2571">
        <v>337000</v>
      </c>
      <c r="F2571">
        <v>5.2237999999999998</v>
      </c>
    </row>
    <row r="2572" spans="1:6" x14ac:dyDescent="0.25">
      <c r="A2572">
        <v>338000</v>
      </c>
      <c r="B2572">
        <v>5.6479999999999997</v>
      </c>
      <c r="E2572">
        <v>338000</v>
      </c>
      <c r="F2572">
        <v>5.2271999999999998</v>
      </c>
    </row>
    <row r="2573" spans="1:6" x14ac:dyDescent="0.25">
      <c r="A2573">
        <v>339000</v>
      </c>
      <c r="B2573">
        <v>5.6502999999999997</v>
      </c>
      <c r="E2573">
        <v>339000</v>
      </c>
      <c r="F2573">
        <v>5.2306999999999997</v>
      </c>
    </row>
    <row r="2574" spans="1:6" x14ac:dyDescent="0.25">
      <c r="A2574">
        <v>340000</v>
      </c>
      <c r="B2574">
        <v>5.6524999999999999</v>
      </c>
      <c r="E2574">
        <v>340000</v>
      </c>
      <c r="F2574">
        <v>5.2340999999999998</v>
      </c>
    </row>
    <row r="2575" spans="1:6" x14ac:dyDescent="0.25">
      <c r="A2575">
        <v>341000</v>
      </c>
      <c r="B2575">
        <v>5.6546000000000003</v>
      </c>
      <c r="E2575">
        <v>341000</v>
      </c>
      <c r="F2575">
        <v>5.2375999999999996</v>
      </c>
    </row>
    <row r="2576" spans="1:6" x14ac:dyDescent="0.25">
      <c r="A2576">
        <v>342000</v>
      </c>
      <c r="B2576">
        <v>5.6567999999999996</v>
      </c>
      <c r="E2576">
        <v>342000</v>
      </c>
      <c r="F2576">
        <v>5.2409999999999997</v>
      </c>
    </row>
    <row r="2577" spans="1:6" x14ac:dyDescent="0.25">
      <c r="A2577">
        <v>343000</v>
      </c>
      <c r="B2577">
        <v>5.6589999999999998</v>
      </c>
      <c r="E2577">
        <v>343000</v>
      </c>
      <c r="F2577">
        <v>5.2443</v>
      </c>
    </row>
    <row r="2578" spans="1:6" x14ac:dyDescent="0.25">
      <c r="A2578">
        <v>344000</v>
      </c>
      <c r="B2578">
        <v>5.6611000000000002</v>
      </c>
      <c r="E2578">
        <v>344000</v>
      </c>
      <c r="F2578">
        <v>5.2477</v>
      </c>
    </row>
    <row r="2579" spans="1:6" x14ac:dyDescent="0.25">
      <c r="A2579">
        <v>345000</v>
      </c>
      <c r="B2579">
        <v>5.6632999999999996</v>
      </c>
      <c r="E2579">
        <v>345000</v>
      </c>
      <c r="F2579">
        <v>5.2510000000000003</v>
      </c>
    </row>
    <row r="2580" spans="1:6" x14ac:dyDescent="0.25">
      <c r="A2580">
        <v>346000</v>
      </c>
      <c r="B2580">
        <v>5.6654</v>
      </c>
      <c r="E2580">
        <v>346000</v>
      </c>
      <c r="F2580">
        <v>5.2542999999999997</v>
      </c>
    </row>
    <row r="2581" spans="1:6" x14ac:dyDescent="0.25">
      <c r="A2581">
        <v>347000</v>
      </c>
      <c r="B2581">
        <v>5.6675000000000004</v>
      </c>
      <c r="E2581">
        <v>347000</v>
      </c>
      <c r="F2581">
        <v>5.2576999999999998</v>
      </c>
    </row>
    <row r="2582" spans="1:6" x14ac:dyDescent="0.25">
      <c r="A2582">
        <v>348000</v>
      </c>
      <c r="B2582">
        <v>5.6696</v>
      </c>
      <c r="E2582">
        <v>348000</v>
      </c>
      <c r="F2582">
        <v>5.2609000000000004</v>
      </c>
    </row>
    <row r="2583" spans="1:6" x14ac:dyDescent="0.25">
      <c r="A2583">
        <v>349000</v>
      </c>
      <c r="B2583">
        <v>5.6717000000000004</v>
      </c>
      <c r="E2583">
        <v>349000</v>
      </c>
      <c r="F2583">
        <v>5.2641999999999998</v>
      </c>
    </row>
    <row r="2584" spans="1:6" x14ac:dyDescent="0.25">
      <c r="A2584">
        <v>350000</v>
      </c>
      <c r="B2584">
        <v>5.6738</v>
      </c>
      <c r="E2584">
        <v>350000</v>
      </c>
      <c r="F2584">
        <v>5.2674000000000003</v>
      </c>
    </row>
    <row r="2585" spans="1:6" x14ac:dyDescent="0.25">
      <c r="A2585">
        <v>351000</v>
      </c>
      <c r="B2585">
        <v>5.6759000000000004</v>
      </c>
      <c r="E2585">
        <v>351000</v>
      </c>
      <c r="F2585">
        <v>5.2706999999999997</v>
      </c>
    </row>
    <row r="2586" spans="1:6" x14ac:dyDescent="0.25">
      <c r="A2586">
        <v>352000</v>
      </c>
      <c r="B2586">
        <v>5.6779000000000002</v>
      </c>
      <c r="E2586">
        <v>352000</v>
      </c>
      <c r="F2586">
        <v>5.2739000000000003</v>
      </c>
    </row>
    <row r="2587" spans="1:6" x14ac:dyDescent="0.25">
      <c r="A2587">
        <v>353000</v>
      </c>
      <c r="B2587">
        <v>5.68</v>
      </c>
      <c r="E2587">
        <v>353000</v>
      </c>
      <c r="F2587">
        <v>5.2770999999999999</v>
      </c>
    </row>
    <row r="2588" spans="1:6" x14ac:dyDescent="0.25">
      <c r="A2588">
        <v>354000</v>
      </c>
      <c r="B2588">
        <v>5.6820000000000004</v>
      </c>
      <c r="E2588">
        <v>354000</v>
      </c>
      <c r="F2588">
        <v>5.2801999999999998</v>
      </c>
    </row>
    <row r="2589" spans="1:6" x14ac:dyDescent="0.25">
      <c r="A2589">
        <v>355000</v>
      </c>
      <c r="B2589">
        <v>5.6840000000000002</v>
      </c>
      <c r="E2589">
        <v>355000</v>
      </c>
      <c r="F2589">
        <v>5.2834000000000003</v>
      </c>
    </row>
    <row r="2590" spans="1:6" x14ac:dyDescent="0.25">
      <c r="A2590">
        <v>356000</v>
      </c>
      <c r="B2590">
        <v>5.6860999999999997</v>
      </c>
      <c r="E2590">
        <v>356000</v>
      </c>
      <c r="F2590">
        <v>5.2865000000000002</v>
      </c>
    </row>
    <row r="2591" spans="1:6" x14ac:dyDescent="0.25">
      <c r="A2591">
        <v>357000</v>
      </c>
      <c r="B2591">
        <v>5.6881000000000004</v>
      </c>
      <c r="E2591">
        <v>357000</v>
      </c>
      <c r="F2591">
        <v>5.2896000000000001</v>
      </c>
    </row>
    <row r="2592" spans="1:6" x14ac:dyDescent="0.25">
      <c r="A2592">
        <v>358000</v>
      </c>
      <c r="B2592">
        <v>5.69</v>
      </c>
      <c r="E2592">
        <v>358000</v>
      </c>
      <c r="F2592">
        <v>5.2927999999999997</v>
      </c>
    </row>
    <row r="2593" spans="1:6" x14ac:dyDescent="0.25">
      <c r="A2593">
        <v>359000</v>
      </c>
      <c r="B2593">
        <v>5.6920000000000002</v>
      </c>
      <c r="E2593">
        <v>359000</v>
      </c>
      <c r="F2593">
        <v>5.2957999999999998</v>
      </c>
    </row>
    <row r="2594" spans="1:6" x14ac:dyDescent="0.25">
      <c r="A2594">
        <v>360000</v>
      </c>
      <c r="B2594">
        <v>5.694</v>
      </c>
      <c r="E2594">
        <v>360000</v>
      </c>
      <c r="F2594">
        <v>5.2988999999999997</v>
      </c>
    </row>
    <row r="2595" spans="1:6" x14ac:dyDescent="0.25">
      <c r="A2595">
        <v>361000</v>
      </c>
      <c r="B2595">
        <v>5.6959</v>
      </c>
      <c r="E2595">
        <v>361000</v>
      </c>
      <c r="F2595">
        <v>5.3019999999999996</v>
      </c>
    </row>
    <row r="2596" spans="1:6" x14ac:dyDescent="0.25">
      <c r="A2596">
        <v>362000</v>
      </c>
      <c r="B2596">
        <v>5.6978999999999997</v>
      </c>
      <c r="E2596">
        <v>362000</v>
      </c>
      <c r="F2596">
        <v>5.3049999999999997</v>
      </c>
    </row>
    <row r="2597" spans="1:6" x14ac:dyDescent="0.25">
      <c r="A2597">
        <v>363000</v>
      </c>
      <c r="B2597">
        <v>5.6997999999999998</v>
      </c>
      <c r="E2597">
        <v>363000</v>
      </c>
      <c r="F2597">
        <v>5.3079999999999998</v>
      </c>
    </row>
    <row r="2598" spans="1:6" x14ac:dyDescent="0.25">
      <c r="A2598">
        <v>364000</v>
      </c>
      <c r="B2598">
        <v>5.7016999999999998</v>
      </c>
      <c r="E2598">
        <v>364000</v>
      </c>
      <c r="F2598">
        <v>5.3109999999999999</v>
      </c>
    </row>
    <row r="2599" spans="1:6" x14ac:dyDescent="0.25">
      <c r="A2599">
        <v>365000</v>
      </c>
      <c r="B2599">
        <v>5.7037000000000004</v>
      </c>
      <c r="E2599">
        <v>365000</v>
      </c>
      <c r="F2599">
        <v>5.3140000000000001</v>
      </c>
    </row>
    <row r="2600" spans="1:6" x14ac:dyDescent="0.25">
      <c r="A2600">
        <v>366000</v>
      </c>
      <c r="B2600">
        <v>5.7055999999999996</v>
      </c>
      <c r="E2600">
        <v>366000</v>
      </c>
      <c r="F2600">
        <v>5.3170000000000002</v>
      </c>
    </row>
    <row r="2601" spans="1:6" x14ac:dyDescent="0.25">
      <c r="A2601">
        <v>367000</v>
      </c>
      <c r="B2601">
        <v>5.7074999999999996</v>
      </c>
      <c r="E2601">
        <v>367000</v>
      </c>
      <c r="F2601">
        <v>5.3198999999999996</v>
      </c>
    </row>
    <row r="2602" spans="1:6" x14ac:dyDescent="0.25">
      <c r="A2602">
        <v>368000</v>
      </c>
      <c r="B2602">
        <v>5.7092999999999998</v>
      </c>
      <c r="E2602">
        <v>368000</v>
      </c>
      <c r="F2602">
        <v>5.3228</v>
      </c>
    </row>
    <row r="2603" spans="1:6" x14ac:dyDescent="0.25">
      <c r="A2603">
        <v>369000</v>
      </c>
      <c r="B2603">
        <v>5.7111999999999998</v>
      </c>
      <c r="E2603">
        <v>369000</v>
      </c>
      <c r="F2603">
        <v>5.3258000000000001</v>
      </c>
    </row>
    <row r="2604" spans="1:6" x14ac:dyDescent="0.25">
      <c r="A2604">
        <v>370000</v>
      </c>
      <c r="B2604">
        <v>5.7130999999999998</v>
      </c>
      <c r="E2604">
        <v>370000</v>
      </c>
      <c r="F2604">
        <v>5.3287000000000004</v>
      </c>
    </row>
    <row r="2605" spans="1:6" x14ac:dyDescent="0.25">
      <c r="A2605">
        <v>371000</v>
      </c>
      <c r="B2605">
        <v>5.7149000000000001</v>
      </c>
      <c r="E2605">
        <v>371000</v>
      </c>
      <c r="F2605">
        <v>5.3315000000000001</v>
      </c>
    </row>
    <row r="2606" spans="1:6" x14ac:dyDescent="0.25">
      <c r="A2606">
        <v>372000</v>
      </c>
      <c r="B2606">
        <v>5.7168000000000001</v>
      </c>
      <c r="E2606">
        <v>372000</v>
      </c>
      <c r="F2606">
        <v>5.3343999999999996</v>
      </c>
    </row>
    <row r="2607" spans="1:6" x14ac:dyDescent="0.25">
      <c r="A2607">
        <v>373000</v>
      </c>
      <c r="B2607">
        <v>5.7186000000000003</v>
      </c>
      <c r="E2607">
        <v>373000</v>
      </c>
      <c r="F2607">
        <v>5.3372999999999999</v>
      </c>
    </row>
    <row r="2608" spans="1:6" x14ac:dyDescent="0.25">
      <c r="A2608">
        <v>374000</v>
      </c>
      <c r="B2608">
        <v>5.7203999999999997</v>
      </c>
      <c r="E2608">
        <v>374000</v>
      </c>
      <c r="F2608">
        <v>5.3400999999999996</v>
      </c>
    </row>
    <row r="2609" spans="1:6" x14ac:dyDescent="0.25">
      <c r="A2609">
        <v>375000</v>
      </c>
      <c r="B2609">
        <v>5.7222</v>
      </c>
      <c r="E2609">
        <v>375000</v>
      </c>
      <c r="F2609">
        <v>5.3429000000000002</v>
      </c>
    </row>
    <row r="2610" spans="1:6" x14ac:dyDescent="0.25">
      <c r="A2610">
        <v>376000</v>
      </c>
      <c r="B2610">
        <v>5.7240000000000002</v>
      </c>
      <c r="E2610">
        <v>376000</v>
      </c>
      <c r="F2610">
        <v>5.3457999999999997</v>
      </c>
    </row>
    <row r="2611" spans="1:6" x14ac:dyDescent="0.25">
      <c r="A2611">
        <v>377000</v>
      </c>
      <c r="B2611">
        <v>5.7257999999999996</v>
      </c>
      <c r="E2611">
        <v>377000</v>
      </c>
      <c r="F2611">
        <v>5.3486000000000002</v>
      </c>
    </row>
    <row r="2612" spans="1:6" x14ac:dyDescent="0.25">
      <c r="A2612">
        <v>378000</v>
      </c>
      <c r="B2612">
        <v>5.7275999999999998</v>
      </c>
      <c r="E2612">
        <v>378000</v>
      </c>
      <c r="F2612">
        <v>5.3513000000000002</v>
      </c>
    </row>
    <row r="2613" spans="1:6" x14ac:dyDescent="0.25">
      <c r="A2613">
        <v>379000</v>
      </c>
      <c r="B2613">
        <v>5.7294</v>
      </c>
      <c r="E2613">
        <v>379000</v>
      </c>
      <c r="F2613">
        <v>5.3540999999999999</v>
      </c>
    </row>
    <row r="2614" spans="1:6" x14ac:dyDescent="0.25">
      <c r="A2614">
        <v>380000</v>
      </c>
      <c r="B2614">
        <v>5.7310999999999996</v>
      </c>
      <c r="E2614">
        <v>380000</v>
      </c>
      <c r="F2614">
        <v>5.3569000000000004</v>
      </c>
    </row>
    <row r="2615" spans="1:6" x14ac:dyDescent="0.25">
      <c r="A2615">
        <v>381000</v>
      </c>
      <c r="B2615">
        <v>5.7328999999999999</v>
      </c>
      <c r="E2615">
        <v>381000</v>
      </c>
      <c r="F2615">
        <v>5.3596000000000004</v>
      </c>
    </row>
    <row r="2616" spans="1:6" x14ac:dyDescent="0.25">
      <c r="A2616">
        <v>382000</v>
      </c>
      <c r="B2616">
        <v>5.7346000000000004</v>
      </c>
      <c r="E2616">
        <v>382000</v>
      </c>
      <c r="F2616">
        <v>5.3623000000000003</v>
      </c>
    </row>
    <row r="2617" spans="1:6" x14ac:dyDescent="0.25">
      <c r="A2617">
        <v>383000</v>
      </c>
      <c r="B2617">
        <v>5.7363999999999997</v>
      </c>
      <c r="E2617">
        <v>383000</v>
      </c>
      <c r="F2617">
        <v>5.3650000000000002</v>
      </c>
    </row>
    <row r="2618" spans="1:6" x14ac:dyDescent="0.25">
      <c r="A2618">
        <v>384000</v>
      </c>
      <c r="B2618">
        <v>5.7381000000000002</v>
      </c>
      <c r="E2618">
        <v>384000</v>
      </c>
      <c r="F2618">
        <v>5.3677000000000001</v>
      </c>
    </row>
    <row r="2619" spans="1:6" x14ac:dyDescent="0.25">
      <c r="A2619">
        <v>385000</v>
      </c>
      <c r="B2619">
        <v>5.7397999999999998</v>
      </c>
      <c r="E2619">
        <v>385000</v>
      </c>
      <c r="F2619">
        <v>5.3704000000000001</v>
      </c>
    </row>
    <row r="2620" spans="1:6" x14ac:dyDescent="0.25">
      <c r="A2620">
        <v>386000</v>
      </c>
      <c r="B2620">
        <v>5.7415000000000003</v>
      </c>
      <c r="E2620">
        <v>386000</v>
      </c>
      <c r="F2620">
        <v>5.3731</v>
      </c>
    </row>
    <row r="2621" spans="1:6" x14ac:dyDescent="0.25">
      <c r="A2621">
        <v>387000</v>
      </c>
      <c r="B2621">
        <v>5.7431999999999999</v>
      </c>
      <c r="E2621">
        <v>387000</v>
      </c>
      <c r="F2621">
        <v>5.3757000000000001</v>
      </c>
    </row>
    <row r="2622" spans="1:6" x14ac:dyDescent="0.25">
      <c r="A2622">
        <v>388000</v>
      </c>
      <c r="B2622">
        <v>5.7449000000000003</v>
      </c>
      <c r="E2622">
        <v>388000</v>
      </c>
      <c r="F2622">
        <v>5.3784000000000001</v>
      </c>
    </row>
    <row r="2623" spans="1:6" x14ac:dyDescent="0.25">
      <c r="A2623">
        <v>389000</v>
      </c>
      <c r="B2623">
        <v>5.7465999999999999</v>
      </c>
      <c r="E2623">
        <v>389000</v>
      </c>
      <c r="F2623">
        <v>5.3810000000000002</v>
      </c>
    </row>
    <row r="2624" spans="1:6" x14ac:dyDescent="0.25">
      <c r="A2624">
        <v>390000</v>
      </c>
      <c r="B2624">
        <v>5.7483000000000004</v>
      </c>
      <c r="E2624">
        <v>390000</v>
      </c>
      <c r="F2624">
        <v>5.3836000000000004</v>
      </c>
    </row>
    <row r="2625" spans="1:6" x14ac:dyDescent="0.25">
      <c r="A2625">
        <v>391000</v>
      </c>
      <c r="B2625">
        <v>5.75</v>
      </c>
      <c r="E2625">
        <v>391000</v>
      </c>
      <c r="F2625">
        <v>5.3861999999999997</v>
      </c>
    </row>
    <row r="2626" spans="1:6" x14ac:dyDescent="0.25">
      <c r="A2626">
        <v>392000</v>
      </c>
      <c r="B2626">
        <v>5.7515999999999998</v>
      </c>
      <c r="E2626">
        <v>392000</v>
      </c>
      <c r="F2626">
        <v>5.3887999999999998</v>
      </c>
    </row>
    <row r="2627" spans="1:6" x14ac:dyDescent="0.25">
      <c r="A2627">
        <v>393000</v>
      </c>
      <c r="B2627">
        <v>5.7533000000000003</v>
      </c>
      <c r="E2627">
        <v>393000</v>
      </c>
      <c r="F2627">
        <v>5.3914</v>
      </c>
    </row>
    <row r="2628" spans="1:6" x14ac:dyDescent="0.25">
      <c r="A2628">
        <v>394000</v>
      </c>
      <c r="B2628">
        <v>5.7549000000000001</v>
      </c>
      <c r="E2628">
        <v>394000</v>
      </c>
      <c r="F2628">
        <v>5.3939000000000004</v>
      </c>
    </row>
    <row r="2629" spans="1:6" x14ac:dyDescent="0.25">
      <c r="A2629">
        <v>395000</v>
      </c>
      <c r="B2629">
        <v>5.7565</v>
      </c>
      <c r="E2629">
        <v>395000</v>
      </c>
      <c r="F2629">
        <v>5.3964999999999996</v>
      </c>
    </row>
    <row r="2630" spans="1:6" x14ac:dyDescent="0.25">
      <c r="A2630">
        <v>396000</v>
      </c>
      <c r="B2630">
        <v>5.7582000000000004</v>
      </c>
      <c r="E2630">
        <v>396000</v>
      </c>
      <c r="F2630">
        <v>5.399</v>
      </c>
    </row>
    <row r="2631" spans="1:6" x14ac:dyDescent="0.25">
      <c r="A2631">
        <v>397000</v>
      </c>
      <c r="B2631">
        <v>5.7598000000000003</v>
      </c>
      <c r="E2631">
        <v>397000</v>
      </c>
      <c r="F2631">
        <v>5.4015000000000004</v>
      </c>
    </row>
    <row r="2632" spans="1:6" x14ac:dyDescent="0.25">
      <c r="A2632">
        <v>398000</v>
      </c>
      <c r="B2632">
        <v>5.7614000000000001</v>
      </c>
      <c r="E2632">
        <v>398000</v>
      </c>
      <c r="F2632">
        <v>5.4039999999999999</v>
      </c>
    </row>
    <row r="2633" spans="1:6" x14ac:dyDescent="0.25">
      <c r="A2633">
        <v>399000</v>
      </c>
      <c r="B2633">
        <v>5.7629999999999999</v>
      </c>
      <c r="E2633">
        <v>399000</v>
      </c>
      <c r="F2633">
        <v>5.4065000000000003</v>
      </c>
    </row>
    <row r="2634" spans="1:6" x14ac:dyDescent="0.25">
      <c r="A2634">
        <v>400000</v>
      </c>
      <c r="B2634">
        <v>5.7645999999999997</v>
      </c>
      <c r="E2634">
        <v>400000</v>
      </c>
      <c r="F2634">
        <v>5.4089999999999998</v>
      </c>
    </row>
    <row r="2635" spans="1:6" x14ac:dyDescent="0.25">
      <c r="A2635">
        <v>401000</v>
      </c>
      <c r="B2635">
        <v>5.7662000000000004</v>
      </c>
      <c r="E2635">
        <v>401000</v>
      </c>
      <c r="F2635">
        <v>5.4115000000000002</v>
      </c>
    </row>
    <row r="2636" spans="1:6" x14ac:dyDescent="0.25">
      <c r="A2636">
        <v>402000</v>
      </c>
      <c r="B2636">
        <v>5.7676999999999996</v>
      </c>
      <c r="E2636">
        <v>402000</v>
      </c>
      <c r="F2636">
        <v>5.4138999999999999</v>
      </c>
    </row>
    <row r="2637" spans="1:6" x14ac:dyDescent="0.25">
      <c r="A2637">
        <v>403000</v>
      </c>
      <c r="B2637">
        <v>5.7693000000000003</v>
      </c>
      <c r="E2637">
        <v>403000</v>
      </c>
      <c r="F2637">
        <v>5.4164000000000003</v>
      </c>
    </row>
    <row r="2638" spans="1:6" x14ac:dyDescent="0.25">
      <c r="A2638">
        <v>404000</v>
      </c>
      <c r="B2638">
        <v>5.7709000000000001</v>
      </c>
      <c r="E2638">
        <v>404000</v>
      </c>
      <c r="F2638">
        <v>5.4188000000000001</v>
      </c>
    </row>
    <row r="2639" spans="1:6" x14ac:dyDescent="0.25">
      <c r="A2639">
        <v>405000</v>
      </c>
      <c r="B2639">
        <v>5.7724000000000002</v>
      </c>
      <c r="E2639">
        <v>405000</v>
      </c>
      <c r="F2639">
        <v>5.4211999999999998</v>
      </c>
    </row>
    <row r="2640" spans="1:6" x14ac:dyDescent="0.25">
      <c r="A2640">
        <v>406000</v>
      </c>
      <c r="B2640">
        <v>5.774</v>
      </c>
      <c r="E2640">
        <v>406000</v>
      </c>
      <c r="F2640">
        <v>5.4237000000000002</v>
      </c>
    </row>
    <row r="2641" spans="1:6" x14ac:dyDescent="0.25">
      <c r="A2641">
        <v>407000</v>
      </c>
      <c r="B2641">
        <v>5.7755000000000001</v>
      </c>
      <c r="E2641">
        <v>407000</v>
      </c>
      <c r="F2641">
        <v>5.4260999999999999</v>
      </c>
    </row>
    <row r="2642" spans="1:6" x14ac:dyDescent="0.25">
      <c r="A2642">
        <v>408000</v>
      </c>
      <c r="B2642">
        <v>5.7770000000000001</v>
      </c>
      <c r="E2642">
        <v>408000</v>
      </c>
      <c r="F2642">
        <v>5.4283999999999999</v>
      </c>
    </row>
    <row r="2643" spans="1:6" x14ac:dyDescent="0.25">
      <c r="A2643">
        <v>409000</v>
      </c>
      <c r="B2643">
        <v>5.7786</v>
      </c>
      <c r="E2643">
        <v>409000</v>
      </c>
      <c r="F2643">
        <v>5.4307999999999996</v>
      </c>
    </row>
    <row r="2644" spans="1:6" x14ac:dyDescent="0.25">
      <c r="A2644">
        <v>410000</v>
      </c>
      <c r="B2644">
        <v>5.7801</v>
      </c>
      <c r="E2644">
        <v>410000</v>
      </c>
      <c r="F2644">
        <v>5.4332000000000003</v>
      </c>
    </row>
    <row r="2645" spans="1:6" x14ac:dyDescent="0.25">
      <c r="A2645">
        <v>411000</v>
      </c>
      <c r="B2645">
        <v>5.7816000000000001</v>
      </c>
      <c r="E2645">
        <v>411000</v>
      </c>
      <c r="F2645">
        <v>5.4355000000000002</v>
      </c>
    </row>
    <row r="2646" spans="1:6" x14ac:dyDescent="0.25">
      <c r="A2646">
        <v>412000</v>
      </c>
      <c r="B2646">
        <v>5.7831000000000001</v>
      </c>
      <c r="E2646">
        <v>412000</v>
      </c>
      <c r="F2646">
        <v>5.4379</v>
      </c>
    </row>
    <row r="2647" spans="1:6" x14ac:dyDescent="0.25">
      <c r="A2647">
        <v>413000</v>
      </c>
      <c r="B2647">
        <v>5.7846000000000002</v>
      </c>
      <c r="E2647">
        <v>413000</v>
      </c>
      <c r="F2647">
        <v>5.4401999999999999</v>
      </c>
    </row>
    <row r="2648" spans="1:6" x14ac:dyDescent="0.25">
      <c r="A2648">
        <v>414000</v>
      </c>
      <c r="B2648">
        <v>5.7861000000000002</v>
      </c>
      <c r="E2648">
        <v>414000</v>
      </c>
      <c r="F2648">
        <v>5.4424999999999999</v>
      </c>
    </row>
    <row r="2649" spans="1:6" x14ac:dyDescent="0.25">
      <c r="A2649">
        <v>415000</v>
      </c>
      <c r="B2649">
        <v>5.7876000000000003</v>
      </c>
      <c r="E2649">
        <v>415000</v>
      </c>
      <c r="F2649">
        <v>5.4447999999999999</v>
      </c>
    </row>
    <row r="2650" spans="1:6" x14ac:dyDescent="0.25">
      <c r="A2650">
        <v>416000</v>
      </c>
      <c r="B2650">
        <v>5.7889999999999997</v>
      </c>
      <c r="E2650">
        <v>416000</v>
      </c>
      <c r="F2650">
        <v>5.4470999999999998</v>
      </c>
    </row>
    <row r="2651" spans="1:6" x14ac:dyDescent="0.25">
      <c r="A2651">
        <v>417000</v>
      </c>
      <c r="B2651">
        <v>5.7904999999999998</v>
      </c>
      <c r="E2651">
        <v>417000</v>
      </c>
      <c r="F2651">
        <v>5.4493999999999998</v>
      </c>
    </row>
    <row r="2652" spans="1:6" x14ac:dyDescent="0.25">
      <c r="A2652">
        <v>418000</v>
      </c>
      <c r="B2652">
        <v>5.7919</v>
      </c>
      <c r="E2652">
        <v>418000</v>
      </c>
      <c r="F2652">
        <v>5.4516999999999998</v>
      </c>
    </row>
    <row r="2653" spans="1:6" x14ac:dyDescent="0.25">
      <c r="A2653">
        <v>419000</v>
      </c>
      <c r="B2653">
        <v>5.7934000000000001</v>
      </c>
      <c r="E2653">
        <v>419000</v>
      </c>
      <c r="F2653">
        <v>5.4539</v>
      </c>
    </row>
    <row r="2654" spans="1:6" x14ac:dyDescent="0.25">
      <c r="A2654">
        <v>420000</v>
      </c>
      <c r="B2654">
        <v>5.7948000000000004</v>
      </c>
      <c r="E2654">
        <v>420000</v>
      </c>
      <c r="F2654">
        <v>5.4561999999999999</v>
      </c>
    </row>
    <row r="2655" spans="1:6" x14ac:dyDescent="0.25">
      <c r="A2655">
        <v>421000</v>
      </c>
      <c r="B2655">
        <v>5.7962999999999996</v>
      </c>
      <c r="E2655">
        <v>421000</v>
      </c>
      <c r="F2655">
        <v>5.4584000000000001</v>
      </c>
    </row>
    <row r="2656" spans="1:6" x14ac:dyDescent="0.25">
      <c r="A2656">
        <v>422000</v>
      </c>
      <c r="B2656">
        <v>5.7976999999999999</v>
      </c>
      <c r="E2656">
        <v>422000</v>
      </c>
      <c r="F2656">
        <v>5.4607000000000001</v>
      </c>
    </row>
    <row r="2657" spans="1:6" x14ac:dyDescent="0.25">
      <c r="A2657">
        <v>423000</v>
      </c>
      <c r="B2657">
        <v>5.7991000000000001</v>
      </c>
      <c r="E2657">
        <v>423000</v>
      </c>
      <c r="F2657">
        <v>5.4629000000000003</v>
      </c>
    </row>
    <row r="2658" spans="1:6" x14ac:dyDescent="0.25">
      <c r="A2658">
        <v>424000</v>
      </c>
      <c r="B2658">
        <v>5.8006000000000002</v>
      </c>
      <c r="E2658">
        <v>424000</v>
      </c>
      <c r="F2658">
        <v>5.4650999999999996</v>
      </c>
    </row>
    <row r="2659" spans="1:6" x14ac:dyDescent="0.25">
      <c r="A2659">
        <v>425000</v>
      </c>
      <c r="B2659">
        <v>5.8019999999999996</v>
      </c>
      <c r="E2659">
        <v>425000</v>
      </c>
      <c r="F2659">
        <v>5.4672999999999998</v>
      </c>
    </row>
    <row r="2660" spans="1:6" x14ac:dyDescent="0.25">
      <c r="A2660">
        <v>426000</v>
      </c>
      <c r="B2660">
        <v>5.8033999999999999</v>
      </c>
      <c r="E2660">
        <v>426000</v>
      </c>
      <c r="F2660">
        <v>5.4695</v>
      </c>
    </row>
    <row r="2661" spans="1:6" x14ac:dyDescent="0.25">
      <c r="A2661">
        <v>427000</v>
      </c>
      <c r="B2661">
        <v>5.8048000000000002</v>
      </c>
      <c r="E2661">
        <v>427000</v>
      </c>
      <c r="F2661">
        <v>5.4717000000000002</v>
      </c>
    </row>
    <row r="2662" spans="1:6" x14ac:dyDescent="0.25">
      <c r="A2662">
        <v>428000</v>
      </c>
      <c r="B2662">
        <v>5.8061999999999996</v>
      </c>
      <c r="E2662">
        <v>428000</v>
      </c>
      <c r="F2662">
        <v>5.4737999999999998</v>
      </c>
    </row>
    <row r="2663" spans="1:6" x14ac:dyDescent="0.25">
      <c r="A2663">
        <v>429000</v>
      </c>
      <c r="B2663">
        <v>5.8075000000000001</v>
      </c>
      <c r="E2663">
        <v>429000</v>
      </c>
      <c r="F2663">
        <v>5.476</v>
      </c>
    </row>
    <row r="2664" spans="1:6" x14ac:dyDescent="0.25">
      <c r="A2664">
        <v>430000</v>
      </c>
      <c r="B2664">
        <v>5.8089000000000004</v>
      </c>
      <c r="E2664">
        <v>430000</v>
      </c>
      <c r="F2664">
        <v>5.4782000000000002</v>
      </c>
    </row>
    <row r="2665" spans="1:6" x14ac:dyDescent="0.25">
      <c r="A2665">
        <v>431000</v>
      </c>
      <c r="B2665">
        <v>5.8102999999999998</v>
      </c>
      <c r="E2665">
        <v>431000</v>
      </c>
      <c r="F2665">
        <v>5.4802999999999997</v>
      </c>
    </row>
    <row r="2666" spans="1:6" x14ac:dyDescent="0.25">
      <c r="A2666">
        <v>432000</v>
      </c>
      <c r="B2666">
        <v>5.8117000000000001</v>
      </c>
      <c r="E2666">
        <v>432000</v>
      </c>
      <c r="F2666">
        <v>5.4824000000000002</v>
      </c>
    </row>
    <row r="2667" spans="1:6" x14ac:dyDescent="0.25">
      <c r="A2667">
        <v>433000</v>
      </c>
      <c r="B2667">
        <v>5.8129999999999997</v>
      </c>
      <c r="E2667">
        <v>433000</v>
      </c>
      <c r="F2667">
        <v>5.4844999999999997</v>
      </c>
    </row>
    <row r="2668" spans="1:6" x14ac:dyDescent="0.25">
      <c r="A2668">
        <v>434000</v>
      </c>
      <c r="B2668">
        <v>5.8144</v>
      </c>
      <c r="E2668">
        <v>434000</v>
      </c>
      <c r="F2668">
        <v>5.4866000000000001</v>
      </c>
    </row>
    <row r="2669" spans="1:6" x14ac:dyDescent="0.25">
      <c r="A2669">
        <v>435000</v>
      </c>
      <c r="B2669">
        <v>5.8156999999999996</v>
      </c>
      <c r="E2669">
        <v>435000</v>
      </c>
      <c r="F2669">
        <v>5.4886999999999997</v>
      </c>
    </row>
    <row r="2670" spans="1:6" x14ac:dyDescent="0.25">
      <c r="A2670">
        <v>436000</v>
      </c>
      <c r="B2670">
        <v>5.8170999999999999</v>
      </c>
      <c r="E2670">
        <v>436000</v>
      </c>
      <c r="F2670">
        <v>5.4908000000000001</v>
      </c>
    </row>
    <row r="2671" spans="1:6" x14ac:dyDescent="0.25">
      <c r="A2671">
        <v>437000</v>
      </c>
      <c r="B2671">
        <v>5.8183999999999996</v>
      </c>
      <c r="E2671">
        <v>437000</v>
      </c>
      <c r="F2671">
        <v>5.4928999999999997</v>
      </c>
    </row>
    <row r="2672" spans="1:6" x14ac:dyDescent="0.25">
      <c r="A2672">
        <v>438000</v>
      </c>
      <c r="B2672">
        <v>5.8197000000000001</v>
      </c>
      <c r="E2672">
        <v>438000</v>
      </c>
      <c r="F2672">
        <v>5.4950000000000001</v>
      </c>
    </row>
    <row r="2673" spans="1:6" x14ac:dyDescent="0.25">
      <c r="A2673">
        <v>439000</v>
      </c>
      <c r="B2673">
        <v>5.8209999999999997</v>
      </c>
      <c r="E2673">
        <v>439000</v>
      </c>
      <c r="F2673">
        <v>5.4970999999999997</v>
      </c>
    </row>
    <row r="2674" spans="1:6" x14ac:dyDescent="0.25">
      <c r="A2674">
        <v>440000</v>
      </c>
      <c r="B2674">
        <v>5.8224</v>
      </c>
      <c r="E2674">
        <v>440000</v>
      </c>
      <c r="F2674">
        <v>5.4991000000000003</v>
      </c>
    </row>
    <row r="2675" spans="1:6" x14ac:dyDescent="0.25">
      <c r="A2675">
        <v>441000</v>
      </c>
      <c r="B2675">
        <v>5.8236999999999997</v>
      </c>
      <c r="E2675">
        <v>441000</v>
      </c>
      <c r="F2675">
        <v>5.5011000000000001</v>
      </c>
    </row>
    <row r="2676" spans="1:6" x14ac:dyDescent="0.25">
      <c r="A2676">
        <v>442000</v>
      </c>
      <c r="B2676">
        <v>5.8250000000000002</v>
      </c>
      <c r="E2676">
        <v>442000</v>
      </c>
      <c r="F2676">
        <v>5.5031999999999996</v>
      </c>
    </row>
    <row r="2677" spans="1:6" x14ac:dyDescent="0.25">
      <c r="A2677">
        <v>443000</v>
      </c>
      <c r="B2677">
        <v>5.8262999999999998</v>
      </c>
      <c r="E2677">
        <v>443000</v>
      </c>
      <c r="F2677">
        <v>5.5052000000000003</v>
      </c>
    </row>
    <row r="2678" spans="1:6" x14ac:dyDescent="0.25">
      <c r="A2678">
        <v>444000</v>
      </c>
      <c r="B2678">
        <v>5.8276000000000003</v>
      </c>
      <c r="E2678">
        <v>444000</v>
      </c>
      <c r="F2678">
        <v>5.5072000000000001</v>
      </c>
    </row>
    <row r="2679" spans="1:6" x14ac:dyDescent="0.25">
      <c r="A2679">
        <v>445000</v>
      </c>
      <c r="B2679">
        <v>5.8288000000000002</v>
      </c>
      <c r="E2679">
        <v>445000</v>
      </c>
      <c r="F2679">
        <v>5.5091999999999999</v>
      </c>
    </row>
    <row r="2680" spans="1:6" x14ac:dyDescent="0.25">
      <c r="A2680">
        <v>446000</v>
      </c>
      <c r="B2680">
        <v>5.8300999999999998</v>
      </c>
      <c r="E2680">
        <v>446000</v>
      </c>
      <c r="F2680">
        <v>5.5111999999999997</v>
      </c>
    </row>
    <row r="2681" spans="1:6" x14ac:dyDescent="0.25">
      <c r="A2681">
        <v>447000</v>
      </c>
      <c r="B2681">
        <v>5.8314000000000004</v>
      </c>
      <c r="E2681">
        <v>447000</v>
      </c>
      <c r="F2681">
        <v>5.5132000000000003</v>
      </c>
    </row>
    <row r="2682" spans="1:6" x14ac:dyDescent="0.25">
      <c r="A2682">
        <v>448000</v>
      </c>
      <c r="B2682">
        <v>5.8327</v>
      </c>
      <c r="E2682">
        <v>448000</v>
      </c>
      <c r="F2682">
        <v>5.5152000000000001</v>
      </c>
    </row>
    <row r="2683" spans="1:6" x14ac:dyDescent="0.25">
      <c r="A2683">
        <v>449000</v>
      </c>
      <c r="B2683">
        <v>5.8338999999999999</v>
      </c>
      <c r="E2683">
        <v>449000</v>
      </c>
      <c r="F2683">
        <v>5.5171999999999999</v>
      </c>
    </row>
    <row r="2684" spans="1:6" x14ac:dyDescent="0.25">
      <c r="A2684">
        <v>450000</v>
      </c>
      <c r="B2684">
        <v>5.8352000000000004</v>
      </c>
      <c r="E2684">
        <v>450000</v>
      </c>
      <c r="F2684">
        <v>5.5190999999999999</v>
      </c>
    </row>
    <row r="2685" spans="1:6" x14ac:dyDescent="0.25">
      <c r="A2685">
        <v>451000</v>
      </c>
      <c r="B2685">
        <v>5.8364000000000003</v>
      </c>
      <c r="E2685">
        <v>451000</v>
      </c>
      <c r="F2685">
        <v>5.5210999999999997</v>
      </c>
    </row>
    <row r="2686" spans="1:6" x14ac:dyDescent="0.25">
      <c r="A2686">
        <v>452000</v>
      </c>
      <c r="B2686">
        <v>5.8376999999999999</v>
      </c>
      <c r="E2686">
        <v>452000</v>
      </c>
      <c r="F2686">
        <v>5.5229999999999997</v>
      </c>
    </row>
    <row r="2687" spans="1:6" x14ac:dyDescent="0.25">
      <c r="A2687">
        <v>453000</v>
      </c>
      <c r="B2687">
        <v>5.8388999999999998</v>
      </c>
      <c r="E2687">
        <v>453000</v>
      </c>
      <c r="F2687">
        <v>5.5250000000000004</v>
      </c>
    </row>
    <row r="2688" spans="1:6" x14ac:dyDescent="0.25">
      <c r="A2688">
        <v>454000</v>
      </c>
      <c r="B2688">
        <v>5.8402000000000003</v>
      </c>
      <c r="E2688">
        <v>454000</v>
      </c>
      <c r="F2688">
        <v>5.5269000000000004</v>
      </c>
    </row>
    <row r="2689" spans="1:6" x14ac:dyDescent="0.25">
      <c r="A2689">
        <v>455000</v>
      </c>
      <c r="B2689">
        <v>5.8414000000000001</v>
      </c>
      <c r="E2689">
        <v>455000</v>
      </c>
      <c r="F2689">
        <v>5.5288000000000004</v>
      </c>
    </row>
    <row r="2690" spans="1:6" x14ac:dyDescent="0.25">
      <c r="A2690">
        <v>456000</v>
      </c>
      <c r="B2690">
        <v>5.8426</v>
      </c>
      <c r="E2690">
        <v>456000</v>
      </c>
      <c r="F2690">
        <v>5.5307000000000004</v>
      </c>
    </row>
    <row r="2691" spans="1:6" x14ac:dyDescent="0.25">
      <c r="A2691">
        <v>457000</v>
      </c>
      <c r="B2691">
        <v>5.8437999999999999</v>
      </c>
      <c r="E2691">
        <v>457000</v>
      </c>
      <c r="F2691">
        <v>5.5326000000000004</v>
      </c>
    </row>
    <row r="2692" spans="1:6" x14ac:dyDescent="0.25">
      <c r="A2692">
        <v>458000</v>
      </c>
      <c r="B2692">
        <v>5.8451000000000004</v>
      </c>
      <c r="E2692">
        <v>458000</v>
      </c>
      <c r="F2692">
        <v>5.5345000000000004</v>
      </c>
    </row>
    <row r="2693" spans="1:6" x14ac:dyDescent="0.25">
      <c r="A2693">
        <v>459000</v>
      </c>
      <c r="B2693">
        <v>5.8463000000000003</v>
      </c>
      <c r="E2693">
        <v>459000</v>
      </c>
      <c r="F2693">
        <v>5.5364000000000004</v>
      </c>
    </row>
    <row r="2694" spans="1:6" x14ac:dyDescent="0.25">
      <c r="A2694">
        <v>460000</v>
      </c>
      <c r="B2694">
        <v>5.8475000000000001</v>
      </c>
      <c r="E2694">
        <v>460000</v>
      </c>
      <c r="F2694">
        <v>5.5382999999999996</v>
      </c>
    </row>
    <row r="2695" spans="1:6" x14ac:dyDescent="0.25">
      <c r="A2695">
        <v>461000</v>
      </c>
      <c r="B2695">
        <v>5.8489000000000004</v>
      </c>
      <c r="E2695">
        <v>461000</v>
      </c>
      <c r="F2695">
        <v>5.5400999999999998</v>
      </c>
    </row>
    <row r="2696" spans="1:6" x14ac:dyDescent="0.25">
      <c r="A2696">
        <v>462000</v>
      </c>
      <c r="B2696">
        <v>5.8502999999999998</v>
      </c>
      <c r="E2696">
        <v>462000</v>
      </c>
      <c r="F2696">
        <v>5.5419999999999998</v>
      </c>
    </row>
    <row r="2697" spans="1:6" x14ac:dyDescent="0.25">
      <c r="A2697">
        <v>463000</v>
      </c>
      <c r="B2697">
        <v>5.8517000000000001</v>
      </c>
      <c r="E2697">
        <v>463000</v>
      </c>
      <c r="F2697">
        <v>5.5438999999999998</v>
      </c>
    </row>
    <row r="2698" spans="1:6" x14ac:dyDescent="0.25">
      <c r="A2698">
        <v>464000</v>
      </c>
      <c r="B2698">
        <v>5.8531000000000004</v>
      </c>
      <c r="E2698">
        <v>464000</v>
      </c>
      <c r="F2698">
        <v>5.5457000000000001</v>
      </c>
    </row>
    <row r="2699" spans="1:6" x14ac:dyDescent="0.25">
      <c r="A2699">
        <v>465000</v>
      </c>
      <c r="B2699">
        <v>5.8544999999999998</v>
      </c>
      <c r="E2699">
        <v>465000</v>
      </c>
      <c r="F2699">
        <v>5.5475000000000003</v>
      </c>
    </row>
    <row r="2700" spans="1:6" x14ac:dyDescent="0.25">
      <c r="A2700">
        <v>466000</v>
      </c>
      <c r="B2700">
        <v>5.8558000000000003</v>
      </c>
      <c r="E2700">
        <v>466000</v>
      </c>
      <c r="F2700">
        <v>5.5494000000000003</v>
      </c>
    </row>
    <row r="2701" spans="1:6" x14ac:dyDescent="0.25">
      <c r="A2701">
        <v>467000</v>
      </c>
      <c r="B2701">
        <v>5.8571999999999997</v>
      </c>
      <c r="E2701">
        <v>467000</v>
      </c>
      <c r="F2701">
        <v>5.5511999999999997</v>
      </c>
    </row>
    <row r="2702" spans="1:6" x14ac:dyDescent="0.25">
      <c r="A2702">
        <v>468000</v>
      </c>
      <c r="B2702">
        <v>5.8586</v>
      </c>
      <c r="E2702">
        <v>468000</v>
      </c>
      <c r="F2702">
        <v>5.5529999999999999</v>
      </c>
    </row>
    <row r="2703" spans="1:6" x14ac:dyDescent="0.25">
      <c r="A2703">
        <v>469000</v>
      </c>
      <c r="B2703">
        <v>5.86</v>
      </c>
      <c r="E2703">
        <v>469000</v>
      </c>
      <c r="F2703">
        <v>5.5548000000000002</v>
      </c>
    </row>
    <row r="2704" spans="1:6" x14ac:dyDescent="0.25">
      <c r="A2704">
        <v>470000</v>
      </c>
      <c r="B2704">
        <v>5.8613</v>
      </c>
      <c r="E2704">
        <v>470000</v>
      </c>
      <c r="F2704">
        <v>5.5566000000000004</v>
      </c>
    </row>
    <row r="2705" spans="1:6" x14ac:dyDescent="0.25">
      <c r="A2705">
        <v>471000</v>
      </c>
      <c r="B2705">
        <v>5.8627000000000002</v>
      </c>
      <c r="E2705">
        <v>471000</v>
      </c>
      <c r="F2705">
        <v>5.5583999999999998</v>
      </c>
    </row>
    <row r="2706" spans="1:6" x14ac:dyDescent="0.25">
      <c r="A2706">
        <v>472000</v>
      </c>
      <c r="B2706">
        <v>5.8639999999999999</v>
      </c>
      <c r="E2706">
        <v>472000</v>
      </c>
      <c r="F2706">
        <v>5.5602</v>
      </c>
    </row>
    <row r="2707" spans="1:6" x14ac:dyDescent="0.25">
      <c r="A2707">
        <v>473000</v>
      </c>
      <c r="B2707">
        <v>5.8654000000000002</v>
      </c>
      <c r="E2707">
        <v>473000</v>
      </c>
      <c r="F2707">
        <v>5.5620000000000003</v>
      </c>
    </row>
    <row r="2708" spans="1:6" x14ac:dyDescent="0.25">
      <c r="A2708">
        <v>474000</v>
      </c>
      <c r="B2708">
        <v>5.8666999999999998</v>
      </c>
      <c r="E2708">
        <v>474000</v>
      </c>
      <c r="F2708">
        <v>5.5636999999999999</v>
      </c>
    </row>
    <row r="2709" spans="1:6" x14ac:dyDescent="0.25">
      <c r="A2709">
        <v>475000</v>
      </c>
      <c r="B2709">
        <v>5.8681000000000001</v>
      </c>
      <c r="E2709">
        <v>475000</v>
      </c>
      <c r="F2709">
        <v>5.5655000000000001</v>
      </c>
    </row>
    <row r="2710" spans="1:6" x14ac:dyDescent="0.25">
      <c r="A2710">
        <v>476000</v>
      </c>
      <c r="B2710">
        <v>5.8693999999999997</v>
      </c>
      <c r="E2710">
        <v>476000</v>
      </c>
      <c r="F2710">
        <v>5.5674000000000001</v>
      </c>
    </row>
    <row r="2711" spans="1:6" x14ac:dyDescent="0.25">
      <c r="A2711">
        <v>477000</v>
      </c>
      <c r="B2711">
        <v>5.8707000000000003</v>
      </c>
      <c r="E2711">
        <v>477000</v>
      </c>
      <c r="F2711">
        <v>5.5693999999999999</v>
      </c>
    </row>
    <row r="2712" spans="1:6" x14ac:dyDescent="0.25">
      <c r="A2712">
        <v>478000</v>
      </c>
      <c r="B2712">
        <v>5.8719999999999999</v>
      </c>
      <c r="E2712">
        <v>478000</v>
      </c>
      <c r="F2712">
        <v>5.5712999999999999</v>
      </c>
    </row>
    <row r="2713" spans="1:6" x14ac:dyDescent="0.25">
      <c r="A2713">
        <v>479000</v>
      </c>
      <c r="B2713">
        <v>5.8733000000000004</v>
      </c>
      <c r="E2713">
        <v>479000</v>
      </c>
      <c r="F2713">
        <v>5.5732999999999997</v>
      </c>
    </row>
    <row r="2714" spans="1:6" x14ac:dyDescent="0.25">
      <c r="A2714">
        <v>480000</v>
      </c>
      <c r="B2714">
        <v>5.8746</v>
      </c>
      <c r="E2714">
        <v>480000</v>
      </c>
      <c r="F2714">
        <v>5.5751999999999997</v>
      </c>
    </row>
    <row r="2715" spans="1:6" x14ac:dyDescent="0.25">
      <c r="A2715">
        <v>481000</v>
      </c>
      <c r="B2715">
        <v>5.8758999999999997</v>
      </c>
      <c r="E2715">
        <v>481000</v>
      </c>
      <c r="F2715">
        <v>5.5770999999999997</v>
      </c>
    </row>
    <row r="2716" spans="1:6" x14ac:dyDescent="0.25">
      <c r="A2716">
        <v>482000</v>
      </c>
      <c r="B2716">
        <v>5.8772000000000002</v>
      </c>
      <c r="E2716">
        <v>482000</v>
      </c>
      <c r="F2716">
        <v>5.5789999999999997</v>
      </c>
    </row>
    <row r="2717" spans="1:6" x14ac:dyDescent="0.25">
      <c r="A2717">
        <v>483000</v>
      </c>
      <c r="B2717">
        <v>5.8784999999999998</v>
      </c>
      <c r="E2717">
        <v>483000</v>
      </c>
      <c r="F2717">
        <v>5.5808999999999997</v>
      </c>
    </row>
    <row r="2718" spans="1:6" x14ac:dyDescent="0.25">
      <c r="A2718">
        <v>484000</v>
      </c>
      <c r="B2718">
        <v>5.8798000000000004</v>
      </c>
      <c r="E2718">
        <v>484000</v>
      </c>
      <c r="F2718">
        <v>5.5827999999999998</v>
      </c>
    </row>
    <row r="2719" spans="1:6" x14ac:dyDescent="0.25">
      <c r="A2719">
        <v>485000</v>
      </c>
      <c r="B2719">
        <v>5.8811</v>
      </c>
      <c r="E2719">
        <v>485000</v>
      </c>
      <c r="F2719">
        <v>5.5846999999999998</v>
      </c>
    </row>
    <row r="2720" spans="1:6" x14ac:dyDescent="0.25">
      <c r="A2720">
        <v>486000</v>
      </c>
      <c r="B2720">
        <v>5.8823999999999996</v>
      </c>
      <c r="E2720">
        <v>486000</v>
      </c>
      <c r="F2720">
        <v>5.5865999999999998</v>
      </c>
    </row>
    <row r="2721" spans="1:6" x14ac:dyDescent="0.25">
      <c r="A2721">
        <v>487000</v>
      </c>
      <c r="B2721">
        <v>5.8836000000000004</v>
      </c>
      <c r="E2721">
        <v>487000</v>
      </c>
      <c r="F2721">
        <v>5.5884999999999998</v>
      </c>
    </row>
    <row r="2722" spans="1:6" x14ac:dyDescent="0.25">
      <c r="A2722">
        <v>488000</v>
      </c>
      <c r="B2722">
        <v>5.8849</v>
      </c>
      <c r="E2722">
        <v>488000</v>
      </c>
      <c r="F2722">
        <v>5.5903999999999998</v>
      </c>
    </row>
    <row r="2723" spans="1:6" x14ac:dyDescent="0.25">
      <c r="A2723">
        <v>489000</v>
      </c>
      <c r="B2723">
        <v>5.8860999999999999</v>
      </c>
      <c r="E2723">
        <v>489000</v>
      </c>
      <c r="F2723">
        <v>5.5922000000000001</v>
      </c>
    </row>
    <row r="2724" spans="1:6" x14ac:dyDescent="0.25">
      <c r="A2724">
        <v>490000</v>
      </c>
      <c r="B2724">
        <v>5.8874000000000004</v>
      </c>
      <c r="E2724">
        <v>490000</v>
      </c>
      <c r="F2724">
        <v>5.5941000000000001</v>
      </c>
    </row>
    <row r="2725" spans="1:6" x14ac:dyDescent="0.25">
      <c r="A2725">
        <v>491000</v>
      </c>
      <c r="B2725">
        <v>5.8886000000000003</v>
      </c>
      <c r="E2725">
        <v>491000</v>
      </c>
      <c r="F2725">
        <v>5.5959000000000003</v>
      </c>
    </row>
    <row r="2726" spans="1:6" x14ac:dyDescent="0.25">
      <c r="A2726">
        <v>492000</v>
      </c>
      <c r="B2726">
        <v>5.8898999999999999</v>
      </c>
      <c r="E2726">
        <v>492000</v>
      </c>
      <c r="F2726">
        <v>5.5978000000000003</v>
      </c>
    </row>
    <row r="2727" spans="1:6" x14ac:dyDescent="0.25">
      <c r="A2727">
        <v>493000</v>
      </c>
      <c r="B2727">
        <v>5.8910999999999998</v>
      </c>
      <c r="E2727">
        <v>493000</v>
      </c>
      <c r="F2727">
        <v>5.5995999999999997</v>
      </c>
    </row>
    <row r="2728" spans="1:6" x14ac:dyDescent="0.25">
      <c r="A2728">
        <v>494000</v>
      </c>
      <c r="B2728">
        <v>5.8924000000000003</v>
      </c>
      <c r="E2728">
        <v>494000</v>
      </c>
      <c r="F2728">
        <v>5.6013999999999999</v>
      </c>
    </row>
    <row r="2729" spans="1:6" x14ac:dyDescent="0.25">
      <c r="A2729">
        <v>495000</v>
      </c>
      <c r="B2729">
        <v>5.8936000000000002</v>
      </c>
      <c r="E2729">
        <v>495000</v>
      </c>
      <c r="F2729">
        <v>5.6032000000000002</v>
      </c>
    </row>
    <row r="2730" spans="1:6" x14ac:dyDescent="0.25">
      <c r="A2730">
        <v>496000</v>
      </c>
      <c r="B2730">
        <v>5.8948</v>
      </c>
      <c r="E2730">
        <v>496000</v>
      </c>
      <c r="F2730">
        <v>5.6050000000000004</v>
      </c>
    </row>
    <row r="2731" spans="1:6" x14ac:dyDescent="0.25">
      <c r="A2731">
        <v>497000</v>
      </c>
      <c r="B2731">
        <v>5.8959999999999999</v>
      </c>
      <c r="E2731">
        <v>497000</v>
      </c>
      <c r="F2731">
        <v>5.6067999999999998</v>
      </c>
    </row>
    <row r="2732" spans="1:6" x14ac:dyDescent="0.25">
      <c r="A2732">
        <v>498000</v>
      </c>
      <c r="B2732">
        <v>5.8971999999999998</v>
      </c>
      <c r="E2732">
        <v>498000</v>
      </c>
      <c r="F2732">
        <v>5.6086</v>
      </c>
    </row>
    <row r="2733" spans="1:6" x14ac:dyDescent="0.25">
      <c r="A2733">
        <v>499000</v>
      </c>
      <c r="B2733">
        <v>5.8983999999999996</v>
      </c>
      <c r="E2733">
        <v>499000</v>
      </c>
      <c r="F2733">
        <v>5.6104000000000003</v>
      </c>
    </row>
    <row r="2734" spans="1:6" x14ac:dyDescent="0.25">
      <c r="A2734">
        <v>500000</v>
      </c>
      <c r="B2734">
        <v>5.8997000000000002</v>
      </c>
      <c r="E2734">
        <v>500000</v>
      </c>
      <c r="F2734">
        <v>5.6121999999999996</v>
      </c>
    </row>
    <row r="2735" spans="1:6" x14ac:dyDescent="0.25">
      <c r="A2735">
        <v>501000</v>
      </c>
      <c r="B2735">
        <v>5.9008000000000003</v>
      </c>
      <c r="E2735">
        <v>501000</v>
      </c>
      <c r="F2735">
        <v>5.6139999999999999</v>
      </c>
    </row>
    <row r="2736" spans="1:6" x14ac:dyDescent="0.25">
      <c r="A2736">
        <v>502000</v>
      </c>
      <c r="B2736">
        <v>5.9020000000000001</v>
      </c>
      <c r="E2736">
        <v>502000</v>
      </c>
      <c r="F2736">
        <v>5.6157000000000004</v>
      </c>
    </row>
    <row r="2737" spans="1:6" x14ac:dyDescent="0.25">
      <c r="A2737">
        <v>503000</v>
      </c>
      <c r="B2737">
        <v>5.9032</v>
      </c>
      <c r="E2737">
        <v>503000</v>
      </c>
      <c r="F2737">
        <v>5.6174999999999997</v>
      </c>
    </row>
    <row r="2738" spans="1:6" x14ac:dyDescent="0.25">
      <c r="A2738">
        <v>504000</v>
      </c>
      <c r="B2738">
        <v>5.9043999999999999</v>
      </c>
      <c r="E2738">
        <v>504000</v>
      </c>
      <c r="F2738">
        <v>5.6192000000000002</v>
      </c>
    </row>
    <row r="2739" spans="1:6" x14ac:dyDescent="0.25">
      <c r="A2739">
        <v>505000</v>
      </c>
      <c r="B2739">
        <v>5.9055999999999997</v>
      </c>
      <c r="E2739">
        <v>505000</v>
      </c>
      <c r="F2739">
        <v>5.6210000000000004</v>
      </c>
    </row>
    <row r="2740" spans="1:6" x14ac:dyDescent="0.25">
      <c r="A2740">
        <v>506000</v>
      </c>
      <c r="B2740">
        <v>5.9067999999999996</v>
      </c>
      <c r="E2740">
        <v>506000</v>
      </c>
      <c r="F2740">
        <v>5.6227</v>
      </c>
    </row>
    <row r="2741" spans="1:6" x14ac:dyDescent="0.25">
      <c r="A2741">
        <v>507000</v>
      </c>
      <c r="B2741">
        <v>5.9078999999999997</v>
      </c>
      <c r="E2741">
        <v>507000</v>
      </c>
      <c r="F2741">
        <v>5.6243999999999996</v>
      </c>
    </row>
    <row r="2742" spans="1:6" x14ac:dyDescent="0.25">
      <c r="A2742">
        <v>508000</v>
      </c>
      <c r="B2742">
        <v>5.9090999999999996</v>
      </c>
      <c r="E2742">
        <v>508000</v>
      </c>
      <c r="F2742">
        <v>5.6261999999999999</v>
      </c>
    </row>
    <row r="2743" spans="1:6" x14ac:dyDescent="0.25">
      <c r="A2743">
        <v>509000</v>
      </c>
      <c r="B2743">
        <v>5.9103000000000003</v>
      </c>
      <c r="E2743">
        <v>509000</v>
      </c>
      <c r="F2743">
        <v>5.6279000000000003</v>
      </c>
    </row>
    <row r="2744" spans="1:6" x14ac:dyDescent="0.25">
      <c r="A2744">
        <v>510000</v>
      </c>
      <c r="B2744">
        <v>5.9114000000000004</v>
      </c>
      <c r="E2744">
        <v>510000</v>
      </c>
      <c r="F2744">
        <v>5.6295999999999999</v>
      </c>
    </row>
    <row r="2745" spans="1:6" x14ac:dyDescent="0.25">
      <c r="A2745">
        <v>511000</v>
      </c>
      <c r="B2745">
        <v>5.9126000000000003</v>
      </c>
      <c r="E2745">
        <v>511000</v>
      </c>
      <c r="F2745">
        <v>5.6313000000000004</v>
      </c>
    </row>
    <row r="2746" spans="1:6" x14ac:dyDescent="0.25">
      <c r="A2746">
        <v>512000</v>
      </c>
      <c r="B2746">
        <v>5.9137000000000004</v>
      </c>
      <c r="E2746">
        <v>512000</v>
      </c>
      <c r="F2746">
        <v>5.633</v>
      </c>
    </row>
    <row r="2747" spans="1:6" x14ac:dyDescent="0.25">
      <c r="A2747">
        <v>513000</v>
      </c>
      <c r="B2747">
        <v>5.9149000000000003</v>
      </c>
      <c r="E2747">
        <v>513000</v>
      </c>
      <c r="F2747">
        <v>5.6346999999999996</v>
      </c>
    </row>
    <row r="2748" spans="1:6" x14ac:dyDescent="0.25">
      <c r="A2748">
        <v>514000</v>
      </c>
      <c r="B2748">
        <v>5.9160000000000004</v>
      </c>
      <c r="E2748">
        <v>514000</v>
      </c>
      <c r="F2748">
        <v>5.6364000000000001</v>
      </c>
    </row>
    <row r="2749" spans="1:6" x14ac:dyDescent="0.25">
      <c r="A2749">
        <v>515000</v>
      </c>
      <c r="B2749">
        <v>5.9170999999999996</v>
      </c>
      <c r="E2749">
        <v>515000</v>
      </c>
      <c r="F2749">
        <v>5.6379999999999999</v>
      </c>
    </row>
    <row r="2750" spans="1:6" x14ac:dyDescent="0.25">
      <c r="A2750">
        <v>516000</v>
      </c>
      <c r="B2750">
        <v>5.9183000000000003</v>
      </c>
      <c r="E2750">
        <v>516000</v>
      </c>
      <c r="F2750">
        <v>5.6397000000000004</v>
      </c>
    </row>
    <row r="2751" spans="1:6" x14ac:dyDescent="0.25">
      <c r="A2751">
        <v>517000</v>
      </c>
      <c r="B2751">
        <v>5.9194000000000004</v>
      </c>
      <c r="E2751">
        <v>517000</v>
      </c>
      <c r="F2751">
        <v>5.6414</v>
      </c>
    </row>
    <row r="2752" spans="1:6" x14ac:dyDescent="0.25">
      <c r="A2752">
        <v>518000</v>
      </c>
      <c r="B2752">
        <v>5.9204999999999997</v>
      </c>
      <c r="E2752">
        <v>518000</v>
      </c>
      <c r="F2752">
        <v>5.6429999999999998</v>
      </c>
    </row>
    <row r="2753" spans="1:6" x14ac:dyDescent="0.25">
      <c r="A2753">
        <v>519000</v>
      </c>
      <c r="B2753">
        <v>5.9215999999999998</v>
      </c>
      <c r="E2753">
        <v>519000</v>
      </c>
      <c r="F2753">
        <v>5.6447000000000003</v>
      </c>
    </row>
    <row r="2754" spans="1:6" x14ac:dyDescent="0.25">
      <c r="A2754">
        <v>520000</v>
      </c>
      <c r="B2754">
        <v>5.9226999999999999</v>
      </c>
      <c r="E2754">
        <v>520000</v>
      </c>
      <c r="F2754">
        <v>5.6463000000000001</v>
      </c>
    </row>
    <row r="2755" spans="1:6" x14ac:dyDescent="0.25">
      <c r="A2755">
        <v>521000</v>
      </c>
      <c r="B2755">
        <v>5.9238</v>
      </c>
      <c r="E2755">
        <v>521000</v>
      </c>
      <c r="F2755">
        <v>5.6479999999999997</v>
      </c>
    </row>
    <row r="2756" spans="1:6" x14ac:dyDescent="0.25">
      <c r="A2756">
        <v>522000</v>
      </c>
      <c r="B2756">
        <v>5.9249999999999998</v>
      </c>
      <c r="E2756">
        <v>522000</v>
      </c>
      <c r="F2756">
        <v>5.6496000000000004</v>
      </c>
    </row>
    <row r="2757" spans="1:6" x14ac:dyDescent="0.25">
      <c r="A2757">
        <v>523000</v>
      </c>
      <c r="B2757">
        <v>5.9260999999999999</v>
      </c>
      <c r="E2757">
        <v>523000</v>
      </c>
      <c r="F2757">
        <v>5.6512000000000002</v>
      </c>
    </row>
    <row r="2758" spans="1:6" x14ac:dyDescent="0.25">
      <c r="A2758">
        <v>524000</v>
      </c>
      <c r="B2758">
        <v>5.9271000000000003</v>
      </c>
      <c r="E2758">
        <v>524000</v>
      </c>
      <c r="F2758">
        <v>5.6528999999999998</v>
      </c>
    </row>
    <row r="2759" spans="1:6" x14ac:dyDescent="0.25">
      <c r="A2759">
        <v>525000</v>
      </c>
      <c r="B2759">
        <v>5.9282000000000004</v>
      </c>
      <c r="E2759">
        <v>525000</v>
      </c>
      <c r="F2759">
        <v>5.6544999999999996</v>
      </c>
    </row>
    <row r="2760" spans="1:6" x14ac:dyDescent="0.25">
      <c r="A2760">
        <v>526000</v>
      </c>
      <c r="B2760">
        <v>5.9292999999999996</v>
      </c>
      <c r="E2760">
        <v>526000</v>
      </c>
      <c r="F2760">
        <v>5.6561000000000003</v>
      </c>
    </row>
    <row r="2761" spans="1:6" x14ac:dyDescent="0.25">
      <c r="A2761">
        <v>527000</v>
      </c>
      <c r="B2761">
        <v>5.9303999999999997</v>
      </c>
      <c r="E2761">
        <v>527000</v>
      </c>
      <c r="F2761">
        <v>5.6577000000000002</v>
      </c>
    </row>
    <row r="2762" spans="1:6" x14ac:dyDescent="0.25">
      <c r="A2762">
        <v>528000</v>
      </c>
      <c r="B2762">
        <v>5.9314999999999998</v>
      </c>
      <c r="E2762">
        <v>528000</v>
      </c>
      <c r="F2762">
        <v>5.6593</v>
      </c>
    </row>
    <row r="2763" spans="1:6" x14ac:dyDescent="0.25">
      <c r="A2763">
        <v>529000</v>
      </c>
      <c r="B2763">
        <v>5.9325999999999999</v>
      </c>
      <c r="E2763">
        <v>529000</v>
      </c>
      <c r="F2763">
        <v>5.6608999999999998</v>
      </c>
    </row>
    <row r="2764" spans="1:6" x14ac:dyDescent="0.25">
      <c r="A2764">
        <v>530000</v>
      </c>
      <c r="B2764">
        <v>5.9336000000000002</v>
      </c>
      <c r="E2764">
        <v>530000</v>
      </c>
      <c r="F2764">
        <v>5.6623999999999999</v>
      </c>
    </row>
    <row r="2765" spans="1:6" x14ac:dyDescent="0.25">
      <c r="A2765">
        <v>531000</v>
      </c>
      <c r="B2765">
        <v>5.9347000000000003</v>
      </c>
      <c r="E2765">
        <v>531000</v>
      </c>
      <c r="F2765">
        <v>5.6639999999999997</v>
      </c>
    </row>
    <row r="2766" spans="1:6" x14ac:dyDescent="0.25">
      <c r="A2766">
        <v>532000</v>
      </c>
      <c r="B2766">
        <v>5.9358000000000004</v>
      </c>
      <c r="E2766">
        <v>532000</v>
      </c>
      <c r="F2766">
        <v>5.6656000000000004</v>
      </c>
    </row>
    <row r="2767" spans="1:6" x14ac:dyDescent="0.25">
      <c r="A2767">
        <v>533000</v>
      </c>
      <c r="B2767">
        <v>5.9367999999999999</v>
      </c>
      <c r="E2767">
        <v>533000</v>
      </c>
      <c r="F2767">
        <v>5.6672000000000002</v>
      </c>
    </row>
    <row r="2768" spans="1:6" x14ac:dyDescent="0.25">
      <c r="A2768">
        <v>534000</v>
      </c>
      <c r="B2768">
        <v>5.9379</v>
      </c>
      <c r="E2768">
        <v>534000</v>
      </c>
      <c r="F2768">
        <v>5.6687000000000003</v>
      </c>
    </row>
    <row r="2769" spans="1:6" x14ac:dyDescent="0.25">
      <c r="A2769">
        <v>535000</v>
      </c>
      <c r="B2769">
        <v>5.9389000000000003</v>
      </c>
      <c r="E2769">
        <v>535000</v>
      </c>
      <c r="F2769">
        <v>5.6703000000000001</v>
      </c>
    </row>
    <row r="2770" spans="1:6" x14ac:dyDescent="0.25">
      <c r="A2770">
        <v>536000</v>
      </c>
      <c r="B2770">
        <v>5.94</v>
      </c>
      <c r="E2770">
        <v>536000</v>
      </c>
      <c r="F2770">
        <v>5.6718000000000002</v>
      </c>
    </row>
    <row r="2771" spans="1:6" x14ac:dyDescent="0.25">
      <c r="A2771">
        <v>537000</v>
      </c>
      <c r="B2771">
        <v>5.9409999999999998</v>
      </c>
      <c r="E2771">
        <v>537000</v>
      </c>
      <c r="F2771">
        <v>5.6734</v>
      </c>
    </row>
    <row r="2772" spans="1:6" x14ac:dyDescent="0.25">
      <c r="A2772">
        <v>538000</v>
      </c>
      <c r="B2772">
        <v>5.9420999999999999</v>
      </c>
      <c r="E2772">
        <v>538000</v>
      </c>
      <c r="F2772">
        <v>5.6749000000000001</v>
      </c>
    </row>
    <row r="2773" spans="1:6" x14ac:dyDescent="0.25">
      <c r="A2773">
        <v>539000</v>
      </c>
      <c r="B2773">
        <v>5.9431000000000003</v>
      </c>
      <c r="E2773">
        <v>539000</v>
      </c>
      <c r="F2773">
        <v>5.6764000000000001</v>
      </c>
    </row>
    <row r="2774" spans="1:6" x14ac:dyDescent="0.25">
      <c r="A2774">
        <v>540000</v>
      </c>
      <c r="B2774">
        <v>5.9440999999999997</v>
      </c>
      <c r="E2774">
        <v>540000</v>
      </c>
      <c r="F2774">
        <v>5.6779999999999999</v>
      </c>
    </row>
    <row r="2775" spans="1:6" x14ac:dyDescent="0.25">
      <c r="A2775">
        <v>541000</v>
      </c>
      <c r="B2775">
        <v>5.9451000000000001</v>
      </c>
      <c r="E2775">
        <v>541000</v>
      </c>
      <c r="F2775">
        <v>5.6795</v>
      </c>
    </row>
    <row r="2776" spans="1:6" x14ac:dyDescent="0.25">
      <c r="A2776">
        <v>542000</v>
      </c>
      <c r="B2776">
        <v>5.9462000000000002</v>
      </c>
      <c r="E2776">
        <v>542000</v>
      </c>
      <c r="F2776">
        <v>5.681</v>
      </c>
    </row>
    <row r="2777" spans="1:6" x14ac:dyDescent="0.25">
      <c r="A2777">
        <v>543000</v>
      </c>
      <c r="B2777">
        <v>5.9471999999999996</v>
      </c>
      <c r="E2777">
        <v>543000</v>
      </c>
      <c r="F2777">
        <v>5.6825000000000001</v>
      </c>
    </row>
    <row r="2778" spans="1:6" x14ac:dyDescent="0.25">
      <c r="A2778">
        <v>544000</v>
      </c>
      <c r="B2778">
        <v>5.9481999999999999</v>
      </c>
      <c r="E2778">
        <v>544000</v>
      </c>
      <c r="F2778">
        <v>5.6840000000000002</v>
      </c>
    </row>
    <row r="2779" spans="1:6" x14ac:dyDescent="0.25">
      <c r="A2779">
        <v>545000</v>
      </c>
      <c r="B2779">
        <v>5.9492000000000003</v>
      </c>
      <c r="E2779">
        <v>545000</v>
      </c>
      <c r="F2779">
        <v>5.6855000000000002</v>
      </c>
    </row>
    <row r="2780" spans="1:6" x14ac:dyDescent="0.25">
      <c r="A2780">
        <v>546000</v>
      </c>
      <c r="B2780">
        <v>5.9501999999999997</v>
      </c>
      <c r="E2780">
        <v>546000</v>
      </c>
      <c r="F2780">
        <v>5.6870000000000003</v>
      </c>
    </row>
    <row r="2781" spans="1:6" x14ac:dyDescent="0.25">
      <c r="A2781">
        <v>547000</v>
      </c>
      <c r="B2781">
        <v>5.9512</v>
      </c>
      <c r="E2781">
        <v>547000</v>
      </c>
      <c r="F2781">
        <v>5.6885000000000003</v>
      </c>
    </row>
    <row r="2782" spans="1:6" x14ac:dyDescent="0.25">
      <c r="A2782">
        <v>548000</v>
      </c>
      <c r="B2782">
        <v>5.9522000000000004</v>
      </c>
      <c r="E2782">
        <v>548000</v>
      </c>
      <c r="F2782">
        <v>5.69</v>
      </c>
    </row>
    <row r="2783" spans="1:6" x14ac:dyDescent="0.25">
      <c r="A2783">
        <v>549000</v>
      </c>
      <c r="B2783">
        <v>5.9531999999999998</v>
      </c>
      <c r="E2783">
        <v>549000</v>
      </c>
      <c r="F2783">
        <v>5.6913999999999998</v>
      </c>
    </row>
    <row r="2784" spans="1:6" x14ac:dyDescent="0.25">
      <c r="A2784">
        <v>550000</v>
      </c>
      <c r="B2784">
        <v>5.9542000000000002</v>
      </c>
      <c r="E2784">
        <v>550000</v>
      </c>
      <c r="F2784">
        <v>5.6928999999999998</v>
      </c>
    </row>
    <row r="2785" spans="1:6" x14ac:dyDescent="0.25">
      <c r="A2785">
        <v>551000</v>
      </c>
      <c r="B2785">
        <v>5.9551999999999996</v>
      </c>
      <c r="E2785">
        <v>551000</v>
      </c>
      <c r="F2785">
        <v>5.6943999999999999</v>
      </c>
    </row>
    <row r="2786" spans="1:6" x14ac:dyDescent="0.25">
      <c r="A2786">
        <v>552000</v>
      </c>
      <c r="B2786">
        <v>5.9561999999999999</v>
      </c>
      <c r="E2786">
        <v>552000</v>
      </c>
      <c r="F2786">
        <v>5.6958000000000002</v>
      </c>
    </row>
    <row r="2787" spans="1:6" x14ac:dyDescent="0.25">
      <c r="A2787">
        <v>553000</v>
      </c>
      <c r="B2787">
        <v>5.9572000000000003</v>
      </c>
      <c r="E2787">
        <v>553000</v>
      </c>
      <c r="F2787">
        <v>5.6973000000000003</v>
      </c>
    </row>
    <row r="2788" spans="1:6" x14ac:dyDescent="0.25">
      <c r="A2788">
        <v>554000</v>
      </c>
      <c r="B2788">
        <v>5.9581999999999997</v>
      </c>
      <c r="E2788">
        <v>554000</v>
      </c>
      <c r="F2788">
        <v>5.6986999999999997</v>
      </c>
    </row>
    <row r="2789" spans="1:6" x14ac:dyDescent="0.25">
      <c r="A2789">
        <v>555000</v>
      </c>
      <c r="B2789">
        <v>5.9591000000000003</v>
      </c>
      <c r="E2789">
        <v>555000</v>
      </c>
      <c r="F2789">
        <v>5.7001999999999997</v>
      </c>
    </row>
    <row r="2790" spans="1:6" x14ac:dyDescent="0.25">
      <c r="A2790">
        <v>556000</v>
      </c>
      <c r="B2790">
        <v>5.9600999999999997</v>
      </c>
      <c r="E2790">
        <v>556000</v>
      </c>
      <c r="F2790">
        <v>5.7016</v>
      </c>
    </row>
    <row r="2791" spans="1:6" x14ac:dyDescent="0.25">
      <c r="A2791">
        <v>557000</v>
      </c>
      <c r="B2791">
        <v>5.9611000000000001</v>
      </c>
      <c r="E2791">
        <v>557000</v>
      </c>
      <c r="F2791">
        <v>5.7030000000000003</v>
      </c>
    </row>
    <row r="2792" spans="1:6" x14ac:dyDescent="0.25">
      <c r="A2792">
        <v>558000</v>
      </c>
      <c r="B2792">
        <v>5.9621000000000004</v>
      </c>
      <c r="E2792">
        <v>558000</v>
      </c>
      <c r="F2792">
        <v>5.7045000000000003</v>
      </c>
    </row>
    <row r="2793" spans="1:6" x14ac:dyDescent="0.25">
      <c r="A2793">
        <v>559000</v>
      </c>
      <c r="B2793">
        <v>5.9630000000000001</v>
      </c>
      <c r="E2793">
        <v>559000</v>
      </c>
      <c r="F2793">
        <v>5.7058999999999997</v>
      </c>
    </row>
    <row r="2794" spans="1:6" x14ac:dyDescent="0.25">
      <c r="A2794">
        <v>560000</v>
      </c>
      <c r="B2794">
        <v>5.9640000000000004</v>
      </c>
      <c r="E2794">
        <v>560000</v>
      </c>
      <c r="F2794">
        <v>5.7073</v>
      </c>
    </row>
    <row r="2795" spans="1:6" x14ac:dyDescent="0.25">
      <c r="A2795">
        <v>561000</v>
      </c>
      <c r="B2795">
        <v>5.9649000000000001</v>
      </c>
      <c r="E2795">
        <v>561000</v>
      </c>
      <c r="F2795">
        <v>5.7087000000000003</v>
      </c>
    </row>
    <row r="2796" spans="1:6" x14ac:dyDescent="0.25">
      <c r="A2796">
        <v>562000</v>
      </c>
      <c r="B2796">
        <v>5.9659000000000004</v>
      </c>
      <c r="E2796">
        <v>562000</v>
      </c>
      <c r="F2796">
        <v>5.7100999999999997</v>
      </c>
    </row>
    <row r="2797" spans="1:6" x14ac:dyDescent="0.25">
      <c r="A2797">
        <v>563000</v>
      </c>
      <c r="B2797">
        <v>5.9668000000000001</v>
      </c>
      <c r="E2797">
        <v>563000</v>
      </c>
      <c r="F2797">
        <v>5.7115</v>
      </c>
    </row>
    <row r="2798" spans="1:6" x14ac:dyDescent="0.25">
      <c r="A2798">
        <v>564000</v>
      </c>
      <c r="B2798">
        <v>5.9678000000000004</v>
      </c>
      <c r="E2798">
        <v>564000</v>
      </c>
      <c r="F2798">
        <v>5.7129000000000003</v>
      </c>
    </row>
    <row r="2799" spans="1:6" x14ac:dyDescent="0.25">
      <c r="A2799">
        <v>565000</v>
      </c>
      <c r="B2799">
        <v>5.9687000000000001</v>
      </c>
      <c r="E2799">
        <v>565000</v>
      </c>
      <c r="F2799">
        <v>5.7142999999999997</v>
      </c>
    </row>
    <row r="2800" spans="1:6" x14ac:dyDescent="0.25">
      <c r="A2800">
        <v>566000</v>
      </c>
      <c r="B2800">
        <v>5.9696999999999996</v>
      </c>
      <c r="E2800">
        <v>566000</v>
      </c>
      <c r="F2800">
        <v>5.7157</v>
      </c>
    </row>
    <row r="2801" spans="1:6" x14ac:dyDescent="0.25">
      <c r="A2801">
        <v>567000</v>
      </c>
      <c r="B2801">
        <v>5.9706000000000001</v>
      </c>
      <c r="E2801">
        <v>567000</v>
      </c>
      <c r="F2801">
        <v>5.7171000000000003</v>
      </c>
    </row>
    <row r="2802" spans="1:6" x14ac:dyDescent="0.25">
      <c r="A2802">
        <v>568000</v>
      </c>
      <c r="B2802">
        <v>5.9714999999999998</v>
      </c>
      <c r="E2802">
        <v>568000</v>
      </c>
      <c r="F2802">
        <v>5.7184999999999997</v>
      </c>
    </row>
    <row r="2803" spans="1:6" x14ac:dyDescent="0.25">
      <c r="A2803">
        <v>569000</v>
      </c>
      <c r="B2803">
        <v>5.9725000000000001</v>
      </c>
      <c r="E2803">
        <v>569000</v>
      </c>
      <c r="F2803">
        <v>5.7199</v>
      </c>
    </row>
    <row r="2804" spans="1:6" x14ac:dyDescent="0.25">
      <c r="A2804">
        <v>570000</v>
      </c>
      <c r="B2804">
        <v>5.9733999999999998</v>
      </c>
      <c r="E2804">
        <v>570000</v>
      </c>
      <c r="F2804">
        <v>5.7211999999999996</v>
      </c>
    </row>
    <row r="2805" spans="1:6" x14ac:dyDescent="0.25">
      <c r="A2805">
        <v>571000</v>
      </c>
      <c r="B2805">
        <v>5.9743000000000004</v>
      </c>
      <c r="E2805">
        <v>571000</v>
      </c>
      <c r="F2805">
        <v>5.7225999999999999</v>
      </c>
    </row>
    <row r="2806" spans="1:6" x14ac:dyDescent="0.25">
      <c r="A2806">
        <v>572000</v>
      </c>
      <c r="B2806">
        <v>5.9752000000000001</v>
      </c>
      <c r="E2806">
        <v>572000</v>
      </c>
      <c r="F2806">
        <v>5.7239000000000004</v>
      </c>
    </row>
    <row r="2807" spans="1:6" x14ac:dyDescent="0.25">
      <c r="A2807">
        <v>573000</v>
      </c>
      <c r="B2807">
        <v>5.9760999999999997</v>
      </c>
      <c r="E2807">
        <v>573000</v>
      </c>
      <c r="F2807">
        <v>5.7252999999999998</v>
      </c>
    </row>
    <row r="2808" spans="1:6" x14ac:dyDescent="0.25">
      <c r="A2808">
        <v>574000</v>
      </c>
      <c r="B2808">
        <v>5.9770000000000003</v>
      </c>
      <c r="E2808">
        <v>574000</v>
      </c>
      <c r="F2808">
        <v>5.7266000000000004</v>
      </c>
    </row>
    <row r="2809" spans="1:6" x14ac:dyDescent="0.25">
      <c r="A2809">
        <v>575000</v>
      </c>
      <c r="B2809">
        <v>5.9779999999999998</v>
      </c>
      <c r="E2809">
        <v>575000</v>
      </c>
      <c r="F2809">
        <v>5.7279999999999998</v>
      </c>
    </row>
    <row r="2810" spans="1:6" x14ac:dyDescent="0.25">
      <c r="A2810">
        <v>576000</v>
      </c>
      <c r="B2810">
        <v>5.9789000000000003</v>
      </c>
      <c r="E2810">
        <v>576000</v>
      </c>
      <c r="F2810">
        <v>5.7293000000000003</v>
      </c>
    </row>
    <row r="2811" spans="1:6" x14ac:dyDescent="0.25">
      <c r="A2811">
        <v>577000</v>
      </c>
      <c r="B2811">
        <v>5.9798</v>
      </c>
      <c r="E2811">
        <v>577000</v>
      </c>
      <c r="F2811">
        <v>5.7306999999999997</v>
      </c>
    </row>
    <row r="2812" spans="1:6" x14ac:dyDescent="0.25">
      <c r="A2812">
        <v>578000</v>
      </c>
      <c r="B2812">
        <v>5.9806999999999997</v>
      </c>
      <c r="E2812">
        <v>578000</v>
      </c>
      <c r="F2812">
        <v>5.7320000000000002</v>
      </c>
    </row>
    <row r="2813" spans="1:6" x14ac:dyDescent="0.25">
      <c r="A2813">
        <v>579000</v>
      </c>
      <c r="B2813">
        <v>5.9816000000000003</v>
      </c>
      <c r="E2813">
        <v>579000</v>
      </c>
      <c r="F2813">
        <v>5.7332999999999998</v>
      </c>
    </row>
    <row r="2814" spans="1:6" x14ac:dyDescent="0.25">
      <c r="A2814">
        <v>580000</v>
      </c>
      <c r="B2814">
        <v>5.9824999999999999</v>
      </c>
      <c r="E2814">
        <v>580000</v>
      </c>
      <c r="F2814">
        <v>5.7346000000000004</v>
      </c>
    </row>
    <row r="2815" spans="1:6" x14ac:dyDescent="0.25">
      <c r="A2815">
        <v>581000</v>
      </c>
      <c r="B2815">
        <v>5.9832999999999998</v>
      </c>
      <c r="E2815">
        <v>581000</v>
      </c>
      <c r="F2815">
        <v>5.7359999999999998</v>
      </c>
    </row>
    <row r="2816" spans="1:6" x14ac:dyDescent="0.25">
      <c r="A2816">
        <v>582000</v>
      </c>
      <c r="B2816">
        <v>5.9842000000000004</v>
      </c>
      <c r="E2816">
        <v>582000</v>
      </c>
      <c r="F2816">
        <v>5.7373000000000003</v>
      </c>
    </row>
    <row r="2817" spans="1:6" x14ac:dyDescent="0.25">
      <c r="A2817">
        <v>583000</v>
      </c>
      <c r="B2817">
        <v>5.9851000000000001</v>
      </c>
      <c r="E2817">
        <v>583000</v>
      </c>
      <c r="F2817">
        <v>5.7385999999999999</v>
      </c>
    </row>
    <row r="2818" spans="1:6" x14ac:dyDescent="0.25">
      <c r="A2818">
        <v>584000</v>
      </c>
      <c r="B2818">
        <v>5.9859999999999998</v>
      </c>
      <c r="E2818">
        <v>584000</v>
      </c>
      <c r="F2818">
        <v>5.7398999999999996</v>
      </c>
    </row>
    <row r="2819" spans="1:6" x14ac:dyDescent="0.25">
      <c r="A2819">
        <v>585000</v>
      </c>
      <c r="B2819">
        <v>5.9869000000000003</v>
      </c>
      <c r="E2819">
        <v>585000</v>
      </c>
      <c r="F2819">
        <v>5.7412000000000001</v>
      </c>
    </row>
    <row r="2820" spans="1:6" x14ac:dyDescent="0.25">
      <c r="A2820">
        <v>586000</v>
      </c>
      <c r="B2820">
        <v>5.9878</v>
      </c>
      <c r="E2820">
        <v>586000</v>
      </c>
      <c r="F2820">
        <v>5.7424999999999997</v>
      </c>
    </row>
    <row r="2821" spans="1:6" x14ac:dyDescent="0.25">
      <c r="A2821">
        <v>587000</v>
      </c>
      <c r="B2821">
        <v>5.9885999999999999</v>
      </c>
      <c r="E2821">
        <v>587000</v>
      </c>
      <c r="F2821">
        <v>5.7438000000000002</v>
      </c>
    </row>
    <row r="2822" spans="1:6" x14ac:dyDescent="0.25">
      <c r="A2822">
        <v>588000</v>
      </c>
      <c r="B2822">
        <v>5.9894999999999996</v>
      </c>
      <c r="E2822">
        <v>588000</v>
      </c>
      <c r="F2822">
        <v>5.7450999999999999</v>
      </c>
    </row>
    <row r="2823" spans="1:6" x14ac:dyDescent="0.25">
      <c r="A2823">
        <v>589000</v>
      </c>
      <c r="B2823">
        <v>5.9904000000000002</v>
      </c>
      <c r="E2823">
        <v>589000</v>
      </c>
      <c r="F2823">
        <v>5.7462999999999997</v>
      </c>
    </row>
    <row r="2824" spans="1:6" x14ac:dyDescent="0.25">
      <c r="A2824">
        <v>590000</v>
      </c>
      <c r="B2824">
        <v>5.9912000000000001</v>
      </c>
      <c r="E2824">
        <v>590000</v>
      </c>
      <c r="F2824">
        <v>5.7476000000000003</v>
      </c>
    </row>
    <row r="2825" spans="1:6" x14ac:dyDescent="0.25">
      <c r="A2825">
        <v>591000</v>
      </c>
      <c r="B2825">
        <v>5.9920999999999998</v>
      </c>
      <c r="E2825">
        <v>591000</v>
      </c>
      <c r="F2825">
        <v>5.7488999999999999</v>
      </c>
    </row>
    <row r="2826" spans="1:6" x14ac:dyDescent="0.25">
      <c r="A2826">
        <v>592000</v>
      </c>
      <c r="B2826">
        <v>5.9928999999999997</v>
      </c>
      <c r="E2826">
        <v>592000</v>
      </c>
      <c r="F2826">
        <v>5.7502000000000004</v>
      </c>
    </row>
    <row r="2827" spans="1:6" x14ac:dyDescent="0.25">
      <c r="A2827">
        <v>593000</v>
      </c>
      <c r="B2827">
        <v>5.9938000000000002</v>
      </c>
      <c r="E2827">
        <v>593000</v>
      </c>
      <c r="F2827">
        <v>5.7514000000000003</v>
      </c>
    </row>
    <row r="2828" spans="1:6" x14ac:dyDescent="0.25">
      <c r="A2828">
        <v>594000</v>
      </c>
      <c r="B2828">
        <v>5.9946999999999999</v>
      </c>
      <c r="E2828">
        <v>594000</v>
      </c>
      <c r="F2828">
        <v>5.7526999999999999</v>
      </c>
    </row>
    <row r="2829" spans="1:6" x14ac:dyDescent="0.25">
      <c r="A2829">
        <v>595000</v>
      </c>
      <c r="B2829">
        <v>5.9954999999999998</v>
      </c>
      <c r="E2829">
        <v>595000</v>
      </c>
      <c r="F2829">
        <v>5.7538999999999998</v>
      </c>
    </row>
    <row r="2830" spans="1:6" x14ac:dyDescent="0.25">
      <c r="A2830">
        <v>596000</v>
      </c>
      <c r="B2830">
        <v>5.9964000000000004</v>
      </c>
      <c r="E2830">
        <v>596000</v>
      </c>
      <c r="F2830">
        <v>5.7552000000000003</v>
      </c>
    </row>
    <row r="2831" spans="1:6" x14ac:dyDescent="0.25">
      <c r="A2831">
        <v>597000</v>
      </c>
      <c r="B2831">
        <v>5.9972000000000003</v>
      </c>
      <c r="E2831">
        <v>597000</v>
      </c>
      <c r="F2831">
        <v>5.7564000000000002</v>
      </c>
    </row>
    <row r="2832" spans="1:6" x14ac:dyDescent="0.25">
      <c r="A2832">
        <v>598000</v>
      </c>
      <c r="B2832">
        <v>5.9980000000000002</v>
      </c>
      <c r="E2832">
        <v>598000</v>
      </c>
      <c r="F2832">
        <v>5.7576999999999998</v>
      </c>
    </row>
    <row r="2833" spans="1:6" x14ac:dyDescent="0.25">
      <c r="A2833">
        <v>599000</v>
      </c>
      <c r="B2833">
        <v>5.9988999999999999</v>
      </c>
      <c r="E2833">
        <v>599000</v>
      </c>
      <c r="F2833">
        <v>5.7588999999999997</v>
      </c>
    </row>
    <row r="2834" spans="1:6" x14ac:dyDescent="0.25">
      <c r="A2834">
        <v>600000</v>
      </c>
      <c r="B2834">
        <v>5.9996999999999998</v>
      </c>
      <c r="E2834">
        <v>600000</v>
      </c>
      <c r="F2834">
        <v>5.7602000000000002</v>
      </c>
    </row>
    <row r="2835" spans="1:6" x14ac:dyDescent="0.25">
      <c r="A2835">
        <v>601000</v>
      </c>
      <c r="B2835">
        <v>6.0004999999999997</v>
      </c>
      <c r="E2835">
        <v>601000</v>
      </c>
      <c r="F2835">
        <v>5.7614000000000001</v>
      </c>
    </row>
    <row r="2836" spans="1:6" x14ac:dyDescent="0.25">
      <c r="A2836">
        <v>602000</v>
      </c>
      <c r="B2836">
        <v>6.0014000000000003</v>
      </c>
      <c r="E2836">
        <v>602000</v>
      </c>
      <c r="F2836">
        <v>5.7625999999999999</v>
      </c>
    </row>
    <row r="2837" spans="1:6" x14ac:dyDescent="0.25">
      <c r="A2837">
        <v>603000</v>
      </c>
      <c r="B2837">
        <v>6.0022000000000002</v>
      </c>
      <c r="E2837">
        <v>603000</v>
      </c>
      <c r="F2837">
        <v>5.7637999999999998</v>
      </c>
    </row>
    <row r="2838" spans="1:6" x14ac:dyDescent="0.25">
      <c r="A2838">
        <v>604000</v>
      </c>
      <c r="B2838">
        <v>6.0030000000000001</v>
      </c>
      <c r="E2838">
        <v>604000</v>
      </c>
      <c r="F2838">
        <v>5.7651000000000003</v>
      </c>
    </row>
    <row r="2839" spans="1:6" x14ac:dyDescent="0.25">
      <c r="A2839">
        <v>605000</v>
      </c>
      <c r="B2839">
        <v>6.0038</v>
      </c>
      <c r="E2839">
        <v>605000</v>
      </c>
      <c r="F2839">
        <v>5.7663000000000002</v>
      </c>
    </row>
    <row r="2840" spans="1:6" x14ac:dyDescent="0.25">
      <c r="A2840">
        <v>606000</v>
      </c>
      <c r="B2840">
        <v>6.0046999999999997</v>
      </c>
      <c r="E2840">
        <v>606000</v>
      </c>
      <c r="F2840">
        <v>5.7675000000000001</v>
      </c>
    </row>
    <row r="2841" spans="1:6" x14ac:dyDescent="0.25">
      <c r="A2841">
        <v>607000</v>
      </c>
      <c r="B2841">
        <v>6.0054999999999996</v>
      </c>
      <c r="E2841">
        <v>607000</v>
      </c>
      <c r="F2841">
        <v>5.7686999999999999</v>
      </c>
    </row>
    <row r="2842" spans="1:6" x14ac:dyDescent="0.25">
      <c r="A2842">
        <v>608000</v>
      </c>
      <c r="B2842">
        <v>6.0063000000000004</v>
      </c>
      <c r="E2842">
        <v>608000</v>
      </c>
      <c r="F2842">
        <v>5.7698999999999998</v>
      </c>
    </row>
    <row r="2843" spans="1:6" x14ac:dyDescent="0.25">
      <c r="A2843">
        <v>609000</v>
      </c>
      <c r="B2843">
        <v>6.0071000000000003</v>
      </c>
      <c r="E2843">
        <v>609000</v>
      </c>
      <c r="F2843">
        <v>5.7710999999999997</v>
      </c>
    </row>
    <row r="2844" spans="1:6" x14ac:dyDescent="0.25">
      <c r="A2844">
        <v>610000</v>
      </c>
      <c r="B2844">
        <v>6.0079000000000002</v>
      </c>
      <c r="E2844">
        <v>610000</v>
      </c>
      <c r="F2844">
        <v>5.7723000000000004</v>
      </c>
    </row>
    <row r="2845" spans="1:6" x14ac:dyDescent="0.25">
      <c r="A2845">
        <v>611000</v>
      </c>
      <c r="B2845">
        <v>6.0087000000000002</v>
      </c>
      <c r="E2845">
        <v>611000</v>
      </c>
      <c r="F2845">
        <v>5.7735000000000003</v>
      </c>
    </row>
    <row r="2846" spans="1:6" x14ac:dyDescent="0.25">
      <c r="A2846">
        <v>612000</v>
      </c>
      <c r="B2846">
        <v>6.0095000000000001</v>
      </c>
      <c r="E2846">
        <v>612000</v>
      </c>
      <c r="F2846">
        <v>5.7747000000000002</v>
      </c>
    </row>
    <row r="2847" spans="1:6" x14ac:dyDescent="0.25">
      <c r="A2847">
        <v>613000</v>
      </c>
      <c r="B2847">
        <v>6.0103</v>
      </c>
      <c r="E2847">
        <v>613000</v>
      </c>
      <c r="F2847">
        <v>5.7758000000000003</v>
      </c>
    </row>
    <row r="2848" spans="1:6" x14ac:dyDescent="0.25">
      <c r="A2848">
        <v>614000</v>
      </c>
      <c r="B2848">
        <v>6.0110999999999999</v>
      </c>
      <c r="E2848">
        <v>614000</v>
      </c>
      <c r="F2848">
        <v>5.7770000000000001</v>
      </c>
    </row>
    <row r="2849" spans="1:6" x14ac:dyDescent="0.25">
      <c r="A2849">
        <v>615000</v>
      </c>
      <c r="B2849">
        <v>6.0118999999999998</v>
      </c>
      <c r="E2849">
        <v>615000</v>
      </c>
      <c r="F2849">
        <v>5.7782</v>
      </c>
    </row>
    <row r="2850" spans="1:6" x14ac:dyDescent="0.25">
      <c r="A2850">
        <v>616000</v>
      </c>
      <c r="B2850">
        <v>6.0126999999999997</v>
      </c>
      <c r="E2850">
        <v>616000</v>
      </c>
      <c r="F2850">
        <v>5.7793999999999999</v>
      </c>
    </row>
    <row r="2851" spans="1:6" x14ac:dyDescent="0.25">
      <c r="A2851">
        <v>617000</v>
      </c>
      <c r="B2851">
        <v>6.0134999999999996</v>
      </c>
      <c r="E2851">
        <v>617000</v>
      </c>
      <c r="F2851">
        <v>5.7805</v>
      </c>
    </row>
    <row r="2852" spans="1:6" x14ac:dyDescent="0.25">
      <c r="A2852">
        <v>618000</v>
      </c>
      <c r="B2852">
        <v>6.0143000000000004</v>
      </c>
      <c r="E2852">
        <v>618000</v>
      </c>
      <c r="F2852">
        <v>5.7816999999999998</v>
      </c>
    </row>
    <row r="2853" spans="1:6" x14ac:dyDescent="0.25">
      <c r="A2853">
        <v>619000</v>
      </c>
      <c r="B2853">
        <v>6.0151000000000003</v>
      </c>
      <c r="E2853">
        <v>619000</v>
      </c>
      <c r="F2853">
        <v>5.7828999999999997</v>
      </c>
    </row>
    <row r="2854" spans="1:6" x14ac:dyDescent="0.25">
      <c r="A2854">
        <v>620000</v>
      </c>
      <c r="B2854">
        <v>6.0157999999999996</v>
      </c>
      <c r="E2854">
        <v>620000</v>
      </c>
      <c r="F2854">
        <v>5.7839999999999998</v>
      </c>
    </row>
    <row r="2855" spans="1:6" x14ac:dyDescent="0.25">
      <c r="A2855">
        <v>621000</v>
      </c>
      <c r="B2855">
        <v>6.0166000000000004</v>
      </c>
      <c r="E2855">
        <v>621000</v>
      </c>
      <c r="F2855">
        <v>5.7851999999999997</v>
      </c>
    </row>
    <row r="2856" spans="1:6" x14ac:dyDescent="0.25">
      <c r="A2856">
        <v>622000</v>
      </c>
      <c r="B2856">
        <v>6.0174000000000003</v>
      </c>
      <c r="E2856">
        <v>622000</v>
      </c>
      <c r="F2856">
        <v>5.7862999999999998</v>
      </c>
    </row>
    <row r="2857" spans="1:6" x14ac:dyDescent="0.25">
      <c r="A2857">
        <v>623000</v>
      </c>
      <c r="B2857">
        <v>6.0182000000000002</v>
      </c>
      <c r="E2857">
        <v>623000</v>
      </c>
      <c r="F2857">
        <v>5.7874999999999996</v>
      </c>
    </row>
    <row r="2858" spans="1:6" x14ac:dyDescent="0.25">
      <c r="A2858">
        <v>624000</v>
      </c>
      <c r="B2858">
        <v>6.0190000000000001</v>
      </c>
      <c r="E2858">
        <v>624000</v>
      </c>
      <c r="F2858">
        <v>5.7885999999999997</v>
      </c>
    </row>
    <row r="2859" spans="1:6" x14ac:dyDescent="0.25">
      <c r="A2859">
        <v>625000</v>
      </c>
      <c r="B2859">
        <v>6.0197000000000003</v>
      </c>
      <c r="E2859">
        <v>625000</v>
      </c>
      <c r="F2859">
        <v>5.7897999999999996</v>
      </c>
    </row>
    <row r="2860" spans="1:6" x14ac:dyDescent="0.25">
      <c r="A2860">
        <v>626000</v>
      </c>
      <c r="B2860">
        <v>6.0205000000000002</v>
      </c>
      <c r="E2860">
        <v>626000</v>
      </c>
      <c r="F2860">
        <v>5.7908999999999997</v>
      </c>
    </row>
    <row r="2861" spans="1:6" x14ac:dyDescent="0.25">
      <c r="A2861">
        <v>627000</v>
      </c>
      <c r="B2861">
        <v>6.0213000000000001</v>
      </c>
      <c r="E2861">
        <v>627000</v>
      </c>
      <c r="F2861">
        <v>5.7919999999999998</v>
      </c>
    </row>
    <row r="2862" spans="1:6" x14ac:dyDescent="0.25">
      <c r="A2862">
        <v>628000</v>
      </c>
      <c r="B2862">
        <v>6.0220000000000002</v>
      </c>
      <c r="E2862">
        <v>628000</v>
      </c>
      <c r="F2862">
        <v>5.7930999999999999</v>
      </c>
    </row>
    <row r="2863" spans="1:6" x14ac:dyDescent="0.25">
      <c r="A2863">
        <v>629000</v>
      </c>
      <c r="B2863">
        <v>6.0228000000000002</v>
      </c>
      <c r="E2863">
        <v>629000</v>
      </c>
      <c r="F2863">
        <v>5.7942999999999998</v>
      </c>
    </row>
    <row r="2864" spans="1:6" x14ac:dyDescent="0.25">
      <c r="A2864">
        <v>630000</v>
      </c>
      <c r="B2864">
        <v>6.0235000000000003</v>
      </c>
      <c r="E2864">
        <v>630000</v>
      </c>
      <c r="F2864">
        <v>5.7953999999999999</v>
      </c>
    </row>
    <row r="2865" spans="1:6" x14ac:dyDescent="0.25">
      <c r="A2865">
        <v>631000</v>
      </c>
      <c r="B2865">
        <v>6.0243000000000002</v>
      </c>
      <c r="E2865">
        <v>631000</v>
      </c>
      <c r="F2865">
        <v>5.7965</v>
      </c>
    </row>
    <row r="2866" spans="1:6" x14ac:dyDescent="0.25">
      <c r="A2866">
        <v>632000</v>
      </c>
      <c r="B2866">
        <v>6.0250000000000004</v>
      </c>
      <c r="E2866">
        <v>632000</v>
      </c>
      <c r="F2866">
        <v>5.7976000000000001</v>
      </c>
    </row>
    <row r="2867" spans="1:6" x14ac:dyDescent="0.25">
      <c r="A2867">
        <v>633000</v>
      </c>
      <c r="B2867">
        <v>6.0258000000000003</v>
      </c>
      <c r="E2867">
        <v>633000</v>
      </c>
      <c r="F2867">
        <v>5.7987000000000002</v>
      </c>
    </row>
    <row r="2868" spans="1:6" x14ac:dyDescent="0.25">
      <c r="A2868">
        <v>634000</v>
      </c>
      <c r="B2868">
        <v>6.0265000000000004</v>
      </c>
      <c r="E2868">
        <v>634000</v>
      </c>
      <c r="F2868">
        <v>5.7998000000000003</v>
      </c>
    </row>
    <row r="2869" spans="1:6" x14ac:dyDescent="0.25">
      <c r="A2869">
        <v>635000</v>
      </c>
      <c r="B2869">
        <v>6.0273000000000003</v>
      </c>
      <c r="E2869">
        <v>635000</v>
      </c>
      <c r="F2869">
        <v>5.8009000000000004</v>
      </c>
    </row>
    <row r="2870" spans="1:6" x14ac:dyDescent="0.25">
      <c r="A2870">
        <v>636000</v>
      </c>
      <c r="B2870">
        <v>6.0279999999999996</v>
      </c>
      <c r="E2870">
        <v>636000</v>
      </c>
      <c r="F2870">
        <v>5.8019999999999996</v>
      </c>
    </row>
    <row r="2871" spans="1:6" x14ac:dyDescent="0.25">
      <c r="A2871">
        <v>637000</v>
      </c>
      <c r="B2871">
        <v>6.0288000000000004</v>
      </c>
      <c r="E2871">
        <v>637000</v>
      </c>
      <c r="F2871">
        <v>5.8030999999999997</v>
      </c>
    </row>
    <row r="2872" spans="1:6" x14ac:dyDescent="0.25">
      <c r="A2872">
        <v>638000</v>
      </c>
      <c r="B2872">
        <v>6.0294999999999996</v>
      </c>
      <c r="E2872">
        <v>638000</v>
      </c>
      <c r="F2872">
        <v>5.8041999999999998</v>
      </c>
    </row>
    <row r="2873" spans="1:6" x14ac:dyDescent="0.25">
      <c r="A2873">
        <v>639000</v>
      </c>
      <c r="B2873">
        <v>6.0301999999999998</v>
      </c>
      <c r="E2873">
        <v>639000</v>
      </c>
      <c r="F2873">
        <v>5.8052999999999999</v>
      </c>
    </row>
    <row r="2874" spans="1:6" x14ac:dyDescent="0.25">
      <c r="A2874">
        <v>640000</v>
      </c>
      <c r="B2874">
        <v>6.0309999999999997</v>
      </c>
      <c r="E2874">
        <v>640000</v>
      </c>
      <c r="F2874">
        <v>5.8064</v>
      </c>
    </row>
    <row r="2875" spans="1:6" x14ac:dyDescent="0.25">
      <c r="A2875">
        <v>641000</v>
      </c>
      <c r="B2875">
        <v>6.0316999999999998</v>
      </c>
      <c r="E2875">
        <v>641000</v>
      </c>
      <c r="F2875">
        <v>5.8075000000000001</v>
      </c>
    </row>
    <row r="2876" spans="1:6" x14ac:dyDescent="0.25">
      <c r="A2876">
        <v>642000</v>
      </c>
      <c r="B2876">
        <v>6.0324</v>
      </c>
      <c r="E2876">
        <v>642000</v>
      </c>
      <c r="F2876">
        <v>5.8086000000000002</v>
      </c>
    </row>
    <row r="2877" spans="1:6" x14ac:dyDescent="0.25">
      <c r="A2877">
        <v>643000</v>
      </c>
      <c r="B2877">
        <v>6.0331999999999999</v>
      </c>
      <c r="E2877">
        <v>643000</v>
      </c>
      <c r="F2877">
        <v>5.8095999999999997</v>
      </c>
    </row>
    <row r="2878" spans="1:6" x14ac:dyDescent="0.25">
      <c r="A2878">
        <v>644000</v>
      </c>
      <c r="B2878">
        <v>6.0339</v>
      </c>
      <c r="E2878">
        <v>644000</v>
      </c>
      <c r="F2878">
        <v>5.8106999999999998</v>
      </c>
    </row>
    <row r="2879" spans="1:6" x14ac:dyDescent="0.25">
      <c r="A2879">
        <v>645000</v>
      </c>
      <c r="B2879">
        <v>6.0346000000000002</v>
      </c>
      <c r="E2879">
        <v>645000</v>
      </c>
      <c r="F2879">
        <v>5.8117999999999999</v>
      </c>
    </row>
    <row r="2880" spans="1:6" x14ac:dyDescent="0.25">
      <c r="A2880">
        <v>646000</v>
      </c>
      <c r="B2880">
        <v>6.0353000000000003</v>
      </c>
      <c r="E2880">
        <v>646000</v>
      </c>
      <c r="F2880">
        <v>5.8128000000000002</v>
      </c>
    </row>
    <row r="2881" spans="1:6" x14ac:dyDescent="0.25">
      <c r="A2881">
        <v>647000</v>
      </c>
      <c r="B2881">
        <v>6.0361000000000002</v>
      </c>
      <c r="E2881">
        <v>647000</v>
      </c>
      <c r="F2881">
        <v>5.8139000000000003</v>
      </c>
    </row>
    <row r="2882" spans="1:6" x14ac:dyDescent="0.25">
      <c r="A2882">
        <v>648000</v>
      </c>
      <c r="B2882">
        <v>6.0368000000000004</v>
      </c>
      <c r="E2882">
        <v>648000</v>
      </c>
      <c r="F2882">
        <v>5.8150000000000004</v>
      </c>
    </row>
    <row r="2883" spans="1:6" x14ac:dyDescent="0.25">
      <c r="A2883">
        <v>649000</v>
      </c>
      <c r="B2883">
        <v>6.0374999999999996</v>
      </c>
      <c r="E2883">
        <v>649000</v>
      </c>
      <c r="F2883">
        <v>5.8159999999999998</v>
      </c>
    </row>
    <row r="2884" spans="1:6" x14ac:dyDescent="0.25">
      <c r="A2884">
        <v>650000</v>
      </c>
      <c r="B2884">
        <v>6.0381999999999998</v>
      </c>
      <c r="E2884">
        <v>650000</v>
      </c>
      <c r="F2884">
        <v>5.8170999999999999</v>
      </c>
    </row>
    <row r="2885" spans="1:6" x14ac:dyDescent="0.25">
      <c r="A2885">
        <v>651000</v>
      </c>
      <c r="B2885">
        <v>6.0388999999999999</v>
      </c>
      <c r="E2885">
        <v>651000</v>
      </c>
      <c r="F2885">
        <v>5.8181000000000003</v>
      </c>
    </row>
    <row r="2886" spans="1:6" x14ac:dyDescent="0.25">
      <c r="A2886">
        <v>652000</v>
      </c>
      <c r="B2886">
        <v>6.0396000000000001</v>
      </c>
      <c r="E2886">
        <v>652000</v>
      </c>
      <c r="F2886">
        <v>5.8192000000000004</v>
      </c>
    </row>
    <row r="2887" spans="1:6" x14ac:dyDescent="0.25">
      <c r="A2887">
        <v>653000</v>
      </c>
      <c r="B2887">
        <v>6.0403000000000002</v>
      </c>
      <c r="E2887">
        <v>653000</v>
      </c>
      <c r="F2887">
        <v>5.8201999999999998</v>
      </c>
    </row>
    <row r="2888" spans="1:6" x14ac:dyDescent="0.25">
      <c r="A2888">
        <v>654000</v>
      </c>
      <c r="B2888">
        <v>6.0410000000000004</v>
      </c>
      <c r="E2888">
        <v>654000</v>
      </c>
      <c r="F2888">
        <v>5.8212000000000002</v>
      </c>
    </row>
    <row r="2889" spans="1:6" x14ac:dyDescent="0.25">
      <c r="A2889">
        <v>655000</v>
      </c>
      <c r="B2889">
        <v>6.0416999999999996</v>
      </c>
      <c r="E2889">
        <v>655000</v>
      </c>
      <c r="F2889">
        <v>5.8223000000000003</v>
      </c>
    </row>
    <row r="2890" spans="1:6" x14ac:dyDescent="0.25">
      <c r="A2890">
        <v>656000</v>
      </c>
      <c r="B2890">
        <v>6.0423999999999998</v>
      </c>
      <c r="E2890">
        <v>656000</v>
      </c>
      <c r="F2890">
        <v>5.8232999999999997</v>
      </c>
    </row>
    <row r="2891" spans="1:6" x14ac:dyDescent="0.25">
      <c r="A2891">
        <v>657000</v>
      </c>
      <c r="B2891">
        <v>6.0430999999999999</v>
      </c>
      <c r="E2891">
        <v>657000</v>
      </c>
      <c r="F2891">
        <v>5.8243</v>
      </c>
    </row>
    <row r="2892" spans="1:6" x14ac:dyDescent="0.25">
      <c r="A2892">
        <v>658000</v>
      </c>
      <c r="B2892">
        <v>6.0438000000000001</v>
      </c>
      <c r="E2892">
        <v>658000</v>
      </c>
      <c r="F2892">
        <v>5.8254000000000001</v>
      </c>
    </row>
    <row r="2893" spans="1:6" x14ac:dyDescent="0.25">
      <c r="A2893">
        <v>659000</v>
      </c>
      <c r="B2893">
        <v>6.0445000000000002</v>
      </c>
      <c r="E2893">
        <v>659000</v>
      </c>
      <c r="F2893">
        <v>5.8263999999999996</v>
      </c>
    </row>
    <row r="2894" spans="1:6" x14ac:dyDescent="0.25">
      <c r="A2894">
        <v>660000</v>
      </c>
      <c r="B2894">
        <v>6.0452000000000004</v>
      </c>
      <c r="E2894">
        <v>660000</v>
      </c>
      <c r="F2894">
        <v>5.8273999999999999</v>
      </c>
    </row>
    <row r="2895" spans="1:6" x14ac:dyDescent="0.25">
      <c r="A2895">
        <v>661000</v>
      </c>
      <c r="B2895">
        <v>6.0458999999999996</v>
      </c>
      <c r="E2895">
        <v>661000</v>
      </c>
      <c r="F2895">
        <v>5.8284000000000002</v>
      </c>
    </row>
    <row r="2896" spans="1:6" x14ac:dyDescent="0.25">
      <c r="A2896">
        <v>662000</v>
      </c>
      <c r="B2896">
        <v>6.0465999999999998</v>
      </c>
      <c r="E2896">
        <v>662000</v>
      </c>
      <c r="F2896">
        <v>5.8293999999999997</v>
      </c>
    </row>
    <row r="2897" spans="1:6" x14ac:dyDescent="0.25">
      <c r="A2897">
        <v>663000</v>
      </c>
      <c r="B2897">
        <v>6.0472000000000001</v>
      </c>
      <c r="E2897">
        <v>663000</v>
      </c>
      <c r="F2897">
        <v>5.8304999999999998</v>
      </c>
    </row>
    <row r="2898" spans="1:6" x14ac:dyDescent="0.25">
      <c r="A2898">
        <v>664000</v>
      </c>
      <c r="B2898">
        <v>6.0479000000000003</v>
      </c>
      <c r="E2898">
        <v>664000</v>
      </c>
      <c r="F2898">
        <v>5.8315000000000001</v>
      </c>
    </row>
    <row r="2899" spans="1:6" x14ac:dyDescent="0.25">
      <c r="A2899">
        <v>665000</v>
      </c>
      <c r="B2899">
        <v>6.0486000000000004</v>
      </c>
      <c r="E2899">
        <v>665000</v>
      </c>
      <c r="F2899">
        <v>5.8324999999999996</v>
      </c>
    </row>
    <row r="2900" spans="1:6" x14ac:dyDescent="0.25">
      <c r="A2900">
        <v>666000</v>
      </c>
      <c r="B2900">
        <v>6.0492999999999997</v>
      </c>
      <c r="E2900">
        <v>666000</v>
      </c>
      <c r="F2900">
        <v>5.8334999999999999</v>
      </c>
    </row>
    <row r="2901" spans="1:6" x14ac:dyDescent="0.25">
      <c r="A2901">
        <v>667000</v>
      </c>
      <c r="B2901">
        <v>6.05</v>
      </c>
      <c r="E2901">
        <v>667000</v>
      </c>
      <c r="F2901">
        <v>5.8345000000000002</v>
      </c>
    </row>
    <row r="2902" spans="1:6" x14ac:dyDescent="0.25">
      <c r="A2902">
        <v>668000</v>
      </c>
      <c r="B2902">
        <v>6.0506000000000002</v>
      </c>
      <c r="E2902">
        <v>668000</v>
      </c>
      <c r="F2902">
        <v>5.8354999999999997</v>
      </c>
    </row>
    <row r="2903" spans="1:6" x14ac:dyDescent="0.25">
      <c r="A2903">
        <v>669000</v>
      </c>
      <c r="B2903">
        <v>6.0513000000000003</v>
      </c>
      <c r="E2903">
        <v>669000</v>
      </c>
      <c r="F2903">
        <v>5.8365</v>
      </c>
    </row>
    <row r="2904" spans="1:6" x14ac:dyDescent="0.25">
      <c r="A2904">
        <v>670000</v>
      </c>
      <c r="B2904">
        <v>6.0519999999999996</v>
      </c>
      <c r="E2904">
        <v>670000</v>
      </c>
      <c r="F2904">
        <v>5.8375000000000004</v>
      </c>
    </row>
    <row r="2905" spans="1:6" x14ac:dyDescent="0.25">
      <c r="A2905">
        <v>671000</v>
      </c>
      <c r="B2905">
        <v>6.0526</v>
      </c>
      <c r="E2905">
        <v>671000</v>
      </c>
      <c r="F2905">
        <v>5.8384</v>
      </c>
    </row>
    <row r="2906" spans="1:6" x14ac:dyDescent="0.25">
      <c r="A2906">
        <v>672000</v>
      </c>
      <c r="B2906">
        <v>6.0533000000000001</v>
      </c>
      <c r="E2906">
        <v>672000</v>
      </c>
      <c r="F2906">
        <v>5.8394000000000004</v>
      </c>
    </row>
    <row r="2907" spans="1:6" x14ac:dyDescent="0.25">
      <c r="A2907">
        <v>673000</v>
      </c>
      <c r="B2907">
        <v>6.0540000000000003</v>
      </c>
      <c r="E2907">
        <v>673000</v>
      </c>
      <c r="F2907">
        <v>5.8403999999999998</v>
      </c>
    </row>
    <row r="2908" spans="1:6" x14ac:dyDescent="0.25">
      <c r="A2908">
        <v>674000</v>
      </c>
      <c r="B2908">
        <v>6.0545999999999998</v>
      </c>
      <c r="E2908">
        <v>674000</v>
      </c>
      <c r="F2908">
        <v>5.8414000000000001</v>
      </c>
    </row>
    <row r="2909" spans="1:6" x14ac:dyDescent="0.25">
      <c r="A2909">
        <v>675000</v>
      </c>
      <c r="B2909">
        <v>6.0552999999999999</v>
      </c>
      <c r="E2909">
        <v>675000</v>
      </c>
      <c r="F2909">
        <v>5.8423999999999996</v>
      </c>
    </row>
    <row r="2910" spans="1:6" x14ac:dyDescent="0.25">
      <c r="A2910">
        <v>676000</v>
      </c>
      <c r="B2910">
        <v>6.056</v>
      </c>
      <c r="E2910">
        <v>676000</v>
      </c>
      <c r="F2910">
        <v>5.8433000000000002</v>
      </c>
    </row>
    <row r="2911" spans="1:6" x14ac:dyDescent="0.25">
      <c r="A2911">
        <v>677000</v>
      </c>
      <c r="B2911">
        <v>6.0566000000000004</v>
      </c>
      <c r="E2911">
        <v>677000</v>
      </c>
      <c r="F2911">
        <v>5.8442999999999996</v>
      </c>
    </row>
    <row r="2912" spans="1:6" x14ac:dyDescent="0.25">
      <c r="A2912">
        <v>678000</v>
      </c>
      <c r="B2912">
        <v>6.0572999999999997</v>
      </c>
      <c r="E2912">
        <v>678000</v>
      </c>
      <c r="F2912">
        <v>5.8452999999999999</v>
      </c>
    </row>
    <row r="2913" spans="1:6" x14ac:dyDescent="0.25">
      <c r="A2913">
        <v>679000</v>
      </c>
      <c r="B2913">
        <v>6.0579000000000001</v>
      </c>
      <c r="E2913">
        <v>679000</v>
      </c>
      <c r="F2913">
        <v>5.8461999999999996</v>
      </c>
    </row>
    <row r="2914" spans="1:6" x14ac:dyDescent="0.25">
      <c r="A2914">
        <v>680000</v>
      </c>
      <c r="B2914">
        <v>6.0586000000000002</v>
      </c>
      <c r="E2914">
        <v>680000</v>
      </c>
      <c r="F2914">
        <v>5.8472</v>
      </c>
    </row>
    <row r="2915" spans="1:6" x14ac:dyDescent="0.25">
      <c r="A2915">
        <v>681000</v>
      </c>
      <c r="B2915">
        <v>6.0591999999999997</v>
      </c>
      <c r="E2915">
        <v>681000</v>
      </c>
      <c r="F2915">
        <v>5.8482000000000003</v>
      </c>
    </row>
    <row r="2916" spans="1:6" x14ac:dyDescent="0.25">
      <c r="A2916">
        <v>682000</v>
      </c>
      <c r="B2916">
        <v>6.0598999999999998</v>
      </c>
      <c r="E2916">
        <v>682000</v>
      </c>
      <c r="F2916">
        <v>5.8491</v>
      </c>
    </row>
    <row r="2917" spans="1:6" x14ac:dyDescent="0.25">
      <c r="A2917">
        <v>683000</v>
      </c>
      <c r="B2917">
        <v>6.0605000000000002</v>
      </c>
      <c r="E2917">
        <v>683000</v>
      </c>
      <c r="F2917">
        <v>5.8501000000000003</v>
      </c>
    </row>
    <row r="2918" spans="1:6" x14ac:dyDescent="0.25">
      <c r="A2918">
        <v>684000</v>
      </c>
      <c r="B2918">
        <v>6.0610999999999997</v>
      </c>
      <c r="E2918">
        <v>684000</v>
      </c>
      <c r="F2918">
        <v>5.851</v>
      </c>
    </row>
    <row r="2919" spans="1:6" x14ac:dyDescent="0.25">
      <c r="A2919">
        <v>685000</v>
      </c>
      <c r="B2919">
        <v>6.0617999999999999</v>
      </c>
      <c r="E2919">
        <v>685000</v>
      </c>
      <c r="F2919">
        <v>5.8520000000000003</v>
      </c>
    </row>
    <row r="2920" spans="1:6" x14ac:dyDescent="0.25">
      <c r="A2920">
        <v>686000</v>
      </c>
      <c r="B2920">
        <v>6.0624000000000002</v>
      </c>
      <c r="E2920">
        <v>686000</v>
      </c>
      <c r="F2920">
        <v>5.8529</v>
      </c>
    </row>
    <row r="2921" spans="1:6" x14ac:dyDescent="0.25">
      <c r="A2921">
        <v>687000</v>
      </c>
      <c r="B2921">
        <v>6.0631000000000004</v>
      </c>
      <c r="E2921">
        <v>687000</v>
      </c>
      <c r="F2921">
        <v>5.8539000000000003</v>
      </c>
    </row>
    <row r="2922" spans="1:6" x14ac:dyDescent="0.25">
      <c r="A2922">
        <v>688000</v>
      </c>
      <c r="B2922">
        <v>6.0636999999999999</v>
      </c>
      <c r="E2922">
        <v>688000</v>
      </c>
      <c r="F2922">
        <v>5.8548</v>
      </c>
    </row>
    <row r="2923" spans="1:6" x14ac:dyDescent="0.25">
      <c r="A2923">
        <v>689000</v>
      </c>
      <c r="B2923">
        <v>6.0643000000000002</v>
      </c>
      <c r="E2923">
        <v>689000</v>
      </c>
      <c r="F2923">
        <v>5.8556999999999997</v>
      </c>
    </row>
    <row r="2924" spans="1:6" x14ac:dyDescent="0.25">
      <c r="A2924">
        <v>690000</v>
      </c>
      <c r="B2924">
        <v>6.0650000000000004</v>
      </c>
      <c r="E2924">
        <v>690000</v>
      </c>
      <c r="F2924">
        <v>5.8567</v>
      </c>
    </row>
    <row r="2925" spans="1:6" x14ac:dyDescent="0.25">
      <c r="A2925">
        <v>691000</v>
      </c>
      <c r="B2925">
        <v>6.0655999999999999</v>
      </c>
      <c r="E2925">
        <v>691000</v>
      </c>
      <c r="F2925">
        <v>5.8575999999999997</v>
      </c>
    </row>
    <row r="2926" spans="1:6" x14ac:dyDescent="0.25">
      <c r="A2926">
        <v>692000</v>
      </c>
      <c r="B2926">
        <v>6.0662000000000003</v>
      </c>
      <c r="E2926">
        <v>692000</v>
      </c>
      <c r="F2926">
        <v>5.8585000000000003</v>
      </c>
    </row>
    <row r="2927" spans="1:6" x14ac:dyDescent="0.25">
      <c r="A2927">
        <v>693000</v>
      </c>
      <c r="B2927">
        <v>6.0667999999999997</v>
      </c>
      <c r="E2927">
        <v>693000</v>
      </c>
      <c r="F2927">
        <v>5.8593999999999999</v>
      </c>
    </row>
    <row r="2928" spans="1:6" x14ac:dyDescent="0.25">
      <c r="A2928">
        <v>694000</v>
      </c>
      <c r="B2928">
        <v>6.0674999999999999</v>
      </c>
      <c r="E2928">
        <v>694000</v>
      </c>
      <c r="F2928">
        <v>5.8604000000000003</v>
      </c>
    </row>
    <row r="2929" spans="1:6" x14ac:dyDescent="0.25">
      <c r="A2929">
        <v>695000</v>
      </c>
      <c r="B2929">
        <v>6.0681000000000003</v>
      </c>
      <c r="E2929">
        <v>695000</v>
      </c>
      <c r="F2929">
        <v>5.8613</v>
      </c>
    </row>
    <row r="2930" spans="1:6" x14ac:dyDescent="0.25">
      <c r="A2930">
        <v>696000</v>
      </c>
      <c r="B2930">
        <v>6.0686999999999998</v>
      </c>
      <c r="E2930">
        <v>696000</v>
      </c>
      <c r="F2930">
        <v>5.8621999999999996</v>
      </c>
    </row>
    <row r="2931" spans="1:6" x14ac:dyDescent="0.25">
      <c r="A2931">
        <v>697000</v>
      </c>
      <c r="B2931">
        <v>6.0693000000000001</v>
      </c>
      <c r="E2931">
        <v>697000</v>
      </c>
      <c r="F2931">
        <v>5.8631000000000002</v>
      </c>
    </row>
    <row r="2932" spans="1:6" x14ac:dyDescent="0.25">
      <c r="A2932">
        <v>698000</v>
      </c>
      <c r="B2932">
        <v>6.0698999999999996</v>
      </c>
      <c r="E2932">
        <v>698000</v>
      </c>
      <c r="F2932">
        <v>5.8639999999999999</v>
      </c>
    </row>
    <row r="2933" spans="1:6" x14ac:dyDescent="0.25">
      <c r="A2933">
        <v>699000</v>
      </c>
      <c r="B2933">
        <v>6.0705999999999998</v>
      </c>
      <c r="E2933">
        <v>699000</v>
      </c>
      <c r="F2933">
        <v>5.8648999999999996</v>
      </c>
    </row>
    <row r="2934" spans="1:6" x14ac:dyDescent="0.25">
      <c r="A2934">
        <v>700000</v>
      </c>
      <c r="B2934">
        <v>6.0712000000000002</v>
      </c>
      <c r="E2934">
        <v>700000</v>
      </c>
      <c r="F2934">
        <v>5.8658999999999999</v>
      </c>
    </row>
    <row r="2935" spans="1:6" x14ac:dyDescent="0.25">
      <c r="A2935">
        <v>701000</v>
      </c>
      <c r="B2935">
        <v>6.0717999999999996</v>
      </c>
      <c r="E2935">
        <v>701000</v>
      </c>
      <c r="F2935">
        <v>5.8667999999999996</v>
      </c>
    </row>
    <row r="2936" spans="1:6" x14ac:dyDescent="0.25">
      <c r="A2936">
        <v>702000</v>
      </c>
      <c r="B2936">
        <v>6.0724</v>
      </c>
      <c r="E2936">
        <v>702000</v>
      </c>
      <c r="F2936">
        <v>5.8677000000000001</v>
      </c>
    </row>
    <row r="2937" spans="1:6" x14ac:dyDescent="0.25">
      <c r="A2937">
        <v>703000</v>
      </c>
      <c r="B2937">
        <v>6.0730000000000004</v>
      </c>
      <c r="E2937">
        <v>703000</v>
      </c>
      <c r="F2937">
        <v>5.8685999999999998</v>
      </c>
    </row>
    <row r="2938" spans="1:6" x14ac:dyDescent="0.25">
      <c r="A2938">
        <v>704000</v>
      </c>
      <c r="B2938">
        <v>6.0735999999999999</v>
      </c>
      <c r="E2938">
        <v>704000</v>
      </c>
      <c r="F2938">
        <v>5.8695000000000004</v>
      </c>
    </row>
    <row r="2939" spans="1:6" x14ac:dyDescent="0.25">
      <c r="A2939">
        <v>705000</v>
      </c>
      <c r="B2939">
        <v>6.0742000000000003</v>
      </c>
      <c r="E2939">
        <v>705000</v>
      </c>
      <c r="F2939">
        <v>5.8703000000000003</v>
      </c>
    </row>
    <row r="2940" spans="1:6" x14ac:dyDescent="0.25">
      <c r="A2940">
        <v>706000</v>
      </c>
      <c r="B2940">
        <v>6.0747999999999998</v>
      </c>
      <c r="E2940">
        <v>706000</v>
      </c>
      <c r="F2940">
        <v>5.8712</v>
      </c>
    </row>
    <row r="2941" spans="1:6" x14ac:dyDescent="0.25">
      <c r="A2941">
        <v>707000</v>
      </c>
      <c r="B2941">
        <v>6.0754000000000001</v>
      </c>
      <c r="E2941">
        <v>707000</v>
      </c>
      <c r="F2941">
        <v>5.8720999999999997</v>
      </c>
    </row>
    <row r="2942" spans="1:6" x14ac:dyDescent="0.25">
      <c r="A2942">
        <v>708000</v>
      </c>
      <c r="B2942">
        <v>6.0759999999999996</v>
      </c>
      <c r="E2942">
        <v>708000</v>
      </c>
      <c r="F2942">
        <v>5.8730000000000002</v>
      </c>
    </row>
    <row r="2943" spans="1:6" x14ac:dyDescent="0.25">
      <c r="A2943">
        <v>709000</v>
      </c>
      <c r="B2943">
        <v>6.0766</v>
      </c>
      <c r="E2943">
        <v>709000</v>
      </c>
      <c r="F2943">
        <v>5.8738999999999999</v>
      </c>
    </row>
    <row r="2944" spans="1:6" x14ac:dyDescent="0.25">
      <c r="A2944">
        <v>710000</v>
      </c>
      <c r="B2944">
        <v>6.0772000000000004</v>
      </c>
      <c r="E2944">
        <v>710000</v>
      </c>
      <c r="F2944">
        <v>5.8747999999999996</v>
      </c>
    </row>
    <row r="2945" spans="1:6" x14ac:dyDescent="0.25">
      <c r="A2945">
        <v>711000</v>
      </c>
      <c r="B2945">
        <v>6.0777999999999999</v>
      </c>
      <c r="E2945">
        <v>711000</v>
      </c>
      <c r="F2945">
        <v>5.8757000000000001</v>
      </c>
    </row>
    <row r="2946" spans="1:6" x14ac:dyDescent="0.25">
      <c r="A2946">
        <v>712000</v>
      </c>
      <c r="B2946">
        <v>6.0784000000000002</v>
      </c>
      <c r="E2946">
        <v>712000</v>
      </c>
      <c r="F2946">
        <v>5.8765000000000001</v>
      </c>
    </row>
    <row r="2947" spans="1:6" x14ac:dyDescent="0.25">
      <c r="A2947">
        <v>713000</v>
      </c>
      <c r="B2947">
        <v>6.0789999999999997</v>
      </c>
      <c r="E2947">
        <v>713000</v>
      </c>
      <c r="F2947">
        <v>5.8773999999999997</v>
      </c>
    </row>
    <row r="2948" spans="1:6" x14ac:dyDescent="0.25">
      <c r="A2948">
        <v>714000</v>
      </c>
      <c r="B2948">
        <v>6.0796000000000001</v>
      </c>
      <c r="E2948">
        <v>714000</v>
      </c>
      <c r="F2948">
        <v>5.8783000000000003</v>
      </c>
    </row>
    <row r="2949" spans="1:6" x14ac:dyDescent="0.25">
      <c r="A2949">
        <v>715000</v>
      </c>
      <c r="B2949">
        <v>6.0801999999999996</v>
      </c>
      <c r="E2949">
        <v>715000</v>
      </c>
      <c r="F2949">
        <v>5.8792</v>
      </c>
    </row>
    <row r="2950" spans="1:6" x14ac:dyDescent="0.25">
      <c r="A2950">
        <v>716000</v>
      </c>
      <c r="B2950">
        <v>6.0808</v>
      </c>
      <c r="E2950">
        <v>716000</v>
      </c>
      <c r="F2950">
        <v>5.88</v>
      </c>
    </row>
    <row r="2951" spans="1:6" x14ac:dyDescent="0.25">
      <c r="A2951">
        <v>717000</v>
      </c>
      <c r="B2951">
        <v>6.0812999999999997</v>
      </c>
      <c r="E2951">
        <v>717000</v>
      </c>
      <c r="F2951">
        <v>5.8808999999999996</v>
      </c>
    </row>
    <row r="2952" spans="1:6" x14ac:dyDescent="0.25">
      <c r="A2952">
        <v>718000</v>
      </c>
      <c r="B2952">
        <v>6.0819000000000001</v>
      </c>
      <c r="E2952">
        <v>718000</v>
      </c>
      <c r="F2952">
        <v>5.8817000000000004</v>
      </c>
    </row>
    <row r="2953" spans="1:6" x14ac:dyDescent="0.25">
      <c r="A2953">
        <v>719000</v>
      </c>
      <c r="B2953">
        <v>6.0824999999999996</v>
      </c>
      <c r="E2953">
        <v>719000</v>
      </c>
      <c r="F2953">
        <v>5.8826000000000001</v>
      </c>
    </row>
    <row r="2954" spans="1:6" x14ac:dyDescent="0.25">
      <c r="A2954">
        <v>720000</v>
      </c>
      <c r="B2954">
        <v>6.0831</v>
      </c>
      <c r="E2954">
        <v>720000</v>
      </c>
      <c r="F2954">
        <v>5.8834999999999997</v>
      </c>
    </row>
    <row r="2955" spans="1:6" x14ac:dyDescent="0.25">
      <c r="A2955">
        <v>721000</v>
      </c>
      <c r="B2955">
        <v>6.0837000000000003</v>
      </c>
      <c r="E2955">
        <v>721000</v>
      </c>
      <c r="F2955">
        <v>5.8842999999999996</v>
      </c>
    </row>
    <row r="2956" spans="1:6" x14ac:dyDescent="0.25">
      <c r="A2956">
        <v>722000</v>
      </c>
      <c r="B2956">
        <v>6.0842000000000001</v>
      </c>
      <c r="E2956">
        <v>722000</v>
      </c>
      <c r="F2956">
        <v>5.8852000000000002</v>
      </c>
    </row>
    <row r="2957" spans="1:6" x14ac:dyDescent="0.25">
      <c r="A2957">
        <v>723000</v>
      </c>
      <c r="B2957">
        <v>6.0848000000000004</v>
      </c>
      <c r="E2957">
        <v>723000</v>
      </c>
      <c r="F2957">
        <v>5.8860000000000001</v>
      </c>
    </row>
    <row r="2958" spans="1:6" x14ac:dyDescent="0.25">
      <c r="A2958">
        <v>724000</v>
      </c>
      <c r="B2958">
        <v>6.0853999999999999</v>
      </c>
      <c r="E2958">
        <v>724000</v>
      </c>
      <c r="F2958">
        <v>5.8868999999999998</v>
      </c>
    </row>
    <row r="2959" spans="1:6" x14ac:dyDescent="0.25">
      <c r="A2959">
        <v>725000</v>
      </c>
      <c r="B2959">
        <v>6.0860000000000003</v>
      </c>
      <c r="E2959">
        <v>725000</v>
      </c>
      <c r="F2959">
        <v>5.8876999999999997</v>
      </c>
    </row>
    <row r="2960" spans="1:6" x14ac:dyDescent="0.25">
      <c r="A2960">
        <v>726000</v>
      </c>
      <c r="B2960">
        <v>6.0865</v>
      </c>
      <c r="E2960">
        <v>726000</v>
      </c>
      <c r="F2960">
        <v>5.8886000000000003</v>
      </c>
    </row>
    <row r="2961" spans="1:6" x14ac:dyDescent="0.25">
      <c r="A2961">
        <v>727000</v>
      </c>
      <c r="B2961">
        <v>6.0871000000000004</v>
      </c>
      <c r="E2961">
        <v>727000</v>
      </c>
      <c r="F2961">
        <v>5.8894000000000002</v>
      </c>
    </row>
    <row r="2962" spans="1:6" x14ac:dyDescent="0.25">
      <c r="A2962">
        <v>728000</v>
      </c>
      <c r="B2962">
        <v>6.0876999999999999</v>
      </c>
      <c r="E2962">
        <v>728000</v>
      </c>
      <c r="F2962">
        <v>5.8902000000000001</v>
      </c>
    </row>
    <row r="2963" spans="1:6" x14ac:dyDescent="0.25">
      <c r="A2963">
        <v>729000</v>
      </c>
      <c r="B2963">
        <v>6.0881999999999996</v>
      </c>
      <c r="E2963">
        <v>729000</v>
      </c>
      <c r="F2963">
        <v>5.8910999999999998</v>
      </c>
    </row>
    <row r="2964" spans="1:6" x14ac:dyDescent="0.25">
      <c r="A2964">
        <v>730000</v>
      </c>
      <c r="B2964">
        <v>6.0888</v>
      </c>
      <c r="E2964">
        <v>730000</v>
      </c>
      <c r="F2964">
        <v>5.8918999999999997</v>
      </c>
    </row>
    <row r="2965" spans="1:6" x14ac:dyDescent="0.25">
      <c r="A2965">
        <v>731000</v>
      </c>
      <c r="B2965">
        <v>6.0894000000000004</v>
      </c>
      <c r="E2965">
        <v>731000</v>
      </c>
      <c r="F2965">
        <v>5.8926999999999996</v>
      </c>
    </row>
    <row r="2966" spans="1:6" x14ac:dyDescent="0.25">
      <c r="A2966">
        <v>732000</v>
      </c>
      <c r="B2966">
        <v>6.0899000000000001</v>
      </c>
      <c r="E2966">
        <v>732000</v>
      </c>
      <c r="F2966">
        <v>5.8936000000000002</v>
      </c>
    </row>
    <row r="2967" spans="1:6" x14ac:dyDescent="0.25">
      <c r="A2967">
        <v>733000</v>
      </c>
      <c r="B2967">
        <v>6.0904999999999996</v>
      </c>
      <c r="E2967">
        <v>733000</v>
      </c>
      <c r="F2967">
        <v>5.8944000000000001</v>
      </c>
    </row>
    <row r="2968" spans="1:6" x14ac:dyDescent="0.25">
      <c r="A2968">
        <v>734000</v>
      </c>
      <c r="B2968">
        <v>6.0910000000000002</v>
      </c>
      <c r="E2968">
        <v>734000</v>
      </c>
      <c r="F2968">
        <v>5.8952</v>
      </c>
    </row>
    <row r="2969" spans="1:6" x14ac:dyDescent="0.25">
      <c r="A2969">
        <v>735000</v>
      </c>
      <c r="B2969">
        <v>6.0915999999999997</v>
      </c>
      <c r="E2969">
        <v>735000</v>
      </c>
      <c r="F2969">
        <v>5.8959999999999999</v>
      </c>
    </row>
    <row r="2970" spans="1:6" x14ac:dyDescent="0.25">
      <c r="A2970">
        <v>736000</v>
      </c>
      <c r="B2970">
        <v>6.0922000000000001</v>
      </c>
      <c r="E2970">
        <v>736000</v>
      </c>
      <c r="F2970">
        <v>5.8968999999999996</v>
      </c>
    </row>
    <row r="2971" spans="1:6" x14ac:dyDescent="0.25">
      <c r="A2971">
        <v>737000</v>
      </c>
      <c r="B2971">
        <v>6.0926999999999998</v>
      </c>
      <c r="E2971">
        <v>737000</v>
      </c>
      <c r="F2971">
        <v>5.8977000000000004</v>
      </c>
    </row>
    <row r="2972" spans="1:6" x14ac:dyDescent="0.25">
      <c r="A2972">
        <v>738000</v>
      </c>
      <c r="B2972">
        <v>6.0933000000000002</v>
      </c>
      <c r="E2972">
        <v>738000</v>
      </c>
      <c r="F2972">
        <v>5.8985000000000003</v>
      </c>
    </row>
    <row r="2973" spans="1:6" x14ac:dyDescent="0.25">
      <c r="A2973">
        <v>739000</v>
      </c>
      <c r="B2973">
        <v>6.0937999999999999</v>
      </c>
      <c r="E2973">
        <v>739000</v>
      </c>
      <c r="F2973">
        <v>5.8993000000000002</v>
      </c>
    </row>
    <row r="2974" spans="1:6" x14ac:dyDescent="0.25">
      <c r="A2974">
        <v>740000</v>
      </c>
      <c r="B2974">
        <v>6.0944000000000003</v>
      </c>
      <c r="E2974">
        <v>740000</v>
      </c>
      <c r="F2974">
        <v>5.9001000000000001</v>
      </c>
    </row>
    <row r="2975" spans="1:6" x14ac:dyDescent="0.25">
      <c r="A2975">
        <v>741000</v>
      </c>
      <c r="B2975">
        <v>6.0949</v>
      </c>
      <c r="E2975">
        <v>741000</v>
      </c>
      <c r="F2975">
        <v>5.9009</v>
      </c>
    </row>
    <row r="2976" spans="1:6" x14ac:dyDescent="0.25">
      <c r="A2976">
        <v>742000</v>
      </c>
      <c r="B2976">
        <v>6.0955000000000004</v>
      </c>
      <c r="E2976">
        <v>742000</v>
      </c>
      <c r="F2976">
        <v>5.9016999999999999</v>
      </c>
    </row>
    <row r="2977" spans="1:6" x14ac:dyDescent="0.25">
      <c r="A2977">
        <v>743000</v>
      </c>
      <c r="B2977">
        <v>6.0960000000000001</v>
      </c>
      <c r="E2977">
        <v>743000</v>
      </c>
      <c r="F2977">
        <v>5.9025999999999996</v>
      </c>
    </row>
    <row r="2978" spans="1:6" x14ac:dyDescent="0.25">
      <c r="A2978">
        <v>744000</v>
      </c>
      <c r="B2978">
        <v>6.0964999999999998</v>
      </c>
      <c r="E2978">
        <v>744000</v>
      </c>
      <c r="F2978">
        <v>5.9034000000000004</v>
      </c>
    </row>
    <row r="2979" spans="1:6" x14ac:dyDescent="0.25">
      <c r="A2979">
        <v>745000</v>
      </c>
      <c r="B2979">
        <v>6.0971000000000002</v>
      </c>
      <c r="E2979">
        <v>745000</v>
      </c>
      <c r="F2979">
        <v>5.9042000000000003</v>
      </c>
    </row>
    <row r="2980" spans="1:6" x14ac:dyDescent="0.25">
      <c r="A2980">
        <v>746000</v>
      </c>
      <c r="B2980">
        <v>6.0975999999999999</v>
      </c>
      <c r="E2980">
        <v>746000</v>
      </c>
      <c r="F2980">
        <v>5.9050000000000002</v>
      </c>
    </row>
    <row r="2981" spans="1:6" x14ac:dyDescent="0.25">
      <c r="A2981">
        <v>747000</v>
      </c>
      <c r="B2981">
        <v>6.0982000000000003</v>
      </c>
      <c r="E2981">
        <v>747000</v>
      </c>
      <c r="F2981">
        <v>5.9057000000000004</v>
      </c>
    </row>
    <row r="2982" spans="1:6" x14ac:dyDescent="0.25">
      <c r="A2982">
        <v>748000</v>
      </c>
      <c r="B2982">
        <v>6.0987</v>
      </c>
      <c r="E2982">
        <v>748000</v>
      </c>
      <c r="F2982">
        <v>5.9065000000000003</v>
      </c>
    </row>
    <row r="2983" spans="1:6" x14ac:dyDescent="0.25">
      <c r="A2983">
        <v>749000</v>
      </c>
      <c r="B2983">
        <v>6.0991999999999997</v>
      </c>
      <c r="E2983">
        <v>749000</v>
      </c>
      <c r="F2983">
        <v>5.9073000000000002</v>
      </c>
    </row>
    <row r="2984" spans="1:6" x14ac:dyDescent="0.25">
      <c r="A2984">
        <v>750000</v>
      </c>
      <c r="B2984">
        <v>6.0998000000000001</v>
      </c>
      <c r="E2984">
        <v>750000</v>
      </c>
      <c r="F2984">
        <v>5.9081000000000001</v>
      </c>
    </row>
    <row r="2985" spans="1:6" x14ac:dyDescent="0.25">
      <c r="A2985">
        <v>751000</v>
      </c>
      <c r="B2985">
        <v>6.1002999999999998</v>
      </c>
      <c r="E2985">
        <v>751000</v>
      </c>
      <c r="F2985">
        <v>5.9089</v>
      </c>
    </row>
    <row r="2986" spans="1:6" x14ac:dyDescent="0.25">
      <c r="A2986">
        <v>752000</v>
      </c>
      <c r="B2986">
        <v>6.1007999999999996</v>
      </c>
      <c r="E2986">
        <v>752000</v>
      </c>
      <c r="F2986">
        <v>5.9097</v>
      </c>
    </row>
    <row r="2987" spans="1:6" x14ac:dyDescent="0.25">
      <c r="A2987">
        <v>753000</v>
      </c>
      <c r="B2987">
        <v>6.1013999999999999</v>
      </c>
      <c r="E2987">
        <v>753000</v>
      </c>
      <c r="F2987">
        <v>5.9104999999999999</v>
      </c>
    </row>
    <row r="2988" spans="1:6" x14ac:dyDescent="0.25">
      <c r="A2988">
        <v>754000</v>
      </c>
      <c r="B2988">
        <v>6.1018999999999997</v>
      </c>
      <c r="E2988">
        <v>754000</v>
      </c>
      <c r="F2988">
        <v>5.9112999999999998</v>
      </c>
    </row>
    <row r="2989" spans="1:6" x14ac:dyDescent="0.25">
      <c r="A2989">
        <v>755000</v>
      </c>
      <c r="B2989">
        <v>6.1024000000000003</v>
      </c>
      <c r="E2989">
        <v>755000</v>
      </c>
      <c r="F2989">
        <v>5.9119999999999999</v>
      </c>
    </row>
    <row r="2990" spans="1:6" x14ac:dyDescent="0.25">
      <c r="A2990">
        <v>756000</v>
      </c>
      <c r="B2990">
        <v>6.1029</v>
      </c>
      <c r="E2990">
        <v>756000</v>
      </c>
      <c r="F2990">
        <v>5.9127999999999998</v>
      </c>
    </row>
    <row r="2991" spans="1:6" x14ac:dyDescent="0.25">
      <c r="A2991">
        <v>757000</v>
      </c>
      <c r="B2991">
        <v>6.1035000000000004</v>
      </c>
      <c r="E2991">
        <v>757000</v>
      </c>
      <c r="F2991">
        <v>5.9135999999999997</v>
      </c>
    </row>
    <row r="2992" spans="1:6" x14ac:dyDescent="0.25">
      <c r="A2992">
        <v>758000</v>
      </c>
      <c r="B2992">
        <v>6.1040000000000001</v>
      </c>
      <c r="E2992">
        <v>758000</v>
      </c>
      <c r="F2992">
        <v>5.9143999999999997</v>
      </c>
    </row>
    <row r="2993" spans="1:6" x14ac:dyDescent="0.25">
      <c r="A2993">
        <v>759000</v>
      </c>
      <c r="B2993">
        <v>6.1044999999999998</v>
      </c>
      <c r="E2993">
        <v>759000</v>
      </c>
      <c r="F2993">
        <v>5.9150999999999998</v>
      </c>
    </row>
    <row r="2994" spans="1:6" x14ac:dyDescent="0.25">
      <c r="A2994">
        <v>760000</v>
      </c>
      <c r="B2994">
        <v>6.1050000000000004</v>
      </c>
      <c r="E2994">
        <v>760000</v>
      </c>
      <c r="F2994">
        <v>5.9158999999999997</v>
      </c>
    </row>
    <row r="2995" spans="1:6" x14ac:dyDescent="0.25">
      <c r="A2995">
        <v>761000</v>
      </c>
      <c r="B2995">
        <v>6.1055999999999999</v>
      </c>
      <c r="E2995">
        <v>761000</v>
      </c>
      <c r="F2995">
        <v>5.9166999999999996</v>
      </c>
    </row>
    <row r="2996" spans="1:6" x14ac:dyDescent="0.25">
      <c r="A2996">
        <v>762000</v>
      </c>
      <c r="B2996">
        <v>6.1060999999999996</v>
      </c>
      <c r="E2996">
        <v>762000</v>
      </c>
      <c r="F2996">
        <v>5.9173999999999998</v>
      </c>
    </row>
    <row r="2997" spans="1:6" x14ac:dyDescent="0.25">
      <c r="A2997">
        <v>763000</v>
      </c>
      <c r="B2997">
        <v>6.1066000000000003</v>
      </c>
      <c r="E2997">
        <v>763000</v>
      </c>
      <c r="F2997">
        <v>5.9181999999999997</v>
      </c>
    </row>
    <row r="2998" spans="1:6" x14ac:dyDescent="0.25">
      <c r="A2998">
        <v>764000</v>
      </c>
      <c r="B2998">
        <v>6.1071</v>
      </c>
      <c r="E2998">
        <v>764000</v>
      </c>
      <c r="F2998">
        <v>5.9189999999999996</v>
      </c>
    </row>
    <row r="2999" spans="1:6" x14ac:dyDescent="0.25">
      <c r="A2999">
        <v>765000</v>
      </c>
      <c r="B2999">
        <v>6.1075999999999997</v>
      </c>
      <c r="E2999">
        <v>765000</v>
      </c>
      <c r="F2999">
        <v>5.9196999999999997</v>
      </c>
    </row>
    <row r="3000" spans="1:6" x14ac:dyDescent="0.25">
      <c r="A3000">
        <v>766000</v>
      </c>
      <c r="B3000">
        <v>6.1081000000000003</v>
      </c>
      <c r="E3000">
        <v>766000</v>
      </c>
      <c r="F3000">
        <v>5.9204999999999997</v>
      </c>
    </row>
    <row r="3001" spans="1:6" x14ac:dyDescent="0.25">
      <c r="A3001">
        <v>767000</v>
      </c>
      <c r="B3001">
        <v>6.1086</v>
      </c>
      <c r="E3001">
        <v>767000</v>
      </c>
      <c r="F3001">
        <v>5.9211999999999998</v>
      </c>
    </row>
    <row r="3002" spans="1:6" x14ac:dyDescent="0.25">
      <c r="A3002">
        <v>768000</v>
      </c>
      <c r="B3002">
        <v>6.1090999999999998</v>
      </c>
      <c r="E3002">
        <v>768000</v>
      </c>
      <c r="F3002">
        <v>5.9219999999999997</v>
      </c>
    </row>
    <row r="3003" spans="1:6" x14ac:dyDescent="0.25">
      <c r="A3003">
        <v>769000</v>
      </c>
      <c r="B3003">
        <v>6.1097000000000001</v>
      </c>
      <c r="E3003">
        <v>769000</v>
      </c>
      <c r="F3003">
        <v>5.9227999999999996</v>
      </c>
    </row>
    <row r="3004" spans="1:6" x14ac:dyDescent="0.25">
      <c r="A3004">
        <v>770000</v>
      </c>
      <c r="B3004">
        <v>6.1101999999999999</v>
      </c>
      <c r="E3004">
        <v>770000</v>
      </c>
      <c r="F3004">
        <v>5.9234999999999998</v>
      </c>
    </row>
    <row r="3005" spans="1:6" x14ac:dyDescent="0.25">
      <c r="A3005">
        <v>771000</v>
      </c>
      <c r="B3005">
        <v>6.1106999999999996</v>
      </c>
      <c r="E3005">
        <v>771000</v>
      </c>
      <c r="F3005">
        <v>5.9241999999999999</v>
      </c>
    </row>
    <row r="3006" spans="1:6" x14ac:dyDescent="0.25">
      <c r="A3006">
        <v>772000</v>
      </c>
      <c r="B3006">
        <v>6.1112000000000002</v>
      </c>
      <c r="E3006">
        <v>772000</v>
      </c>
      <c r="F3006">
        <v>5.9249999999999998</v>
      </c>
    </row>
    <row r="3007" spans="1:6" x14ac:dyDescent="0.25">
      <c r="A3007">
        <v>773000</v>
      </c>
      <c r="B3007">
        <v>6.1116999999999999</v>
      </c>
      <c r="E3007">
        <v>773000</v>
      </c>
      <c r="F3007">
        <v>5.9257</v>
      </c>
    </row>
    <row r="3008" spans="1:6" x14ac:dyDescent="0.25">
      <c r="A3008">
        <v>774000</v>
      </c>
      <c r="B3008">
        <v>6.1121999999999996</v>
      </c>
      <c r="E3008">
        <v>774000</v>
      </c>
      <c r="F3008">
        <v>5.9264999999999999</v>
      </c>
    </row>
    <row r="3009" spans="1:6" x14ac:dyDescent="0.25">
      <c r="A3009">
        <v>775000</v>
      </c>
      <c r="B3009">
        <v>6.1127000000000002</v>
      </c>
      <c r="E3009">
        <v>775000</v>
      </c>
      <c r="F3009">
        <v>5.9272</v>
      </c>
    </row>
    <row r="3010" spans="1:6" x14ac:dyDescent="0.25">
      <c r="A3010">
        <v>776000</v>
      </c>
      <c r="B3010">
        <v>6.1132</v>
      </c>
      <c r="E3010">
        <v>776000</v>
      </c>
      <c r="F3010">
        <v>5.9279999999999999</v>
      </c>
    </row>
    <row r="3011" spans="1:6" x14ac:dyDescent="0.25">
      <c r="A3011">
        <v>777000</v>
      </c>
      <c r="B3011">
        <v>6.1136999999999997</v>
      </c>
      <c r="E3011">
        <v>777000</v>
      </c>
      <c r="F3011">
        <v>5.9287000000000001</v>
      </c>
    </row>
    <row r="3012" spans="1:6" x14ac:dyDescent="0.25">
      <c r="A3012">
        <v>778000</v>
      </c>
      <c r="B3012">
        <v>6.1142000000000003</v>
      </c>
      <c r="E3012">
        <v>778000</v>
      </c>
      <c r="F3012">
        <v>5.9294000000000002</v>
      </c>
    </row>
    <row r="3013" spans="1:6" x14ac:dyDescent="0.25">
      <c r="A3013">
        <v>779000</v>
      </c>
      <c r="B3013">
        <v>6.1147</v>
      </c>
      <c r="E3013">
        <v>779000</v>
      </c>
      <c r="F3013">
        <v>5.9302000000000001</v>
      </c>
    </row>
    <row r="3014" spans="1:6" x14ac:dyDescent="0.25">
      <c r="A3014">
        <v>780000</v>
      </c>
      <c r="B3014">
        <v>6.1151999999999997</v>
      </c>
      <c r="E3014">
        <v>780000</v>
      </c>
      <c r="F3014">
        <v>5.9309000000000003</v>
      </c>
    </row>
    <row r="3015" spans="1:6" x14ac:dyDescent="0.25">
      <c r="A3015">
        <v>781000</v>
      </c>
      <c r="B3015">
        <v>6.1157000000000004</v>
      </c>
      <c r="E3015">
        <v>781000</v>
      </c>
      <c r="F3015">
        <v>5.9316000000000004</v>
      </c>
    </row>
    <row r="3016" spans="1:6" x14ac:dyDescent="0.25">
      <c r="A3016">
        <v>782000</v>
      </c>
      <c r="B3016">
        <v>6.1161000000000003</v>
      </c>
      <c r="E3016">
        <v>782000</v>
      </c>
      <c r="F3016">
        <v>5.9322999999999997</v>
      </c>
    </row>
    <row r="3017" spans="1:6" x14ac:dyDescent="0.25">
      <c r="A3017">
        <v>783000</v>
      </c>
      <c r="B3017">
        <v>6.1166</v>
      </c>
      <c r="E3017">
        <v>783000</v>
      </c>
      <c r="F3017">
        <v>5.9330999999999996</v>
      </c>
    </row>
    <row r="3018" spans="1:6" x14ac:dyDescent="0.25">
      <c r="A3018">
        <v>784000</v>
      </c>
      <c r="B3018">
        <v>6.1170999999999998</v>
      </c>
      <c r="E3018">
        <v>784000</v>
      </c>
      <c r="F3018">
        <v>5.9337999999999997</v>
      </c>
    </row>
    <row r="3019" spans="1:6" x14ac:dyDescent="0.25">
      <c r="A3019">
        <v>785000</v>
      </c>
      <c r="B3019">
        <v>6.1176000000000004</v>
      </c>
      <c r="E3019">
        <v>785000</v>
      </c>
      <c r="F3019">
        <v>5.9344999999999999</v>
      </c>
    </row>
    <row r="3020" spans="1:6" x14ac:dyDescent="0.25">
      <c r="A3020">
        <v>786000</v>
      </c>
      <c r="B3020">
        <v>6.1181000000000001</v>
      </c>
      <c r="E3020">
        <v>786000</v>
      </c>
      <c r="F3020">
        <v>5.9352</v>
      </c>
    </row>
    <row r="3021" spans="1:6" x14ac:dyDescent="0.25">
      <c r="A3021">
        <v>787000</v>
      </c>
      <c r="B3021">
        <v>6.1185999999999998</v>
      </c>
      <c r="E3021">
        <v>787000</v>
      </c>
      <c r="F3021">
        <v>5.9359999999999999</v>
      </c>
    </row>
    <row r="3022" spans="1:6" x14ac:dyDescent="0.25">
      <c r="A3022">
        <v>788000</v>
      </c>
      <c r="B3022">
        <v>6.1191000000000004</v>
      </c>
      <c r="E3022">
        <v>788000</v>
      </c>
      <c r="F3022">
        <v>5.9367000000000001</v>
      </c>
    </row>
    <row r="3023" spans="1:6" x14ac:dyDescent="0.25">
      <c r="A3023">
        <v>789000</v>
      </c>
      <c r="B3023">
        <v>6.1196000000000002</v>
      </c>
      <c r="E3023">
        <v>789000</v>
      </c>
      <c r="F3023">
        <v>5.9374000000000002</v>
      </c>
    </row>
    <row r="3024" spans="1:6" x14ac:dyDescent="0.25">
      <c r="A3024">
        <v>790000</v>
      </c>
      <c r="B3024">
        <v>6.12</v>
      </c>
      <c r="E3024">
        <v>790000</v>
      </c>
      <c r="F3024">
        <v>5.9381000000000004</v>
      </c>
    </row>
    <row r="3025" spans="1:6" x14ac:dyDescent="0.25">
      <c r="A3025">
        <v>791000</v>
      </c>
      <c r="B3025">
        <v>6.1204999999999998</v>
      </c>
      <c r="E3025">
        <v>791000</v>
      </c>
      <c r="F3025">
        <v>5.9387999999999996</v>
      </c>
    </row>
    <row r="3026" spans="1:6" x14ac:dyDescent="0.25">
      <c r="A3026">
        <v>792000</v>
      </c>
      <c r="B3026">
        <v>6.1210000000000004</v>
      </c>
      <c r="E3026">
        <v>792000</v>
      </c>
      <c r="F3026">
        <v>5.9394999999999998</v>
      </c>
    </row>
    <row r="3027" spans="1:6" x14ac:dyDescent="0.25">
      <c r="A3027">
        <v>793000</v>
      </c>
      <c r="B3027">
        <v>6.1215000000000002</v>
      </c>
      <c r="E3027">
        <v>793000</v>
      </c>
      <c r="F3027">
        <v>5.9401999999999999</v>
      </c>
    </row>
    <row r="3028" spans="1:6" x14ac:dyDescent="0.25">
      <c r="A3028">
        <v>794000</v>
      </c>
      <c r="B3028">
        <v>6.1219000000000001</v>
      </c>
      <c r="E3028">
        <v>794000</v>
      </c>
      <c r="F3028">
        <v>5.9409000000000001</v>
      </c>
    </row>
    <row r="3029" spans="1:6" x14ac:dyDescent="0.25">
      <c r="A3029">
        <v>795000</v>
      </c>
      <c r="B3029">
        <v>6.1223999999999998</v>
      </c>
      <c r="E3029">
        <v>795000</v>
      </c>
      <c r="F3029">
        <v>5.9416000000000002</v>
      </c>
    </row>
    <row r="3030" spans="1:6" x14ac:dyDescent="0.25">
      <c r="A3030">
        <v>796000</v>
      </c>
      <c r="B3030">
        <v>6.1228999999999996</v>
      </c>
      <c r="E3030">
        <v>796000</v>
      </c>
      <c r="F3030">
        <v>5.9423000000000004</v>
      </c>
    </row>
    <row r="3031" spans="1:6" x14ac:dyDescent="0.25">
      <c r="A3031">
        <v>797000</v>
      </c>
      <c r="B3031">
        <v>6.1234000000000002</v>
      </c>
      <c r="E3031">
        <v>797000</v>
      </c>
      <c r="F3031">
        <v>5.9429999999999996</v>
      </c>
    </row>
    <row r="3032" spans="1:6" x14ac:dyDescent="0.25">
      <c r="A3032">
        <v>798000</v>
      </c>
      <c r="B3032">
        <v>6.1238000000000001</v>
      </c>
      <c r="E3032">
        <v>798000</v>
      </c>
      <c r="F3032">
        <v>5.9436999999999998</v>
      </c>
    </row>
    <row r="3033" spans="1:6" x14ac:dyDescent="0.25">
      <c r="A3033">
        <v>799000</v>
      </c>
      <c r="B3033">
        <v>6.1242999999999999</v>
      </c>
      <c r="E3033">
        <v>799000</v>
      </c>
      <c r="F3033">
        <v>5.9443999999999999</v>
      </c>
    </row>
    <row r="3034" spans="1:6" x14ac:dyDescent="0.25">
      <c r="A3034">
        <v>800000</v>
      </c>
      <c r="B3034">
        <v>6.1247999999999996</v>
      </c>
      <c r="E3034">
        <v>800000</v>
      </c>
      <c r="F3034">
        <v>5.9451000000000001</v>
      </c>
    </row>
    <row r="3035" spans="1:6" x14ac:dyDescent="0.25">
      <c r="A3035">
        <v>801000</v>
      </c>
      <c r="B3035">
        <v>6.1252000000000004</v>
      </c>
      <c r="E3035">
        <v>801000</v>
      </c>
      <c r="F3035">
        <v>5.9458000000000002</v>
      </c>
    </row>
    <row r="3036" spans="1:6" x14ac:dyDescent="0.25">
      <c r="A3036">
        <v>802000</v>
      </c>
      <c r="B3036">
        <v>6.1257000000000001</v>
      </c>
      <c r="E3036">
        <v>802000</v>
      </c>
      <c r="F3036">
        <v>5.9465000000000003</v>
      </c>
    </row>
    <row r="3037" spans="1:6" x14ac:dyDescent="0.25">
      <c r="A3037">
        <v>803000</v>
      </c>
      <c r="B3037">
        <v>6.1261999999999999</v>
      </c>
      <c r="E3037">
        <v>803000</v>
      </c>
      <c r="F3037">
        <v>5.9471999999999996</v>
      </c>
    </row>
    <row r="3038" spans="1:6" x14ac:dyDescent="0.25">
      <c r="A3038">
        <v>804000</v>
      </c>
      <c r="B3038">
        <v>6.1265999999999998</v>
      </c>
      <c r="E3038">
        <v>804000</v>
      </c>
      <c r="F3038">
        <v>5.9478999999999997</v>
      </c>
    </row>
    <row r="3039" spans="1:6" x14ac:dyDescent="0.25">
      <c r="A3039">
        <v>805000</v>
      </c>
      <c r="B3039">
        <v>6.1271000000000004</v>
      </c>
      <c r="E3039">
        <v>805000</v>
      </c>
      <c r="F3039">
        <v>5.9485999999999999</v>
      </c>
    </row>
    <row r="3040" spans="1:6" x14ac:dyDescent="0.25">
      <c r="A3040">
        <v>806000</v>
      </c>
      <c r="B3040">
        <v>6.1276000000000002</v>
      </c>
      <c r="E3040">
        <v>806000</v>
      </c>
      <c r="F3040">
        <v>5.9492000000000003</v>
      </c>
    </row>
    <row r="3041" spans="1:6" x14ac:dyDescent="0.25">
      <c r="A3041">
        <v>807000</v>
      </c>
      <c r="B3041">
        <v>6.1280000000000001</v>
      </c>
      <c r="E3041">
        <v>807000</v>
      </c>
      <c r="F3041">
        <v>5.9499000000000004</v>
      </c>
    </row>
    <row r="3042" spans="1:6" x14ac:dyDescent="0.25">
      <c r="A3042">
        <v>808000</v>
      </c>
      <c r="B3042">
        <v>6.1284999999999998</v>
      </c>
      <c r="E3042">
        <v>808000</v>
      </c>
      <c r="F3042">
        <v>5.9505999999999997</v>
      </c>
    </row>
    <row r="3043" spans="1:6" x14ac:dyDescent="0.25">
      <c r="A3043">
        <v>809000</v>
      </c>
      <c r="B3043">
        <v>6.1289999999999996</v>
      </c>
      <c r="E3043">
        <v>809000</v>
      </c>
      <c r="F3043">
        <v>5.9512999999999998</v>
      </c>
    </row>
    <row r="3044" spans="1:6" x14ac:dyDescent="0.25">
      <c r="A3044">
        <v>810000</v>
      </c>
      <c r="B3044">
        <v>6.1294000000000004</v>
      </c>
      <c r="E3044">
        <v>810000</v>
      </c>
      <c r="F3044">
        <v>5.952</v>
      </c>
    </row>
    <row r="3045" spans="1:6" x14ac:dyDescent="0.25">
      <c r="A3045">
        <v>811000</v>
      </c>
      <c r="B3045">
        <v>6.1299000000000001</v>
      </c>
      <c r="E3045">
        <v>811000</v>
      </c>
      <c r="F3045">
        <v>5.9526000000000003</v>
      </c>
    </row>
    <row r="3046" spans="1:6" x14ac:dyDescent="0.25">
      <c r="A3046">
        <v>812000</v>
      </c>
      <c r="B3046">
        <v>6.1303000000000001</v>
      </c>
      <c r="E3046">
        <v>812000</v>
      </c>
      <c r="F3046">
        <v>5.9532999999999996</v>
      </c>
    </row>
    <row r="3047" spans="1:6" x14ac:dyDescent="0.25">
      <c r="A3047">
        <v>813000</v>
      </c>
      <c r="B3047">
        <v>6.1307999999999998</v>
      </c>
      <c r="E3047">
        <v>813000</v>
      </c>
      <c r="F3047">
        <v>5.9539999999999997</v>
      </c>
    </row>
    <row r="3048" spans="1:6" x14ac:dyDescent="0.25">
      <c r="A3048">
        <v>814000</v>
      </c>
      <c r="B3048">
        <v>6.1311999999999998</v>
      </c>
      <c r="E3048">
        <v>814000</v>
      </c>
      <c r="F3048">
        <v>5.9546999999999999</v>
      </c>
    </row>
    <row r="3049" spans="1:6" x14ac:dyDescent="0.25">
      <c r="A3049">
        <v>815000</v>
      </c>
      <c r="B3049">
        <v>6.1317000000000004</v>
      </c>
      <c r="E3049">
        <v>815000</v>
      </c>
      <c r="F3049">
        <v>5.9553000000000003</v>
      </c>
    </row>
    <row r="3050" spans="1:6" x14ac:dyDescent="0.25">
      <c r="A3050">
        <v>816000</v>
      </c>
      <c r="B3050">
        <v>6.1321000000000003</v>
      </c>
      <c r="E3050">
        <v>816000</v>
      </c>
      <c r="F3050">
        <v>5.9560000000000004</v>
      </c>
    </row>
    <row r="3051" spans="1:6" x14ac:dyDescent="0.25">
      <c r="A3051">
        <v>817000</v>
      </c>
      <c r="B3051">
        <v>6.1326000000000001</v>
      </c>
      <c r="E3051">
        <v>817000</v>
      </c>
      <c r="F3051">
        <v>5.9566999999999997</v>
      </c>
    </row>
    <row r="3052" spans="1:6" x14ac:dyDescent="0.25">
      <c r="A3052">
        <v>818000</v>
      </c>
      <c r="B3052">
        <v>6.133</v>
      </c>
      <c r="E3052">
        <v>818000</v>
      </c>
      <c r="F3052">
        <v>5.9573</v>
      </c>
    </row>
    <row r="3053" spans="1:6" x14ac:dyDescent="0.25">
      <c r="A3053">
        <v>819000</v>
      </c>
      <c r="B3053">
        <v>6.1334999999999997</v>
      </c>
      <c r="E3053">
        <v>819000</v>
      </c>
      <c r="F3053">
        <v>5.9580000000000002</v>
      </c>
    </row>
    <row r="3054" spans="1:6" x14ac:dyDescent="0.25">
      <c r="A3054">
        <v>820000</v>
      </c>
      <c r="B3054">
        <v>6.1338999999999997</v>
      </c>
      <c r="E3054">
        <v>820000</v>
      </c>
      <c r="F3054">
        <v>5.9587000000000003</v>
      </c>
    </row>
    <row r="3055" spans="1:6" x14ac:dyDescent="0.25">
      <c r="A3055">
        <v>821000</v>
      </c>
      <c r="B3055">
        <v>6.1344000000000003</v>
      </c>
      <c r="E3055">
        <v>821000</v>
      </c>
      <c r="F3055">
        <v>5.9592999999999998</v>
      </c>
    </row>
    <row r="3056" spans="1:6" x14ac:dyDescent="0.25">
      <c r="A3056">
        <v>822000</v>
      </c>
      <c r="B3056">
        <v>6.1348000000000003</v>
      </c>
      <c r="E3056">
        <v>822000</v>
      </c>
      <c r="F3056">
        <v>5.96</v>
      </c>
    </row>
    <row r="3057" spans="1:6" x14ac:dyDescent="0.25">
      <c r="A3057">
        <v>823000</v>
      </c>
      <c r="B3057">
        <v>6.1353</v>
      </c>
      <c r="E3057">
        <v>823000</v>
      </c>
      <c r="F3057">
        <v>5.9606000000000003</v>
      </c>
    </row>
    <row r="3058" spans="1:6" x14ac:dyDescent="0.25">
      <c r="A3058">
        <v>824000</v>
      </c>
      <c r="B3058">
        <v>6.1356999999999999</v>
      </c>
      <c r="E3058">
        <v>824000</v>
      </c>
      <c r="F3058">
        <v>5.9612999999999996</v>
      </c>
    </row>
    <row r="3059" spans="1:6" x14ac:dyDescent="0.25">
      <c r="A3059">
        <v>825000</v>
      </c>
      <c r="B3059">
        <v>6.1361999999999997</v>
      </c>
      <c r="E3059">
        <v>825000</v>
      </c>
      <c r="F3059">
        <v>5.9619</v>
      </c>
    </row>
    <row r="3060" spans="1:6" x14ac:dyDescent="0.25">
      <c r="A3060">
        <v>826000</v>
      </c>
      <c r="B3060">
        <v>6.1365999999999996</v>
      </c>
      <c r="E3060">
        <v>826000</v>
      </c>
      <c r="F3060">
        <v>5.9626000000000001</v>
      </c>
    </row>
    <row r="3061" spans="1:6" x14ac:dyDescent="0.25">
      <c r="A3061">
        <v>827000</v>
      </c>
      <c r="B3061">
        <v>6.1369999999999996</v>
      </c>
      <c r="E3061">
        <v>827000</v>
      </c>
      <c r="F3061">
        <v>5.9631999999999996</v>
      </c>
    </row>
    <row r="3062" spans="1:6" x14ac:dyDescent="0.25">
      <c r="A3062">
        <v>828000</v>
      </c>
      <c r="B3062">
        <v>6.1375000000000002</v>
      </c>
      <c r="E3062">
        <v>828000</v>
      </c>
      <c r="F3062">
        <v>5.9638999999999998</v>
      </c>
    </row>
    <row r="3063" spans="1:6" x14ac:dyDescent="0.25">
      <c r="A3063">
        <v>829000</v>
      </c>
      <c r="B3063">
        <v>6.1379000000000001</v>
      </c>
      <c r="E3063">
        <v>829000</v>
      </c>
      <c r="F3063">
        <v>5.9645000000000001</v>
      </c>
    </row>
    <row r="3064" spans="1:6" x14ac:dyDescent="0.25">
      <c r="A3064">
        <v>830000</v>
      </c>
      <c r="B3064">
        <v>6.1383000000000001</v>
      </c>
      <c r="E3064">
        <v>830000</v>
      </c>
      <c r="F3064">
        <v>5.9652000000000003</v>
      </c>
    </row>
    <row r="3065" spans="1:6" x14ac:dyDescent="0.25">
      <c r="A3065">
        <v>831000</v>
      </c>
      <c r="B3065">
        <v>6.1387999999999998</v>
      </c>
      <c r="E3065">
        <v>831000</v>
      </c>
      <c r="F3065">
        <v>5.9657999999999998</v>
      </c>
    </row>
    <row r="3066" spans="1:6" x14ac:dyDescent="0.25">
      <c r="A3066">
        <v>832000</v>
      </c>
      <c r="B3066">
        <v>6.1391999999999998</v>
      </c>
      <c r="E3066">
        <v>832000</v>
      </c>
      <c r="F3066">
        <v>5.9664999999999999</v>
      </c>
    </row>
    <row r="3067" spans="1:6" x14ac:dyDescent="0.25">
      <c r="A3067">
        <v>833000</v>
      </c>
      <c r="B3067">
        <v>6.1395999999999997</v>
      </c>
      <c r="E3067">
        <v>833000</v>
      </c>
      <c r="F3067">
        <v>5.9671000000000003</v>
      </c>
    </row>
    <row r="3068" spans="1:6" x14ac:dyDescent="0.25">
      <c r="A3068">
        <v>834000</v>
      </c>
      <c r="B3068">
        <v>6.1401000000000003</v>
      </c>
      <c r="E3068">
        <v>834000</v>
      </c>
      <c r="F3068">
        <v>5.9676999999999998</v>
      </c>
    </row>
    <row r="3069" spans="1:6" x14ac:dyDescent="0.25">
      <c r="A3069">
        <v>835000</v>
      </c>
      <c r="B3069">
        <v>6.1405000000000003</v>
      </c>
      <c r="E3069">
        <v>835000</v>
      </c>
      <c r="F3069">
        <v>5.9683999999999999</v>
      </c>
    </row>
    <row r="3070" spans="1:6" x14ac:dyDescent="0.25">
      <c r="A3070">
        <v>836000</v>
      </c>
      <c r="B3070">
        <v>6.1409000000000002</v>
      </c>
      <c r="E3070">
        <v>836000</v>
      </c>
      <c r="F3070">
        <v>5.9690000000000003</v>
      </c>
    </row>
    <row r="3071" spans="1:6" x14ac:dyDescent="0.25">
      <c r="A3071">
        <v>837000</v>
      </c>
      <c r="B3071">
        <v>6.1414</v>
      </c>
      <c r="E3071">
        <v>837000</v>
      </c>
      <c r="F3071">
        <v>5.9695999999999998</v>
      </c>
    </row>
    <row r="3072" spans="1:6" x14ac:dyDescent="0.25">
      <c r="A3072">
        <v>838000</v>
      </c>
      <c r="B3072">
        <v>6.1417999999999999</v>
      </c>
      <c r="E3072">
        <v>838000</v>
      </c>
      <c r="F3072">
        <v>5.9702999999999999</v>
      </c>
    </row>
    <row r="3073" spans="1:6" x14ac:dyDescent="0.25">
      <c r="A3073">
        <v>839000</v>
      </c>
      <c r="B3073">
        <v>6.1421999999999999</v>
      </c>
      <c r="E3073">
        <v>839000</v>
      </c>
      <c r="F3073">
        <v>5.9709000000000003</v>
      </c>
    </row>
    <row r="3074" spans="1:6" x14ac:dyDescent="0.25">
      <c r="A3074">
        <v>840000</v>
      </c>
      <c r="B3074">
        <v>6.1425999999999998</v>
      </c>
      <c r="E3074">
        <v>840000</v>
      </c>
      <c r="F3074">
        <v>5.9714999999999998</v>
      </c>
    </row>
    <row r="3075" spans="1:6" x14ac:dyDescent="0.25">
      <c r="A3075">
        <v>841000</v>
      </c>
      <c r="B3075">
        <v>6.1430999999999996</v>
      </c>
      <c r="E3075">
        <v>841000</v>
      </c>
      <c r="F3075">
        <v>5.9722</v>
      </c>
    </row>
    <row r="3076" spans="1:6" x14ac:dyDescent="0.25">
      <c r="A3076">
        <v>842000</v>
      </c>
      <c r="B3076">
        <v>6.1435000000000004</v>
      </c>
      <c r="E3076">
        <v>842000</v>
      </c>
      <c r="F3076">
        <v>5.9728000000000003</v>
      </c>
    </row>
    <row r="3077" spans="1:6" x14ac:dyDescent="0.25">
      <c r="A3077">
        <v>843000</v>
      </c>
      <c r="B3077">
        <v>6.1439000000000004</v>
      </c>
      <c r="E3077">
        <v>843000</v>
      </c>
      <c r="F3077">
        <v>5.9733999999999998</v>
      </c>
    </row>
    <row r="3078" spans="1:6" x14ac:dyDescent="0.25">
      <c r="A3078">
        <v>844000</v>
      </c>
      <c r="B3078">
        <v>6.1443000000000003</v>
      </c>
      <c r="E3078">
        <v>844000</v>
      </c>
      <c r="F3078">
        <v>5.9740000000000002</v>
      </c>
    </row>
    <row r="3079" spans="1:6" x14ac:dyDescent="0.25">
      <c r="A3079">
        <v>845000</v>
      </c>
      <c r="B3079">
        <v>6.1448</v>
      </c>
      <c r="E3079">
        <v>845000</v>
      </c>
      <c r="F3079">
        <v>5.9747000000000003</v>
      </c>
    </row>
    <row r="3080" spans="1:6" x14ac:dyDescent="0.25">
      <c r="A3080">
        <v>846000</v>
      </c>
      <c r="B3080">
        <v>6.1452</v>
      </c>
      <c r="E3080">
        <v>846000</v>
      </c>
      <c r="F3080">
        <v>5.9752999999999998</v>
      </c>
    </row>
    <row r="3081" spans="1:6" x14ac:dyDescent="0.25">
      <c r="A3081">
        <v>847000</v>
      </c>
      <c r="B3081">
        <v>6.1456</v>
      </c>
      <c r="E3081">
        <v>847000</v>
      </c>
      <c r="F3081">
        <v>5.9759000000000002</v>
      </c>
    </row>
    <row r="3082" spans="1:6" x14ac:dyDescent="0.25">
      <c r="A3082">
        <v>848000</v>
      </c>
      <c r="B3082">
        <v>6.1459999999999999</v>
      </c>
      <c r="E3082">
        <v>848000</v>
      </c>
      <c r="F3082">
        <v>5.9764999999999997</v>
      </c>
    </row>
    <row r="3083" spans="1:6" x14ac:dyDescent="0.25">
      <c r="A3083">
        <v>849000</v>
      </c>
      <c r="B3083">
        <v>6.1463999999999999</v>
      </c>
      <c r="E3083">
        <v>849000</v>
      </c>
      <c r="F3083">
        <v>5.9771000000000001</v>
      </c>
    </row>
    <row r="3084" spans="1:6" x14ac:dyDescent="0.25">
      <c r="A3084">
        <v>850000</v>
      </c>
      <c r="B3084">
        <v>6.1468999999999996</v>
      </c>
      <c r="E3084">
        <v>850000</v>
      </c>
      <c r="F3084">
        <v>5.9778000000000002</v>
      </c>
    </row>
    <row r="3085" spans="1:6" x14ac:dyDescent="0.25">
      <c r="A3085">
        <v>851000</v>
      </c>
      <c r="B3085">
        <v>6.1473000000000004</v>
      </c>
      <c r="E3085">
        <v>851000</v>
      </c>
      <c r="F3085">
        <v>5.9783999999999997</v>
      </c>
    </row>
    <row r="3086" spans="1:6" x14ac:dyDescent="0.25">
      <c r="A3086">
        <v>852000</v>
      </c>
      <c r="B3086">
        <v>6.1477000000000004</v>
      </c>
      <c r="E3086">
        <v>852000</v>
      </c>
      <c r="F3086">
        <v>5.9790000000000001</v>
      </c>
    </row>
    <row r="3087" spans="1:6" x14ac:dyDescent="0.25">
      <c r="A3087">
        <v>853000</v>
      </c>
      <c r="B3087">
        <v>6.1481000000000003</v>
      </c>
      <c r="E3087">
        <v>853000</v>
      </c>
      <c r="F3087">
        <v>5.9795999999999996</v>
      </c>
    </row>
    <row r="3088" spans="1:6" x14ac:dyDescent="0.25">
      <c r="A3088">
        <v>854000</v>
      </c>
      <c r="B3088">
        <v>6.1485000000000003</v>
      </c>
      <c r="E3088">
        <v>854000</v>
      </c>
      <c r="F3088">
        <v>5.9802</v>
      </c>
    </row>
    <row r="3089" spans="1:6" x14ac:dyDescent="0.25">
      <c r="A3089">
        <v>855000</v>
      </c>
      <c r="B3089">
        <v>6.1489000000000003</v>
      </c>
      <c r="E3089">
        <v>855000</v>
      </c>
      <c r="F3089">
        <v>5.9808000000000003</v>
      </c>
    </row>
    <row r="3090" spans="1:6" x14ac:dyDescent="0.25">
      <c r="A3090">
        <v>856000</v>
      </c>
      <c r="B3090">
        <v>6.1493000000000002</v>
      </c>
      <c r="E3090">
        <v>856000</v>
      </c>
      <c r="F3090">
        <v>5.9813999999999998</v>
      </c>
    </row>
    <row r="3091" spans="1:6" x14ac:dyDescent="0.25">
      <c r="A3091">
        <v>857000</v>
      </c>
      <c r="B3091">
        <v>6.1497000000000002</v>
      </c>
      <c r="E3091">
        <v>857000</v>
      </c>
      <c r="F3091">
        <v>5.9820000000000002</v>
      </c>
    </row>
    <row r="3092" spans="1:6" x14ac:dyDescent="0.25">
      <c r="A3092">
        <v>858000</v>
      </c>
      <c r="B3092">
        <v>6.1501000000000001</v>
      </c>
      <c r="E3092">
        <v>858000</v>
      </c>
      <c r="F3092">
        <v>5.9825999999999997</v>
      </c>
    </row>
    <row r="3093" spans="1:6" x14ac:dyDescent="0.25">
      <c r="A3093">
        <v>859000</v>
      </c>
      <c r="B3093">
        <v>6.1505999999999998</v>
      </c>
      <c r="E3093">
        <v>859000</v>
      </c>
      <c r="F3093">
        <v>5.9832000000000001</v>
      </c>
    </row>
    <row r="3094" spans="1:6" x14ac:dyDescent="0.25">
      <c r="A3094">
        <v>860000</v>
      </c>
      <c r="B3094">
        <v>6.1509999999999998</v>
      </c>
      <c r="E3094">
        <v>860000</v>
      </c>
      <c r="F3094">
        <v>5.9837999999999996</v>
      </c>
    </row>
    <row r="3095" spans="1:6" x14ac:dyDescent="0.25">
      <c r="A3095">
        <v>861000</v>
      </c>
      <c r="B3095">
        <v>6.1513999999999998</v>
      </c>
      <c r="E3095">
        <v>861000</v>
      </c>
      <c r="F3095">
        <v>5.9843999999999999</v>
      </c>
    </row>
    <row r="3096" spans="1:6" x14ac:dyDescent="0.25">
      <c r="A3096">
        <v>862000</v>
      </c>
      <c r="B3096">
        <v>6.1517999999999997</v>
      </c>
      <c r="E3096">
        <v>862000</v>
      </c>
      <c r="F3096">
        <v>5.9850000000000003</v>
      </c>
    </row>
    <row r="3097" spans="1:6" x14ac:dyDescent="0.25">
      <c r="A3097">
        <v>863000</v>
      </c>
      <c r="B3097">
        <v>6.1521999999999997</v>
      </c>
      <c r="E3097">
        <v>863000</v>
      </c>
      <c r="F3097">
        <v>5.9855999999999998</v>
      </c>
    </row>
    <row r="3098" spans="1:6" x14ac:dyDescent="0.25">
      <c r="A3098">
        <v>864000</v>
      </c>
      <c r="B3098">
        <v>6.1525999999999996</v>
      </c>
      <c r="E3098">
        <v>864000</v>
      </c>
      <c r="F3098">
        <v>5.9862000000000002</v>
      </c>
    </row>
    <row r="3099" spans="1:6" x14ac:dyDescent="0.25">
      <c r="A3099">
        <v>865000</v>
      </c>
      <c r="B3099">
        <v>6.1529999999999996</v>
      </c>
      <c r="E3099">
        <v>865000</v>
      </c>
      <c r="F3099">
        <v>5.9867999999999997</v>
      </c>
    </row>
    <row r="3100" spans="1:6" x14ac:dyDescent="0.25">
      <c r="A3100">
        <v>866000</v>
      </c>
      <c r="B3100">
        <v>6.1534000000000004</v>
      </c>
      <c r="E3100">
        <v>866000</v>
      </c>
      <c r="F3100">
        <v>5.9874000000000001</v>
      </c>
    </row>
    <row r="3101" spans="1:6" x14ac:dyDescent="0.25">
      <c r="A3101">
        <v>867000</v>
      </c>
      <c r="B3101">
        <v>6.1538000000000004</v>
      </c>
      <c r="E3101">
        <v>867000</v>
      </c>
      <c r="F3101">
        <v>5.9880000000000004</v>
      </c>
    </row>
    <row r="3102" spans="1:6" x14ac:dyDescent="0.25">
      <c r="A3102">
        <v>868000</v>
      </c>
      <c r="B3102">
        <v>6.1542000000000003</v>
      </c>
      <c r="E3102">
        <v>868000</v>
      </c>
      <c r="F3102">
        <v>5.9885999999999999</v>
      </c>
    </row>
    <row r="3103" spans="1:6" x14ac:dyDescent="0.25">
      <c r="A3103">
        <v>869000</v>
      </c>
      <c r="B3103">
        <v>6.1546000000000003</v>
      </c>
      <c r="E3103">
        <v>869000</v>
      </c>
      <c r="F3103">
        <v>5.9892000000000003</v>
      </c>
    </row>
    <row r="3104" spans="1:6" x14ac:dyDescent="0.25">
      <c r="A3104">
        <v>870000</v>
      </c>
      <c r="B3104">
        <v>6.1550000000000002</v>
      </c>
      <c r="E3104">
        <v>870000</v>
      </c>
      <c r="F3104">
        <v>5.9897999999999998</v>
      </c>
    </row>
    <row r="3105" spans="1:6" x14ac:dyDescent="0.25">
      <c r="A3105">
        <v>871000</v>
      </c>
      <c r="B3105">
        <v>6.1554000000000002</v>
      </c>
      <c r="E3105">
        <v>871000</v>
      </c>
      <c r="F3105">
        <v>5.9904000000000002</v>
      </c>
    </row>
    <row r="3106" spans="1:6" x14ac:dyDescent="0.25">
      <c r="A3106">
        <v>872000</v>
      </c>
      <c r="B3106">
        <v>6.1558000000000002</v>
      </c>
      <c r="E3106">
        <v>872000</v>
      </c>
      <c r="F3106">
        <v>5.9908999999999999</v>
      </c>
    </row>
    <row r="3107" spans="1:6" x14ac:dyDescent="0.25">
      <c r="A3107">
        <v>873000</v>
      </c>
      <c r="B3107">
        <v>6.1562000000000001</v>
      </c>
      <c r="E3107">
        <v>873000</v>
      </c>
      <c r="F3107">
        <v>5.9915000000000003</v>
      </c>
    </row>
    <row r="3108" spans="1:6" x14ac:dyDescent="0.25">
      <c r="A3108">
        <v>874000</v>
      </c>
      <c r="B3108">
        <v>6.1566000000000001</v>
      </c>
      <c r="E3108">
        <v>874000</v>
      </c>
      <c r="F3108">
        <v>5.9920999999999998</v>
      </c>
    </row>
    <row r="3109" spans="1:6" x14ac:dyDescent="0.25">
      <c r="A3109">
        <v>875000</v>
      </c>
      <c r="B3109">
        <v>6.1569000000000003</v>
      </c>
      <c r="E3109">
        <v>875000</v>
      </c>
      <c r="F3109">
        <v>5.9927000000000001</v>
      </c>
    </row>
    <row r="3110" spans="1:6" x14ac:dyDescent="0.25">
      <c r="A3110">
        <v>876000</v>
      </c>
      <c r="B3110">
        <v>6.1573000000000002</v>
      </c>
      <c r="E3110">
        <v>876000</v>
      </c>
      <c r="F3110">
        <v>5.9932999999999996</v>
      </c>
    </row>
    <row r="3111" spans="1:6" x14ac:dyDescent="0.25">
      <c r="A3111">
        <v>877000</v>
      </c>
      <c r="B3111">
        <v>6.1577000000000002</v>
      </c>
      <c r="E3111">
        <v>877000</v>
      </c>
      <c r="F3111">
        <v>5.9938000000000002</v>
      </c>
    </row>
    <row r="3112" spans="1:6" x14ac:dyDescent="0.25">
      <c r="A3112">
        <v>878000</v>
      </c>
      <c r="B3112">
        <v>6.1581000000000001</v>
      </c>
      <c r="E3112">
        <v>878000</v>
      </c>
      <c r="F3112">
        <v>5.9943999999999997</v>
      </c>
    </row>
    <row r="3113" spans="1:6" x14ac:dyDescent="0.25">
      <c r="A3113">
        <v>879000</v>
      </c>
      <c r="B3113">
        <v>6.1585000000000001</v>
      </c>
      <c r="E3113">
        <v>879000</v>
      </c>
      <c r="F3113">
        <v>5.9950000000000001</v>
      </c>
    </row>
    <row r="3114" spans="1:6" x14ac:dyDescent="0.25">
      <c r="A3114">
        <v>880000</v>
      </c>
      <c r="B3114">
        <v>6.1589</v>
      </c>
      <c r="E3114">
        <v>880000</v>
      </c>
      <c r="F3114">
        <v>5.9955999999999996</v>
      </c>
    </row>
    <row r="3115" spans="1:6" x14ac:dyDescent="0.25">
      <c r="A3115">
        <v>881000</v>
      </c>
      <c r="B3115">
        <v>6.1593</v>
      </c>
      <c r="E3115">
        <v>881000</v>
      </c>
      <c r="F3115">
        <v>5.9961000000000002</v>
      </c>
    </row>
    <row r="3116" spans="1:6" x14ac:dyDescent="0.25">
      <c r="A3116">
        <v>882000</v>
      </c>
      <c r="B3116">
        <v>6.1597</v>
      </c>
      <c r="E3116">
        <v>882000</v>
      </c>
      <c r="F3116">
        <v>5.9966999999999997</v>
      </c>
    </row>
    <row r="3117" spans="1:6" x14ac:dyDescent="0.25">
      <c r="A3117">
        <v>883000</v>
      </c>
      <c r="B3117">
        <v>6.1600999999999999</v>
      </c>
      <c r="E3117">
        <v>883000</v>
      </c>
      <c r="F3117">
        <v>5.9973000000000001</v>
      </c>
    </row>
    <row r="3118" spans="1:6" x14ac:dyDescent="0.25">
      <c r="A3118">
        <v>884000</v>
      </c>
      <c r="B3118">
        <v>6.1604000000000001</v>
      </c>
      <c r="E3118">
        <v>884000</v>
      </c>
      <c r="F3118">
        <v>5.9977999999999998</v>
      </c>
    </row>
    <row r="3119" spans="1:6" x14ac:dyDescent="0.25">
      <c r="A3119">
        <v>885000</v>
      </c>
      <c r="B3119">
        <v>6.1608000000000001</v>
      </c>
      <c r="E3119">
        <v>885000</v>
      </c>
      <c r="F3119">
        <v>5.9984000000000002</v>
      </c>
    </row>
    <row r="3120" spans="1:6" x14ac:dyDescent="0.25">
      <c r="A3120">
        <v>886000</v>
      </c>
      <c r="B3120">
        <v>6.1612</v>
      </c>
      <c r="E3120">
        <v>886000</v>
      </c>
      <c r="F3120">
        <v>5.9989999999999997</v>
      </c>
    </row>
    <row r="3121" spans="1:6" x14ac:dyDescent="0.25">
      <c r="A3121">
        <v>887000</v>
      </c>
      <c r="B3121">
        <v>6.1616</v>
      </c>
      <c r="E3121">
        <v>887000</v>
      </c>
      <c r="F3121">
        <v>5.9995000000000003</v>
      </c>
    </row>
    <row r="3122" spans="1:6" x14ac:dyDescent="0.25">
      <c r="A3122">
        <v>888000</v>
      </c>
      <c r="B3122">
        <v>6.1619999999999999</v>
      </c>
      <c r="E3122">
        <v>888000</v>
      </c>
      <c r="F3122">
        <v>6.0000999999999998</v>
      </c>
    </row>
    <row r="3123" spans="1:6" x14ac:dyDescent="0.25">
      <c r="A3123">
        <v>889000</v>
      </c>
      <c r="B3123">
        <v>6.1623000000000001</v>
      </c>
      <c r="E3123">
        <v>889000</v>
      </c>
      <c r="F3123">
        <v>6.0007000000000001</v>
      </c>
    </row>
    <row r="3124" spans="1:6" x14ac:dyDescent="0.25">
      <c r="A3124">
        <v>890000</v>
      </c>
      <c r="B3124">
        <v>6.1627000000000001</v>
      </c>
      <c r="E3124">
        <v>890000</v>
      </c>
      <c r="F3124">
        <v>6.0011999999999999</v>
      </c>
    </row>
    <row r="3125" spans="1:6" x14ac:dyDescent="0.25">
      <c r="A3125">
        <v>891000</v>
      </c>
      <c r="B3125">
        <v>6.1631</v>
      </c>
      <c r="E3125">
        <v>891000</v>
      </c>
      <c r="F3125">
        <v>6.0018000000000002</v>
      </c>
    </row>
    <row r="3126" spans="1:6" x14ac:dyDescent="0.25">
      <c r="A3126">
        <v>892000</v>
      </c>
      <c r="B3126">
        <v>6.1635</v>
      </c>
      <c r="E3126">
        <v>892000</v>
      </c>
      <c r="F3126">
        <v>6.0023</v>
      </c>
    </row>
    <row r="3127" spans="1:6" x14ac:dyDescent="0.25">
      <c r="A3127">
        <v>893000</v>
      </c>
      <c r="B3127">
        <v>6.1638999999999999</v>
      </c>
      <c r="E3127">
        <v>893000</v>
      </c>
      <c r="F3127">
        <v>6.0029000000000003</v>
      </c>
    </row>
    <row r="3128" spans="1:6" x14ac:dyDescent="0.25">
      <c r="A3128">
        <v>894000</v>
      </c>
      <c r="B3128">
        <v>6.1642000000000001</v>
      </c>
      <c r="E3128">
        <v>894000</v>
      </c>
      <c r="F3128">
        <v>6.0034999999999998</v>
      </c>
    </row>
    <row r="3129" spans="1:6" x14ac:dyDescent="0.25">
      <c r="A3129">
        <v>895000</v>
      </c>
      <c r="B3129">
        <v>6.1646000000000001</v>
      </c>
      <c r="E3129">
        <v>895000</v>
      </c>
      <c r="F3129">
        <v>6.0039999999999996</v>
      </c>
    </row>
    <row r="3130" spans="1:6" x14ac:dyDescent="0.25">
      <c r="A3130">
        <v>896000</v>
      </c>
      <c r="B3130">
        <v>6.165</v>
      </c>
      <c r="E3130">
        <v>896000</v>
      </c>
      <c r="F3130">
        <v>6.0045999999999999</v>
      </c>
    </row>
    <row r="3131" spans="1:6" x14ac:dyDescent="0.25">
      <c r="A3131">
        <v>897000</v>
      </c>
      <c r="B3131">
        <v>6.1654</v>
      </c>
      <c r="E3131">
        <v>897000</v>
      </c>
      <c r="F3131">
        <v>6.0050999999999997</v>
      </c>
    </row>
    <row r="3132" spans="1:6" x14ac:dyDescent="0.25">
      <c r="A3132">
        <v>898000</v>
      </c>
      <c r="B3132">
        <v>6.1657000000000002</v>
      </c>
      <c r="E3132">
        <v>898000</v>
      </c>
      <c r="F3132">
        <v>6.0057</v>
      </c>
    </row>
    <row r="3133" spans="1:6" x14ac:dyDescent="0.25">
      <c r="A3133">
        <v>899000</v>
      </c>
      <c r="B3133">
        <v>6.1661000000000001</v>
      </c>
      <c r="E3133">
        <v>899000</v>
      </c>
      <c r="F3133">
        <v>6.0061999999999998</v>
      </c>
    </row>
    <row r="3134" spans="1:6" x14ac:dyDescent="0.25">
      <c r="A3134">
        <v>900000</v>
      </c>
      <c r="B3134">
        <v>6.1665000000000001</v>
      </c>
      <c r="E3134">
        <v>900000</v>
      </c>
      <c r="F3134">
        <v>6.0068000000000001</v>
      </c>
    </row>
    <row r="3135" spans="1:6" x14ac:dyDescent="0.25">
      <c r="A3135">
        <v>901000</v>
      </c>
      <c r="B3135">
        <v>6.1668000000000003</v>
      </c>
      <c r="E3135">
        <v>901000</v>
      </c>
      <c r="F3135">
        <v>6.0072999999999999</v>
      </c>
    </row>
    <row r="3136" spans="1:6" x14ac:dyDescent="0.25">
      <c r="A3136">
        <v>902000</v>
      </c>
      <c r="B3136">
        <v>6.1672000000000002</v>
      </c>
      <c r="E3136">
        <v>902000</v>
      </c>
      <c r="F3136">
        <v>6.0079000000000002</v>
      </c>
    </row>
    <row r="3137" spans="1:6" x14ac:dyDescent="0.25">
      <c r="A3137">
        <v>903000</v>
      </c>
      <c r="B3137">
        <v>6.1676000000000002</v>
      </c>
      <c r="E3137">
        <v>903000</v>
      </c>
      <c r="F3137">
        <v>6.0084</v>
      </c>
    </row>
    <row r="3138" spans="1:6" x14ac:dyDescent="0.25">
      <c r="A3138">
        <v>904000</v>
      </c>
      <c r="B3138">
        <v>6.1679000000000004</v>
      </c>
      <c r="E3138">
        <v>904000</v>
      </c>
      <c r="F3138">
        <v>6.0090000000000003</v>
      </c>
    </row>
    <row r="3139" spans="1:6" x14ac:dyDescent="0.25">
      <c r="A3139">
        <v>905000</v>
      </c>
      <c r="B3139">
        <v>6.1683000000000003</v>
      </c>
      <c r="E3139">
        <v>905000</v>
      </c>
      <c r="F3139">
        <v>6.0095000000000001</v>
      </c>
    </row>
    <row r="3140" spans="1:6" x14ac:dyDescent="0.25">
      <c r="A3140">
        <v>906000</v>
      </c>
      <c r="B3140">
        <v>6.1687000000000003</v>
      </c>
      <c r="E3140">
        <v>906000</v>
      </c>
      <c r="F3140">
        <v>6.01</v>
      </c>
    </row>
    <row r="3141" spans="1:6" x14ac:dyDescent="0.25">
      <c r="A3141">
        <v>907000</v>
      </c>
      <c r="B3141">
        <v>6.1689999999999996</v>
      </c>
      <c r="E3141">
        <v>907000</v>
      </c>
      <c r="F3141">
        <v>6.0106000000000002</v>
      </c>
    </row>
    <row r="3142" spans="1:6" x14ac:dyDescent="0.25">
      <c r="A3142">
        <v>908000</v>
      </c>
      <c r="B3142">
        <v>6.1694000000000004</v>
      </c>
      <c r="E3142">
        <v>908000</v>
      </c>
      <c r="F3142">
        <v>6.0110999999999999</v>
      </c>
    </row>
    <row r="3143" spans="1:6" x14ac:dyDescent="0.25">
      <c r="A3143">
        <v>909000</v>
      </c>
      <c r="B3143">
        <v>6.1698000000000004</v>
      </c>
      <c r="E3143">
        <v>909000</v>
      </c>
      <c r="F3143">
        <v>6.0117000000000003</v>
      </c>
    </row>
    <row r="3144" spans="1:6" x14ac:dyDescent="0.25">
      <c r="A3144">
        <v>910000</v>
      </c>
      <c r="B3144">
        <v>6.1700999999999997</v>
      </c>
      <c r="E3144">
        <v>910000</v>
      </c>
      <c r="F3144">
        <v>6.0122</v>
      </c>
    </row>
    <row r="3145" spans="1:6" x14ac:dyDescent="0.25">
      <c r="A3145">
        <v>911000</v>
      </c>
      <c r="B3145">
        <v>6.1704999999999997</v>
      </c>
      <c r="E3145">
        <v>911000</v>
      </c>
      <c r="F3145">
        <v>6.0126999999999997</v>
      </c>
    </row>
    <row r="3146" spans="1:6" x14ac:dyDescent="0.25">
      <c r="A3146">
        <v>912000</v>
      </c>
      <c r="B3146">
        <v>6.1708999999999996</v>
      </c>
      <c r="E3146">
        <v>912000</v>
      </c>
      <c r="F3146">
        <v>6.0133000000000001</v>
      </c>
    </row>
    <row r="3147" spans="1:6" x14ac:dyDescent="0.25">
      <c r="A3147">
        <v>913000</v>
      </c>
      <c r="B3147">
        <v>6.1711999999999998</v>
      </c>
      <c r="E3147">
        <v>913000</v>
      </c>
      <c r="F3147">
        <v>6.0137999999999998</v>
      </c>
    </row>
    <row r="3148" spans="1:6" x14ac:dyDescent="0.25">
      <c r="A3148">
        <v>914000</v>
      </c>
      <c r="B3148">
        <v>6.1715999999999998</v>
      </c>
      <c r="E3148">
        <v>914000</v>
      </c>
      <c r="F3148">
        <v>6.0143000000000004</v>
      </c>
    </row>
    <row r="3149" spans="1:6" x14ac:dyDescent="0.25">
      <c r="A3149">
        <v>915000</v>
      </c>
      <c r="B3149">
        <v>6.1718999999999999</v>
      </c>
      <c r="E3149">
        <v>915000</v>
      </c>
      <c r="F3149">
        <v>6.0148999999999999</v>
      </c>
    </row>
    <row r="3150" spans="1:6" x14ac:dyDescent="0.25">
      <c r="A3150">
        <v>916000</v>
      </c>
      <c r="B3150">
        <v>6.1722999999999999</v>
      </c>
      <c r="E3150">
        <v>916000</v>
      </c>
      <c r="F3150">
        <v>6.0153999999999996</v>
      </c>
    </row>
    <row r="3151" spans="1:6" x14ac:dyDescent="0.25">
      <c r="A3151">
        <v>917000</v>
      </c>
      <c r="B3151">
        <v>6.1726999999999999</v>
      </c>
      <c r="E3151">
        <v>917000</v>
      </c>
      <c r="F3151">
        <v>6.0159000000000002</v>
      </c>
    </row>
    <row r="3152" spans="1:6" x14ac:dyDescent="0.25">
      <c r="A3152">
        <v>918000</v>
      </c>
      <c r="B3152">
        <v>6.173</v>
      </c>
      <c r="E3152">
        <v>918000</v>
      </c>
      <c r="F3152">
        <v>6.0164</v>
      </c>
    </row>
    <row r="3153" spans="1:6" x14ac:dyDescent="0.25">
      <c r="A3153">
        <v>919000</v>
      </c>
      <c r="B3153">
        <v>6.1734</v>
      </c>
      <c r="E3153">
        <v>919000</v>
      </c>
      <c r="F3153">
        <v>6.0170000000000003</v>
      </c>
    </row>
    <row r="3154" spans="1:6" x14ac:dyDescent="0.25">
      <c r="A3154">
        <v>920000</v>
      </c>
      <c r="B3154">
        <v>6.1737000000000002</v>
      </c>
      <c r="E3154">
        <v>920000</v>
      </c>
      <c r="F3154">
        <v>6.0175000000000001</v>
      </c>
    </row>
    <row r="3155" spans="1:6" x14ac:dyDescent="0.25">
      <c r="A3155">
        <v>921000</v>
      </c>
      <c r="B3155">
        <v>6.1741000000000001</v>
      </c>
      <c r="E3155">
        <v>921000</v>
      </c>
      <c r="F3155">
        <v>6.0179999999999998</v>
      </c>
    </row>
    <row r="3156" spans="1:6" x14ac:dyDescent="0.25">
      <c r="A3156">
        <v>922000</v>
      </c>
      <c r="B3156">
        <v>6.1744000000000003</v>
      </c>
      <c r="E3156">
        <v>922000</v>
      </c>
      <c r="F3156">
        <v>6.0185000000000004</v>
      </c>
    </row>
    <row r="3157" spans="1:6" x14ac:dyDescent="0.25">
      <c r="A3157">
        <v>923000</v>
      </c>
      <c r="B3157">
        <v>6.1748000000000003</v>
      </c>
      <c r="E3157">
        <v>923000</v>
      </c>
      <c r="F3157">
        <v>6.0190999999999999</v>
      </c>
    </row>
    <row r="3158" spans="1:6" x14ac:dyDescent="0.25">
      <c r="A3158">
        <v>924000</v>
      </c>
      <c r="B3158">
        <v>6.1750999999999996</v>
      </c>
      <c r="E3158">
        <v>924000</v>
      </c>
      <c r="F3158">
        <v>6.0195999999999996</v>
      </c>
    </row>
    <row r="3159" spans="1:6" x14ac:dyDescent="0.25">
      <c r="A3159">
        <v>925000</v>
      </c>
      <c r="B3159">
        <v>6.1755000000000004</v>
      </c>
      <c r="E3159">
        <v>925000</v>
      </c>
      <c r="F3159">
        <v>6.0201000000000002</v>
      </c>
    </row>
    <row r="3160" spans="1:6" x14ac:dyDescent="0.25">
      <c r="A3160">
        <v>926000</v>
      </c>
      <c r="B3160">
        <v>6.1757999999999997</v>
      </c>
      <c r="E3160">
        <v>926000</v>
      </c>
      <c r="F3160">
        <v>6.0206</v>
      </c>
    </row>
    <row r="3161" spans="1:6" x14ac:dyDescent="0.25">
      <c r="A3161">
        <v>927000</v>
      </c>
      <c r="B3161">
        <v>6.1761999999999997</v>
      </c>
      <c r="E3161">
        <v>927000</v>
      </c>
      <c r="F3161">
        <v>6.0210999999999997</v>
      </c>
    </row>
    <row r="3162" spans="1:6" x14ac:dyDescent="0.25">
      <c r="A3162">
        <v>928000</v>
      </c>
      <c r="B3162">
        <v>6.1764999999999999</v>
      </c>
      <c r="E3162">
        <v>928000</v>
      </c>
      <c r="F3162">
        <v>6.0217000000000001</v>
      </c>
    </row>
    <row r="3163" spans="1:6" x14ac:dyDescent="0.25">
      <c r="A3163">
        <v>929000</v>
      </c>
      <c r="B3163">
        <v>6.1768999999999998</v>
      </c>
      <c r="E3163">
        <v>929000</v>
      </c>
      <c r="F3163">
        <v>6.0221999999999998</v>
      </c>
    </row>
    <row r="3164" spans="1:6" x14ac:dyDescent="0.25">
      <c r="A3164">
        <v>930000</v>
      </c>
      <c r="B3164">
        <v>6.1772</v>
      </c>
      <c r="E3164">
        <v>930000</v>
      </c>
      <c r="F3164">
        <v>6.0227000000000004</v>
      </c>
    </row>
    <row r="3165" spans="1:6" x14ac:dyDescent="0.25">
      <c r="A3165">
        <v>931000</v>
      </c>
      <c r="B3165">
        <v>6.1776</v>
      </c>
      <c r="E3165">
        <v>931000</v>
      </c>
      <c r="F3165">
        <v>6.0232000000000001</v>
      </c>
    </row>
    <row r="3166" spans="1:6" x14ac:dyDescent="0.25">
      <c r="A3166">
        <v>932000</v>
      </c>
      <c r="B3166">
        <v>6.1779000000000002</v>
      </c>
      <c r="E3166">
        <v>932000</v>
      </c>
      <c r="F3166">
        <v>6.0236999999999998</v>
      </c>
    </row>
    <row r="3167" spans="1:6" x14ac:dyDescent="0.25">
      <c r="A3167">
        <v>933000</v>
      </c>
      <c r="B3167">
        <v>6.1783000000000001</v>
      </c>
      <c r="E3167">
        <v>933000</v>
      </c>
      <c r="F3167">
        <v>6.0242000000000004</v>
      </c>
    </row>
    <row r="3168" spans="1:6" x14ac:dyDescent="0.25">
      <c r="A3168">
        <v>934000</v>
      </c>
      <c r="B3168">
        <v>6.1786000000000003</v>
      </c>
      <c r="E3168">
        <v>934000</v>
      </c>
      <c r="F3168">
        <v>6.0247000000000002</v>
      </c>
    </row>
    <row r="3169" spans="1:6" x14ac:dyDescent="0.25">
      <c r="A3169">
        <v>935000</v>
      </c>
      <c r="B3169">
        <v>6.1790000000000003</v>
      </c>
      <c r="E3169">
        <v>935000</v>
      </c>
      <c r="F3169">
        <v>6.0251999999999999</v>
      </c>
    </row>
    <row r="3170" spans="1:6" x14ac:dyDescent="0.25">
      <c r="A3170">
        <v>936000</v>
      </c>
      <c r="B3170">
        <v>6.1792999999999996</v>
      </c>
      <c r="E3170">
        <v>936000</v>
      </c>
      <c r="F3170">
        <v>6.0256999999999996</v>
      </c>
    </row>
    <row r="3171" spans="1:6" x14ac:dyDescent="0.25">
      <c r="A3171">
        <v>937000</v>
      </c>
      <c r="B3171">
        <v>6.1795999999999998</v>
      </c>
      <c r="E3171">
        <v>937000</v>
      </c>
      <c r="F3171">
        <v>6.0262000000000002</v>
      </c>
    </row>
    <row r="3172" spans="1:6" x14ac:dyDescent="0.25">
      <c r="A3172">
        <v>938000</v>
      </c>
      <c r="B3172">
        <v>6.18</v>
      </c>
      <c r="E3172">
        <v>938000</v>
      </c>
      <c r="F3172">
        <v>6.0267999999999997</v>
      </c>
    </row>
    <row r="3173" spans="1:6" x14ac:dyDescent="0.25">
      <c r="A3173">
        <v>939000</v>
      </c>
      <c r="B3173">
        <v>6.1802999999999999</v>
      </c>
      <c r="E3173">
        <v>939000</v>
      </c>
      <c r="F3173">
        <v>6.0273000000000003</v>
      </c>
    </row>
    <row r="3174" spans="1:6" x14ac:dyDescent="0.25">
      <c r="A3174">
        <v>940000</v>
      </c>
      <c r="B3174">
        <v>6.1806999999999999</v>
      </c>
      <c r="E3174">
        <v>940000</v>
      </c>
      <c r="F3174">
        <v>6.0278</v>
      </c>
    </row>
    <row r="3175" spans="1:6" x14ac:dyDescent="0.25">
      <c r="A3175">
        <v>941000</v>
      </c>
      <c r="B3175">
        <v>6.181</v>
      </c>
      <c r="E3175">
        <v>941000</v>
      </c>
      <c r="F3175">
        <v>6.0282999999999998</v>
      </c>
    </row>
    <row r="3176" spans="1:6" x14ac:dyDescent="0.25">
      <c r="A3176">
        <v>942000</v>
      </c>
      <c r="B3176">
        <v>6.1813000000000002</v>
      </c>
      <c r="E3176">
        <v>942000</v>
      </c>
      <c r="F3176">
        <v>6.0288000000000004</v>
      </c>
    </row>
    <row r="3177" spans="1:6" x14ac:dyDescent="0.25">
      <c r="A3177">
        <v>943000</v>
      </c>
      <c r="B3177">
        <v>6.1817000000000002</v>
      </c>
      <c r="E3177">
        <v>943000</v>
      </c>
      <c r="F3177">
        <v>6.0293000000000001</v>
      </c>
    </row>
    <row r="3178" spans="1:6" x14ac:dyDescent="0.25">
      <c r="A3178">
        <v>944000</v>
      </c>
      <c r="B3178">
        <v>6.1820000000000004</v>
      </c>
      <c r="E3178">
        <v>944000</v>
      </c>
      <c r="F3178">
        <v>6.0297999999999998</v>
      </c>
    </row>
    <row r="3179" spans="1:6" x14ac:dyDescent="0.25">
      <c r="A3179">
        <v>945000</v>
      </c>
      <c r="B3179">
        <v>6.1824000000000003</v>
      </c>
      <c r="E3179">
        <v>945000</v>
      </c>
      <c r="F3179">
        <v>6.0303000000000004</v>
      </c>
    </row>
    <row r="3180" spans="1:6" x14ac:dyDescent="0.25">
      <c r="A3180">
        <v>946000</v>
      </c>
      <c r="B3180">
        <v>6.1826999999999996</v>
      </c>
      <c r="E3180">
        <v>946000</v>
      </c>
      <c r="F3180">
        <v>6.0308000000000002</v>
      </c>
    </row>
    <row r="3181" spans="1:6" x14ac:dyDescent="0.25">
      <c r="A3181">
        <v>947000</v>
      </c>
      <c r="B3181">
        <v>6.1829999999999998</v>
      </c>
      <c r="E3181">
        <v>947000</v>
      </c>
      <c r="F3181">
        <v>6.0312999999999999</v>
      </c>
    </row>
    <row r="3182" spans="1:6" x14ac:dyDescent="0.25">
      <c r="A3182">
        <v>948000</v>
      </c>
      <c r="B3182">
        <v>6.1833999999999998</v>
      </c>
      <c r="E3182">
        <v>948000</v>
      </c>
      <c r="F3182">
        <v>6.0316999999999998</v>
      </c>
    </row>
    <row r="3183" spans="1:6" x14ac:dyDescent="0.25">
      <c r="A3183">
        <v>949000</v>
      </c>
      <c r="B3183">
        <v>6.1837</v>
      </c>
      <c r="E3183">
        <v>949000</v>
      </c>
      <c r="F3183">
        <v>6.0321999999999996</v>
      </c>
    </row>
    <row r="3184" spans="1:6" x14ac:dyDescent="0.25">
      <c r="A3184">
        <v>950000</v>
      </c>
      <c r="B3184">
        <v>6.1840000000000002</v>
      </c>
      <c r="E3184">
        <v>950000</v>
      </c>
      <c r="F3184">
        <v>6.0327000000000002</v>
      </c>
    </row>
    <row r="3185" spans="1:6" x14ac:dyDescent="0.25">
      <c r="A3185">
        <v>951000</v>
      </c>
      <c r="B3185">
        <v>6.1844000000000001</v>
      </c>
      <c r="E3185">
        <v>951000</v>
      </c>
      <c r="F3185">
        <v>6.0331999999999999</v>
      </c>
    </row>
    <row r="3186" spans="1:6" x14ac:dyDescent="0.25">
      <c r="A3186">
        <v>952000</v>
      </c>
      <c r="B3186">
        <v>6.1847000000000003</v>
      </c>
      <c r="E3186">
        <v>952000</v>
      </c>
      <c r="F3186">
        <v>6.0336999999999996</v>
      </c>
    </row>
    <row r="3187" spans="1:6" x14ac:dyDescent="0.25">
      <c r="A3187">
        <v>953000</v>
      </c>
      <c r="B3187">
        <v>6.1849999999999996</v>
      </c>
      <c r="E3187">
        <v>953000</v>
      </c>
      <c r="F3187">
        <v>6.0342000000000002</v>
      </c>
    </row>
    <row r="3188" spans="1:6" x14ac:dyDescent="0.25">
      <c r="A3188">
        <v>954000</v>
      </c>
      <c r="B3188">
        <v>6.1853999999999996</v>
      </c>
      <c r="E3188">
        <v>954000</v>
      </c>
      <c r="F3188">
        <v>6.0347</v>
      </c>
    </row>
    <row r="3189" spans="1:6" x14ac:dyDescent="0.25">
      <c r="A3189">
        <v>955000</v>
      </c>
      <c r="B3189">
        <v>6.1856999999999998</v>
      </c>
      <c r="E3189">
        <v>955000</v>
      </c>
      <c r="F3189">
        <v>6.0351999999999997</v>
      </c>
    </row>
    <row r="3190" spans="1:6" x14ac:dyDescent="0.25">
      <c r="A3190">
        <v>956000</v>
      </c>
      <c r="B3190">
        <v>6.1859999999999999</v>
      </c>
      <c r="E3190">
        <v>956000</v>
      </c>
      <c r="F3190">
        <v>6.0357000000000003</v>
      </c>
    </row>
    <row r="3191" spans="1:6" x14ac:dyDescent="0.25">
      <c r="A3191">
        <v>957000</v>
      </c>
      <c r="B3191">
        <v>6.1863000000000001</v>
      </c>
      <c r="E3191">
        <v>957000</v>
      </c>
      <c r="F3191">
        <v>6.0361000000000002</v>
      </c>
    </row>
    <row r="3192" spans="1:6" x14ac:dyDescent="0.25">
      <c r="A3192">
        <v>958000</v>
      </c>
      <c r="B3192">
        <v>6.1867000000000001</v>
      </c>
      <c r="E3192">
        <v>958000</v>
      </c>
      <c r="F3192">
        <v>6.0366</v>
      </c>
    </row>
    <row r="3193" spans="1:6" x14ac:dyDescent="0.25">
      <c r="A3193">
        <v>959000</v>
      </c>
      <c r="B3193">
        <v>6.1870000000000003</v>
      </c>
      <c r="E3193">
        <v>959000</v>
      </c>
      <c r="F3193">
        <v>6.0370999999999997</v>
      </c>
    </row>
    <row r="3194" spans="1:6" x14ac:dyDescent="0.25">
      <c r="A3194">
        <v>960000</v>
      </c>
      <c r="B3194">
        <v>6.1872999999999996</v>
      </c>
      <c r="E3194">
        <v>960000</v>
      </c>
      <c r="F3194">
        <v>6.0376000000000003</v>
      </c>
    </row>
    <row r="3195" spans="1:6" x14ac:dyDescent="0.25">
      <c r="A3195">
        <v>961000</v>
      </c>
      <c r="B3195">
        <v>6.1875999999999998</v>
      </c>
      <c r="E3195">
        <v>961000</v>
      </c>
      <c r="F3195">
        <v>6.0381</v>
      </c>
    </row>
    <row r="3196" spans="1:6" x14ac:dyDescent="0.25">
      <c r="A3196">
        <v>962000</v>
      </c>
      <c r="B3196">
        <v>6.1879999999999997</v>
      </c>
      <c r="E3196">
        <v>962000</v>
      </c>
      <c r="F3196">
        <v>6.0385999999999997</v>
      </c>
    </row>
    <row r="3197" spans="1:6" x14ac:dyDescent="0.25">
      <c r="A3197">
        <v>963000</v>
      </c>
      <c r="B3197">
        <v>6.1882999999999999</v>
      </c>
      <c r="E3197">
        <v>963000</v>
      </c>
      <c r="F3197">
        <v>6.0389999999999997</v>
      </c>
    </row>
    <row r="3198" spans="1:6" x14ac:dyDescent="0.25">
      <c r="A3198">
        <v>964000</v>
      </c>
      <c r="B3198">
        <v>6.1886000000000001</v>
      </c>
      <c r="E3198">
        <v>964000</v>
      </c>
      <c r="F3198">
        <v>6.0395000000000003</v>
      </c>
    </row>
    <row r="3199" spans="1:6" x14ac:dyDescent="0.25">
      <c r="A3199">
        <v>965000</v>
      </c>
      <c r="B3199">
        <v>6.1889000000000003</v>
      </c>
      <c r="E3199">
        <v>965000</v>
      </c>
      <c r="F3199">
        <v>6.04</v>
      </c>
    </row>
    <row r="3200" spans="1:6" x14ac:dyDescent="0.25">
      <c r="A3200">
        <v>966000</v>
      </c>
      <c r="B3200">
        <v>6.1893000000000002</v>
      </c>
      <c r="E3200">
        <v>966000</v>
      </c>
      <c r="F3200">
        <v>6.0404999999999998</v>
      </c>
    </row>
    <row r="3201" spans="1:6" x14ac:dyDescent="0.25">
      <c r="A3201">
        <v>967000</v>
      </c>
      <c r="B3201">
        <v>6.1896000000000004</v>
      </c>
      <c r="E3201">
        <v>967000</v>
      </c>
      <c r="F3201">
        <v>6.0408999999999997</v>
      </c>
    </row>
    <row r="3202" spans="1:6" x14ac:dyDescent="0.25">
      <c r="A3202">
        <v>968000</v>
      </c>
      <c r="B3202">
        <v>6.1898999999999997</v>
      </c>
      <c r="E3202">
        <v>968000</v>
      </c>
      <c r="F3202">
        <v>6.0414000000000003</v>
      </c>
    </row>
    <row r="3203" spans="1:6" x14ac:dyDescent="0.25">
      <c r="A3203">
        <v>969000</v>
      </c>
      <c r="B3203">
        <v>6.1901999999999999</v>
      </c>
      <c r="E3203">
        <v>969000</v>
      </c>
      <c r="F3203">
        <v>6.0419</v>
      </c>
    </row>
    <row r="3204" spans="1:6" x14ac:dyDescent="0.25">
      <c r="A3204">
        <v>970000</v>
      </c>
      <c r="B3204">
        <v>6.1905000000000001</v>
      </c>
      <c r="E3204">
        <v>970000</v>
      </c>
      <c r="F3204">
        <v>6.0423999999999998</v>
      </c>
    </row>
    <row r="3205" spans="1:6" x14ac:dyDescent="0.25">
      <c r="A3205">
        <v>971000</v>
      </c>
      <c r="B3205">
        <v>6.1909000000000001</v>
      </c>
      <c r="E3205">
        <v>971000</v>
      </c>
      <c r="F3205">
        <v>6.0427999999999997</v>
      </c>
    </row>
    <row r="3206" spans="1:6" x14ac:dyDescent="0.25">
      <c r="A3206">
        <v>972000</v>
      </c>
      <c r="B3206">
        <v>6.1912000000000003</v>
      </c>
      <c r="E3206">
        <v>972000</v>
      </c>
      <c r="F3206">
        <v>6.0433000000000003</v>
      </c>
    </row>
    <row r="3207" spans="1:6" x14ac:dyDescent="0.25">
      <c r="A3207">
        <v>973000</v>
      </c>
      <c r="B3207">
        <v>6.1914999999999996</v>
      </c>
      <c r="E3207">
        <v>973000</v>
      </c>
      <c r="F3207">
        <v>6.0438000000000001</v>
      </c>
    </row>
    <row r="3208" spans="1:6" x14ac:dyDescent="0.25">
      <c r="A3208">
        <v>974000</v>
      </c>
      <c r="B3208">
        <v>6.1917999999999997</v>
      </c>
      <c r="E3208">
        <v>974000</v>
      </c>
      <c r="F3208">
        <v>6.0442</v>
      </c>
    </row>
    <row r="3209" spans="1:6" x14ac:dyDescent="0.25">
      <c r="A3209">
        <v>975000</v>
      </c>
      <c r="B3209">
        <v>6.1920999999999999</v>
      </c>
      <c r="E3209">
        <v>975000</v>
      </c>
      <c r="F3209">
        <v>6.0446999999999997</v>
      </c>
    </row>
    <row r="3210" spans="1:6" x14ac:dyDescent="0.25">
      <c r="A3210">
        <v>976000</v>
      </c>
      <c r="B3210">
        <v>6.1924000000000001</v>
      </c>
      <c r="E3210">
        <v>976000</v>
      </c>
      <c r="F3210">
        <v>6.0452000000000004</v>
      </c>
    </row>
    <row r="3211" spans="1:6" x14ac:dyDescent="0.25">
      <c r="A3211">
        <v>977000</v>
      </c>
      <c r="B3211">
        <v>6.1928000000000001</v>
      </c>
      <c r="E3211">
        <v>977000</v>
      </c>
      <c r="F3211">
        <v>6.0456000000000003</v>
      </c>
    </row>
    <row r="3212" spans="1:6" x14ac:dyDescent="0.25">
      <c r="A3212">
        <v>978000</v>
      </c>
      <c r="B3212">
        <v>6.1931000000000003</v>
      </c>
      <c r="E3212">
        <v>978000</v>
      </c>
      <c r="F3212">
        <v>6.0461</v>
      </c>
    </row>
    <row r="3213" spans="1:6" x14ac:dyDescent="0.25">
      <c r="A3213">
        <v>979000</v>
      </c>
      <c r="B3213">
        <v>6.1933999999999996</v>
      </c>
      <c r="E3213">
        <v>979000</v>
      </c>
      <c r="F3213">
        <v>6.0465999999999998</v>
      </c>
    </row>
    <row r="3214" spans="1:6" x14ac:dyDescent="0.25">
      <c r="A3214">
        <v>980000</v>
      </c>
      <c r="B3214">
        <v>6.1936999999999998</v>
      </c>
      <c r="E3214">
        <v>980000</v>
      </c>
      <c r="F3214">
        <v>6.0469999999999997</v>
      </c>
    </row>
    <row r="3215" spans="1:6" x14ac:dyDescent="0.25">
      <c r="A3215">
        <v>981000</v>
      </c>
      <c r="B3215">
        <v>6.194</v>
      </c>
      <c r="E3215">
        <v>981000</v>
      </c>
      <c r="F3215">
        <v>6.0475000000000003</v>
      </c>
    </row>
    <row r="3216" spans="1:6" x14ac:dyDescent="0.25">
      <c r="A3216">
        <v>982000</v>
      </c>
      <c r="B3216">
        <v>6.1943000000000001</v>
      </c>
      <c r="E3216">
        <v>982000</v>
      </c>
      <c r="F3216">
        <v>6.048</v>
      </c>
    </row>
    <row r="3217" spans="1:6" x14ac:dyDescent="0.25">
      <c r="A3217">
        <v>983000</v>
      </c>
      <c r="B3217">
        <v>6.1946000000000003</v>
      </c>
      <c r="E3217">
        <v>983000</v>
      </c>
      <c r="F3217">
        <v>6.0484</v>
      </c>
    </row>
    <row r="3218" spans="1:6" x14ac:dyDescent="0.25">
      <c r="A3218">
        <v>984000</v>
      </c>
      <c r="B3218">
        <v>6.1948999999999996</v>
      </c>
      <c r="E3218">
        <v>984000</v>
      </c>
      <c r="F3218">
        <v>6.0488999999999997</v>
      </c>
    </row>
    <row r="3219" spans="1:6" x14ac:dyDescent="0.25">
      <c r="A3219">
        <v>985000</v>
      </c>
      <c r="B3219">
        <v>6.1952999999999996</v>
      </c>
      <c r="E3219">
        <v>985000</v>
      </c>
      <c r="F3219">
        <v>6.0492999999999997</v>
      </c>
    </row>
    <row r="3220" spans="1:6" x14ac:dyDescent="0.25">
      <c r="A3220">
        <v>986000</v>
      </c>
      <c r="B3220">
        <v>6.1955999999999998</v>
      </c>
      <c r="E3220">
        <v>986000</v>
      </c>
      <c r="F3220">
        <v>6.0498000000000003</v>
      </c>
    </row>
    <row r="3221" spans="1:6" x14ac:dyDescent="0.25">
      <c r="A3221">
        <v>987000</v>
      </c>
      <c r="B3221">
        <v>6.1959</v>
      </c>
      <c r="E3221">
        <v>987000</v>
      </c>
      <c r="F3221">
        <v>6.0502000000000002</v>
      </c>
    </row>
    <row r="3222" spans="1:6" x14ac:dyDescent="0.25">
      <c r="A3222">
        <v>988000</v>
      </c>
      <c r="B3222">
        <v>6.1962000000000002</v>
      </c>
      <c r="E3222">
        <v>988000</v>
      </c>
      <c r="F3222">
        <v>6.0507</v>
      </c>
    </row>
    <row r="3223" spans="1:6" x14ac:dyDescent="0.25">
      <c r="A3223">
        <v>989000</v>
      </c>
      <c r="B3223">
        <v>6.1965000000000003</v>
      </c>
      <c r="E3223">
        <v>989000</v>
      </c>
      <c r="F3223">
        <v>6.0511999999999997</v>
      </c>
    </row>
    <row r="3224" spans="1:6" x14ac:dyDescent="0.25">
      <c r="A3224">
        <v>990000</v>
      </c>
      <c r="B3224">
        <v>6.1967999999999996</v>
      </c>
      <c r="E3224">
        <v>990000</v>
      </c>
      <c r="F3224">
        <v>6.0515999999999996</v>
      </c>
    </row>
    <row r="3225" spans="1:6" x14ac:dyDescent="0.25">
      <c r="A3225">
        <v>991000</v>
      </c>
      <c r="B3225">
        <v>6.1970999999999998</v>
      </c>
      <c r="E3225">
        <v>991000</v>
      </c>
      <c r="F3225">
        <v>6.0521000000000003</v>
      </c>
    </row>
    <row r="3226" spans="1:6" x14ac:dyDescent="0.25">
      <c r="A3226">
        <v>992000</v>
      </c>
      <c r="B3226">
        <v>6.1974</v>
      </c>
      <c r="E3226">
        <v>992000</v>
      </c>
      <c r="F3226">
        <v>6.0525000000000002</v>
      </c>
    </row>
    <row r="3227" spans="1:6" x14ac:dyDescent="0.25">
      <c r="A3227">
        <v>993000</v>
      </c>
      <c r="B3227">
        <v>6.1977000000000002</v>
      </c>
      <c r="E3227">
        <v>993000</v>
      </c>
      <c r="F3227">
        <v>6.0529999999999999</v>
      </c>
    </row>
    <row r="3228" spans="1:6" x14ac:dyDescent="0.25">
      <c r="A3228">
        <v>994000</v>
      </c>
      <c r="B3228">
        <v>6.1980000000000004</v>
      </c>
      <c r="E3228">
        <v>994000</v>
      </c>
      <c r="F3228">
        <v>6.0533999999999999</v>
      </c>
    </row>
    <row r="3229" spans="1:6" x14ac:dyDescent="0.25">
      <c r="A3229">
        <v>995000</v>
      </c>
      <c r="B3229">
        <v>6.1982999999999997</v>
      </c>
      <c r="E3229">
        <v>995000</v>
      </c>
      <c r="F3229">
        <v>6.0538999999999996</v>
      </c>
    </row>
    <row r="3230" spans="1:6" x14ac:dyDescent="0.25">
      <c r="A3230">
        <v>996000</v>
      </c>
      <c r="B3230">
        <v>6.1985999999999999</v>
      </c>
      <c r="E3230">
        <v>996000</v>
      </c>
      <c r="F3230">
        <v>6.0542999999999996</v>
      </c>
    </row>
    <row r="3231" spans="1:6" x14ac:dyDescent="0.25">
      <c r="A3231">
        <v>997000</v>
      </c>
      <c r="B3231">
        <v>6.1989000000000001</v>
      </c>
      <c r="E3231">
        <v>997000</v>
      </c>
      <c r="F3231">
        <v>6.0548000000000002</v>
      </c>
    </row>
    <row r="3232" spans="1:6" x14ac:dyDescent="0.25">
      <c r="A3232">
        <v>998000</v>
      </c>
      <c r="B3232">
        <v>6.1992000000000003</v>
      </c>
      <c r="E3232">
        <v>998000</v>
      </c>
      <c r="F3232">
        <v>6.0552000000000001</v>
      </c>
    </row>
    <row r="3233" spans="1:6" x14ac:dyDescent="0.25">
      <c r="A3233">
        <v>999000</v>
      </c>
      <c r="B3233">
        <v>6.1994999999999996</v>
      </c>
      <c r="E3233">
        <v>999000</v>
      </c>
      <c r="F3233">
        <v>6.0556999999999999</v>
      </c>
    </row>
    <row r="3234" spans="1:6" x14ac:dyDescent="0.25">
      <c r="A3234">
        <v>1000000</v>
      </c>
      <c r="B3234">
        <v>6.1997999999999998</v>
      </c>
      <c r="E3234">
        <v>1000000</v>
      </c>
      <c r="F3234">
        <v>6.0560999999999998</v>
      </c>
    </row>
    <row r="3235" spans="1:6" x14ac:dyDescent="0.25">
      <c r="A3235">
        <v>1010000</v>
      </c>
      <c r="B3235">
        <v>6.2027999999999999</v>
      </c>
      <c r="E3235">
        <v>1010000</v>
      </c>
      <c r="F3235">
        <v>6.0605000000000002</v>
      </c>
    </row>
    <row r="3236" spans="1:6" x14ac:dyDescent="0.25">
      <c r="A3236">
        <v>1020000</v>
      </c>
      <c r="B3236">
        <v>6.2057000000000002</v>
      </c>
      <c r="E3236">
        <v>1020000</v>
      </c>
      <c r="F3236">
        <v>6.0648</v>
      </c>
    </row>
    <row r="3237" spans="1:6" x14ac:dyDescent="0.25">
      <c r="A3237">
        <v>1030000</v>
      </c>
      <c r="B3237">
        <v>6.2085999999999997</v>
      </c>
      <c r="E3237">
        <v>1030000</v>
      </c>
      <c r="F3237">
        <v>6.069</v>
      </c>
    </row>
    <row r="3238" spans="1:6" x14ac:dyDescent="0.25">
      <c r="A3238">
        <v>1040000</v>
      </c>
      <c r="B3238">
        <v>6.2114000000000003</v>
      </c>
      <c r="E3238">
        <v>1040000</v>
      </c>
      <c r="F3238">
        <v>6.0731999999999999</v>
      </c>
    </row>
    <row r="3239" spans="1:6" x14ac:dyDescent="0.25">
      <c r="A3239">
        <v>1050000</v>
      </c>
      <c r="B3239">
        <v>6.2141000000000002</v>
      </c>
      <c r="E3239">
        <v>1050000</v>
      </c>
      <c r="F3239">
        <v>6.0772000000000004</v>
      </c>
    </row>
    <row r="3240" spans="1:6" x14ac:dyDescent="0.25">
      <c r="A3240">
        <v>1060000</v>
      </c>
      <c r="B3240">
        <v>6.2168000000000001</v>
      </c>
      <c r="E3240">
        <v>1060000</v>
      </c>
      <c r="F3240">
        <v>6.0811999999999999</v>
      </c>
    </row>
    <row r="3241" spans="1:6" x14ac:dyDescent="0.25">
      <c r="A3241">
        <v>1070000</v>
      </c>
      <c r="B3241">
        <v>6.2195</v>
      </c>
      <c r="E3241">
        <v>1070000</v>
      </c>
      <c r="F3241">
        <v>6.0850999999999997</v>
      </c>
    </row>
    <row r="3242" spans="1:6" x14ac:dyDescent="0.25">
      <c r="A3242">
        <v>1080000</v>
      </c>
      <c r="B3242">
        <v>6.2221000000000002</v>
      </c>
      <c r="E3242">
        <v>1080000</v>
      </c>
      <c r="F3242">
        <v>6.0890000000000004</v>
      </c>
    </row>
    <row r="3243" spans="1:6" x14ac:dyDescent="0.25">
      <c r="A3243">
        <v>1090000</v>
      </c>
      <c r="B3243">
        <v>6.2245999999999997</v>
      </c>
      <c r="E3243">
        <v>1090000</v>
      </c>
      <c r="F3243">
        <v>6.0926999999999998</v>
      </c>
    </row>
    <row r="3244" spans="1:6" x14ac:dyDescent="0.25">
      <c r="A3244">
        <v>1100000</v>
      </c>
      <c r="B3244">
        <v>6.2271000000000001</v>
      </c>
      <c r="E3244">
        <v>1100000</v>
      </c>
      <c r="F3244">
        <v>6.0964999999999998</v>
      </c>
    </row>
    <row r="3245" spans="1:6" x14ac:dyDescent="0.25">
      <c r="A3245">
        <v>1110000</v>
      </c>
      <c r="B3245">
        <v>6.2295999999999996</v>
      </c>
      <c r="E3245">
        <v>1110000</v>
      </c>
      <c r="F3245">
        <v>6.1001000000000003</v>
      </c>
    </row>
    <row r="3246" spans="1:6" x14ac:dyDescent="0.25">
      <c r="A3246">
        <v>1120000</v>
      </c>
      <c r="B3246">
        <v>6.2320000000000002</v>
      </c>
      <c r="E3246">
        <v>1120000</v>
      </c>
      <c r="F3246">
        <v>6.1036999999999999</v>
      </c>
    </row>
    <row r="3247" spans="1:6" x14ac:dyDescent="0.25">
      <c r="A3247">
        <v>1130000</v>
      </c>
      <c r="B3247">
        <v>6.2343999999999999</v>
      </c>
      <c r="E3247">
        <v>1130000</v>
      </c>
      <c r="F3247">
        <v>6.1071999999999997</v>
      </c>
    </row>
    <row r="3248" spans="1:6" x14ac:dyDescent="0.25">
      <c r="A3248">
        <v>1140000</v>
      </c>
      <c r="B3248">
        <v>6.2366999999999999</v>
      </c>
      <c r="E3248">
        <v>1140000</v>
      </c>
      <c r="F3248">
        <v>6.1105999999999998</v>
      </c>
    </row>
    <row r="3249" spans="1:6" x14ac:dyDescent="0.25">
      <c r="A3249">
        <v>1150000</v>
      </c>
      <c r="B3249">
        <v>6.2389999999999999</v>
      </c>
      <c r="E3249">
        <v>1150000</v>
      </c>
      <c r="F3249">
        <v>6.1139999999999999</v>
      </c>
    </row>
    <row r="3250" spans="1:6" x14ac:dyDescent="0.25">
      <c r="A3250">
        <v>1160000</v>
      </c>
      <c r="B3250">
        <v>6.2412000000000001</v>
      </c>
      <c r="E3250">
        <v>1160000</v>
      </c>
      <c r="F3250">
        <v>6.1173000000000002</v>
      </c>
    </row>
    <row r="3251" spans="1:6" x14ac:dyDescent="0.25">
      <c r="A3251">
        <v>1170000</v>
      </c>
      <c r="B3251">
        <v>6.2434000000000003</v>
      </c>
      <c r="E3251">
        <v>1170000</v>
      </c>
      <c r="F3251">
        <v>6.1205999999999996</v>
      </c>
    </row>
    <row r="3252" spans="1:6" x14ac:dyDescent="0.25">
      <c r="A3252">
        <v>1180000</v>
      </c>
      <c r="B3252">
        <v>6.2455999999999996</v>
      </c>
      <c r="E3252">
        <v>1180000</v>
      </c>
      <c r="F3252">
        <v>6.1238000000000001</v>
      </c>
    </row>
    <row r="3253" spans="1:6" x14ac:dyDescent="0.25">
      <c r="A3253">
        <v>1190000</v>
      </c>
      <c r="B3253">
        <v>6.2477999999999998</v>
      </c>
      <c r="E3253">
        <v>1190000</v>
      </c>
      <c r="F3253">
        <v>6.1269999999999998</v>
      </c>
    </row>
    <row r="3254" spans="1:6" x14ac:dyDescent="0.25">
      <c r="A3254">
        <v>1200000</v>
      </c>
      <c r="B3254">
        <v>6.2499000000000002</v>
      </c>
      <c r="E3254">
        <v>1200000</v>
      </c>
      <c r="F3254">
        <v>6.1300999999999997</v>
      </c>
    </row>
    <row r="3255" spans="1:6" x14ac:dyDescent="0.25">
      <c r="A3255">
        <v>1210000</v>
      </c>
      <c r="B3255">
        <v>6.2519</v>
      </c>
      <c r="E3255">
        <v>1210000</v>
      </c>
      <c r="F3255">
        <v>6.1330999999999998</v>
      </c>
    </row>
    <row r="3256" spans="1:6" x14ac:dyDescent="0.25">
      <c r="A3256">
        <v>1220000</v>
      </c>
      <c r="B3256">
        <v>6.2539999999999996</v>
      </c>
      <c r="E3256">
        <v>1220000</v>
      </c>
      <c r="F3256">
        <v>6.1360999999999999</v>
      </c>
    </row>
    <row r="3257" spans="1:6" x14ac:dyDescent="0.25">
      <c r="A3257">
        <v>1230000</v>
      </c>
      <c r="B3257">
        <v>6.2560000000000002</v>
      </c>
      <c r="E3257">
        <v>1230000</v>
      </c>
      <c r="F3257">
        <v>6.1391</v>
      </c>
    </row>
    <row r="3258" spans="1:6" x14ac:dyDescent="0.25">
      <c r="A3258">
        <v>1240000</v>
      </c>
      <c r="B3258">
        <v>6.2579000000000002</v>
      </c>
      <c r="E3258">
        <v>1240000</v>
      </c>
      <c r="F3258">
        <v>6.1420000000000003</v>
      </c>
    </row>
    <row r="3259" spans="1:6" x14ac:dyDescent="0.25">
      <c r="A3259">
        <v>1250000</v>
      </c>
      <c r="B3259">
        <v>6.2599</v>
      </c>
      <c r="E3259">
        <v>1250000</v>
      </c>
      <c r="F3259">
        <v>6.1448999999999998</v>
      </c>
    </row>
    <row r="3260" spans="1:6" x14ac:dyDescent="0.25">
      <c r="A3260">
        <v>1260000</v>
      </c>
      <c r="B3260">
        <v>6.2618</v>
      </c>
      <c r="E3260">
        <v>1260000</v>
      </c>
      <c r="F3260">
        <v>6.1477000000000004</v>
      </c>
    </row>
    <row r="3261" spans="1:6" x14ac:dyDescent="0.25">
      <c r="A3261">
        <v>1270000</v>
      </c>
      <c r="B3261">
        <v>6.2636000000000003</v>
      </c>
      <c r="E3261">
        <v>1270000</v>
      </c>
      <c r="F3261">
        <v>6.1505000000000001</v>
      </c>
    </row>
    <row r="3262" spans="1:6" x14ac:dyDescent="0.25">
      <c r="A3262">
        <v>1280000</v>
      </c>
      <c r="B3262">
        <v>6.2655000000000003</v>
      </c>
      <c r="E3262">
        <v>1280000</v>
      </c>
      <c r="F3262">
        <v>6.1532</v>
      </c>
    </row>
    <row r="3263" spans="1:6" x14ac:dyDescent="0.25">
      <c r="A3263">
        <v>1290000</v>
      </c>
      <c r="B3263">
        <v>6.2672999999999996</v>
      </c>
      <c r="E3263">
        <v>1290000</v>
      </c>
      <c r="F3263">
        <v>6.1558999999999999</v>
      </c>
    </row>
    <row r="3264" spans="1:6" x14ac:dyDescent="0.25">
      <c r="A3264">
        <v>1300000</v>
      </c>
      <c r="B3264">
        <v>6.2690999999999999</v>
      </c>
      <c r="E3264">
        <v>1300000</v>
      </c>
      <c r="F3264">
        <v>6.1585000000000001</v>
      </c>
    </row>
    <row r="3265" spans="1:6" x14ac:dyDescent="0.25">
      <c r="A3265">
        <v>1310000</v>
      </c>
      <c r="B3265">
        <v>6.2709000000000001</v>
      </c>
      <c r="E3265">
        <v>1310000</v>
      </c>
      <c r="F3265">
        <v>6.1611000000000002</v>
      </c>
    </row>
    <row r="3266" spans="1:6" x14ac:dyDescent="0.25">
      <c r="A3266">
        <v>1320000</v>
      </c>
      <c r="B3266">
        <v>6.2725999999999997</v>
      </c>
      <c r="E3266">
        <v>1320000</v>
      </c>
      <c r="F3266">
        <v>6.1637000000000004</v>
      </c>
    </row>
    <row r="3267" spans="1:6" x14ac:dyDescent="0.25">
      <c r="A3267">
        <v>1330000</v>
      </c>
      <c r="B3267">
        <v>6.2743000000000002</v>
      </c>
      <c r="E3267">
        <v>1330000</v>
      </c>
      <c r="F3267">
        <v>6.1661999999999999</v>
      </c>
    </row>
    <row r="3268" spans="1:6" x14ac:dyDescent="0.25">
      <c r="A3268">
        <v>1340000</v>
      </c>
      <c r="B3268">
        <v>6.2759999999999998</v>
      </c>
      <c r="E3268">
        <v>1340000</v>
      </c>
      <c r="F3268">
        <v>6.1687000000000003</v>
      </c>
    </row>
    <row r="3269" spans="1:6" x14ac:dyDescent="0.25">
      <c r="A3269">
        <v>1350000</v>
      </c>
      <c r="B3269">
        <v>6.2775999999999996</v>
      </c>
      <c r="E3269">
        <v>1350000</v>
      </c>
      <c r="F3269">
        <v>6.1711999999999998</v>
      </c>
    </row>
    <row r="3270" spans="1:6" x14ac:dyDescent="0.25">
      <c r="A3270">
        <v>1360000</v>
      </c>
      <c r="B3270">
        <v>6.2793000000000001</v>
      </c>
      <c r="E3270">
        <v>1360000</v>
      </c>
      <c r="F3270">
        <v>6.1736000000000004</v>
      </c>
    </row>
    <row r="3271" spans="1:6" x14ac:dyDescent="0.25">
      <c r="A3271">
        <v>1370000</v>
      </c>
      <c r="B3271">
        <v>6.2808999999999999</v>
      </c>
      <c r="E3271">
        <v>1370000</v>
      </c>
      <c r="F3271">
        <v>6.1760000000000002</v>
      </c>
    </row>
    <row r="3272" spans="1:6" x14ac:dyDescent="0.25">
      <c r="A3272">
        <v>1380000</v>
      </c>
      <c r="B3272">
        <v>6.2824999999999998</v>
      </c>
      <c r="E3272">
        <v>1380000</v>
      </c>
      <c r="F3272">
        <v>6.1783000000000001</v>
      </c>
    </row>
    <row r="3273" spans="1:6" x14ac:dyDescent="0.25">
      <c r="A3273">
        <v>1390000</v>
      </c>
      <c r="B3273">
        <v>6.2839999999999998</v>
      </c>
      <c r="E3273">
        <v>1390000</v>
      </c>
      <c r="F3273">
        <v>6.1806000000000001</v>
      </c>
    </row>
    <row r="3274" spans="1:6" x14ac:dyDescent="0.25">
      <c r="A3274">
        <v>1400000</v>
      </c>
      <c r="B3274">
        <v>6.2855999999999996</v>
      </c>
      <c r="E3274">
        <v>1400000</v>
      </c>
      <c r="F3274">
        <v>6.1829000000000001</v>
      </c>
    </row>
    <row r="3275" spans="1:6" x14ac:dyDescent="0.25">
      <c r="A3275">
        <v>1410000</v>
      </c>
      <c r="B3275">
        <v>6.2870999999999997</v>
      </c>
      <c r="E3275">
        <v>1410000</v>
      </c>
      <c r="F3275">
        <v>6.1852</v>
      </c>
    </row>
    <row r="3276" spans="1:6" x14ac:dyDescent="0.25">
      <c r="A3276">
        <v>1420000</v>
      </c>
      <c r="B3276">
        <v>6.2885999999999997</v>
      </c>
      <c r="E3276">
        <v>1420000</v>
      </c>
      <c r="F3276">
        <v>6.1874000000000002</v>
      </c>
    </row>
    <row r="3277" spans="1:6" x14ac:dyDescent="0.25">
      <c r="A3277">
        <v>1430000</v>
      </c>
      <c r="B3277">
        <v>6.2900999999999998</v>
      </c>
      <c r="E3277">
        <v>1430000</v>
      </c>
      <c r="F3277">
        <v>6.1896000000000004</v>
      </c>
    </row>
    <row r="3278" spans="1:6" x14ac:dyDescent="0.25">
      <c r="A3278">
        <v>1440000</v>
      </c>
      <c r="B3278">
        <v>6.2915000000000001</v>
      </c>
      <c r="E3278">
        <v>1440000</v>
      </c>
      <c r="F3278">
        <v>6.1917</v>
      </c>
    </row>
    <row r="3279" spans="1:6" x14ac:dyDescent="0.25">
      <c r="A3279">
        <v>1450000</v>
      </c>
      <c r="B3279">
        <v>6.2930000000000001</v>
      </c>
      <c r="E3279">
        <v>1450000</v>
      </c>
      <c r="F3279">
        <v>6.1939000000000002</v>
      </c>
    </row>
    <row r="3280" spans="1:6" x14ac:dyDescent="0.25">
      <c r="A3280">
        <v>1460000</v>
      </c>
      <c r="B3280">
        <v>6.2944000000000004</v>
      </c>
      <c r="E3280">
        <v>1460000</v>
      </c>
      <c r="F3280">
        <v>6.1959999999999997</v>
      </c>
    </row>
    <row r="3281" spans="1:6" x14ac:dyDescent="0.25">
      <c r="A3281">
        <v>1470000</v>
      </c>
      <c r="B3281">
        <v>6.2957999999999998</v>
      </c>
      <c r="E3281">
        <v>1470000</v>
      </c>
      <c r="F3281">
        <v>6.1980000000000004</v>
      </c>
    </row>
    <row r="3282" spans="1:6" x14ac:dyDescent="0.25">
      <c r="A3282">
        <v>1480000</v>
      </c>
      <c r="B3282">
        <v>6.2972000000000001</v>
      </c>
      <c r="E3282">
        <v>1480000</v>
      </c>
      <c r="F3282">
        <v>6.2000999999999999</v>
      </c>
    </row>
    <row r="3283" spans="1:6" x14ac:dyDescent="0.25">
      <c r="A3283">
        <v>1490000</v>
      </c>
      <c r="B3283">
        <v>6.2984999999999998</v>
      </c>
      <c r="E3283">
        <v>1490000</v>
      </c>
      <c r="F3283">
        <v>6.2020999999999997</v>
      </c>
    </row>
    <row r="3284" spans="1:6" x14ac:dyDescent="0.25">
      <c r="A3284">
        <v>1500000</v>
      </c>
      <c r="B3284">
        <v>6.2999000000000001</v>
      </c>
      <c r="E3284">
        <v>1500000</v>
      </c>
      <c r="F3284">
        <v>6.2041000000000004</v>
      </c>
    </row>
    <row r="3285" spans="1:6" x14ac:dyDescent="0.25">
      <c r="A3285">
        <v>1510000</v>
      </c>
      <c r="B3285">
        <v>6.3011999999999997</v>
      </c>
      <c r="E3285">
        <v>1510000</v>
      </c>
      <c r="F3285">
        <v>6.2060000000000004</v>
      </c>
    </row>
    <row r="3286" spans="1:6" x14ac:dyDescent="0.25">
      <c r="A3286">
        <v>1520000</v>
      </c>
      <c r="B3286">
        <v>6.3025000000000002</v>
      </c>
      <c r="E3286">
        <v>1520000</v>
      </c>
      <c r="F3286">
        <v>6.2080000000000002</v>
      </c>
    </row>
    <row r="3287" spans="1:6" x14ac:dyDescent="0.25">
      <c r="A3287">
        <v>1530000</v>
      </c>
      <c r="B3287">
        <v>6.3037999999999998</v>
      </c>
      <c r="E3287">
        <v>1530000</v>
      </c>
      <c r="F3287">
        <v>6.2099000000000002</v>
      </c>
    </row>
    <row r="3288" spans="1:6" x14ac:dyDescent="0.25">
      <c r="A3288">
        <v>1540000</v>
      </c>
      <c r="B3288">
        <v>6.3051000000000004</v>
      </c>
      <c r="E3288">
        <v>1540000</v>
      </c>
      <c r="F3288">
        <v>6.2118000000000002</v>
      </c>
    </row>
    <row r="3289" spans="1:6" x14ac:dyDescent="0.25">
      <c r="A3289">
        <v>1550000</v>
      </c>
      <c r="B3289">
        <v>6.3063000000000002</v>
      </c>
      <c r="E3289">
        <v>1550000</v>
      </c>
      <c r="F3289">
        <v>6.2135999999999996</v>
      </c>
    </row>
    <row r="3290" spans="1:6" x14ac:dyDescent="0.25">
      <c r="A3290">
        <v>1560000</v>
      </c>
      <c r="B3290">
        <v>6.3075999999999999</v>
      </c>
      <c r="E3290">
        <v>1560000</v>
      </c>
      <c r="F3290">
        <v>6.2153999999999998</v>
      </c>
    </row>
    <row r="3291" spans="1:6" x14ac:dyDescent="0.25">
      <c r="A3291">
        <v>1570000</v>
      </c>
      <c r="B3291">
        <v>6.3087999999999997</v>
      </c>
      <c r="E3291">
        <v>1570000</v>
      </c>
      <c r="F3291">
        <v>6.2172999999999998</v>
      </c>
    </row>
    <row r="3292" spans="1:6" x14ac:dyDescent="0.25">
      <c r="A3292">
        <v>1580000</v>
      </c>
      <c r="B3292">
        <v>6.31</v>
      </c>
      <c r="E3292">
        <v>1580000</v>
      </c>
      <c r="F3292">
        <v>6.2190000000000003</v>
      </c>
    </row>
    <row r="3293" spans="1:6" x14ac:dyDescent="0.25">
      <c r="A3293">
        <v>1590000</v>
      </c>
      <c r="B3293">
        <v>6.3112000000000004</v>
      </c>
      <c r="E3293">
        <v>1590000</v>
      </c>
      <c r="F3293">
        <v>6.2207999999999997</v>
      </c>
    </row>
    <row r="3294" spans="1:6" x14ac:dyDescent="0.25">
      <c r="A3294">
        <v>1600000</v>
      </c>
      <c r="B3294">
        <v>6.3124000000000002</v>
      </c>
      <c r="E3294">
        <v>1600000</v>
      </c>
      <c r="F3294">
        <v>6.2225999999999999</v>
      </c>
    </row>
    <row r="3295" spans="1:6" x14ac:dyDescent="0.25">
      <c r="A3295">
        <v>1610000</v>
      </c>
      <c r="B3295">
        <v>6.3136000000000001</v>
      </c>
      <c r="E3295">
        <v>1610000</v>
      </c>
      <c r="F3295">
        <v>6.2243000000000004</v>
      </c>
    </row>
    <row r="3296" spans="1:6" x14ac:dyDescent="0.25">
      <c r="A3296">
        <v>1620000</v>
      </c>
      <c r="B3296">
        <v>6.3147000000000002</v>
      </c>
      <c r="E3296">
        <v>1620000</v>
      </c>
      <c r="F3296">
        <v>6.226</v>
      </c>
    </row>
    <row r="3297" spans="1:6" x14ac:dyDescent="0.25">
      <c r="A3297">
        <v>1630000</v>
      </c>
      <c r="B3297">
        <v>6.3158000000000003</v>
      </c>
      <c r="E3297">
        <v>1630000</v>
      </c>
      <c r="F3297">
        <v>6.2276999999999996</v>
      </c>
    </row>
    <row r="3298" spans="1:6" x14ac:dyDescent="0.25">
      <c r="A3298">
        <v>1640000</v>
      </c>
      <c r="B3298">
        <v>6.3170000000000002</v>
      </c>
      <c r="E3298">
        <v>1640000</v>
      </c>
      <c r="F3298">
        <v>6.2293000000000003</v>
      </c>
    </row>
    <row r="3299" spans="1:6" x14ac:dyDescent="0.25">
      <c r="A3299">
        <v>1650000</v>
      </c>
      <c r="B3299">
        <v>6.3181000000000003</v>
      </c>
      <c r="E3299">
        <v>1650000</v>
      </c>
      <c r="F3299">
        <v>6.2309999999999999</v>
      </c>
    </row>
    <row r="3300" spans="1:6" x14ac:dyDescent="0.25">
      <c r="A3300">
        <v>1660000</v>
      </c>
      <c r="B3300">
        <v>6.3192000000000004</v>
      </c>
      <c r="E3300">
        <v>1660000</v>
      </c>
      <c r="F3300">
        <v>6.2325999999999997</v>
      </c>
    </row>
    <row r="3301" spans="1:6" x14ac:dyDescent="0.25">
      <c r="A3301">
        <v>1670000</v>
      </c>
      <c r="B3301">
        <v>6.3202999999999996</v>
      </c>
      <c r="E3301">
        <v>1670000</v>
      </c>
      <c r="F3301">
        <v>6.2342000000000004</v>
      </c>
    </row>
    <row r="3302" spans="1:6" x14ac:dyDescent="0.25">
      <c r="A3302">
        <v>1680000</v>
      </c>
      <c r="B3302">
        <v>6.3212999999999999</v>
      </c>
      <c r="E3302">
        <v>1680000</v>
      </c>
      <c r="F3302">
        <v>6.2358000000000002</v>
      </c>
    </row>
    <row r="3303" spans="1:6" x14ac:dyDescent="0.25">
      <c r="A3303">
        <v>1690000</v>
      </c>
      <c r="B3303">
        <v>6.3224</v>
      </c>
      <c r="E3303">
        <v>1690000</v>
      </c>
      <c r="F3303">
        <v>6.2373000000000003</v>
      </c>
    </row>
    <row r="3304" spans="1:6" x14ac:dyDescent="0.25">
      <c r="A3304">
        <v>1700000</v>
      </c>
      <c r="B3304">
        <v>6.3234000000000004</v>
      </c>
      <c r="E3304">
        <v>1700000</v>
      </c>
      <c r="F3304">
        <v>6.2389000000000001</v>
      </c>
    </row>
    <row r="3305" spans="1:6" x14ac:dyDescent="0.25">
      <c r="A3305">
        <v>1710000</v>
      </c>
      <c r="B3305">
        <v>6.3244999999999996</v>
      </c>
      <c r="E3305">
        <v>1710000</v>
      </c>
      <c r="F3305">
        <v>6.2404000000000002</v>
      </c>
    </row>
    <row r="3306" spans="1:6" x14ac:dyDescent="0.25">
      <c r="A3306">
        <v>1720000</v>
      </c>
      <c r="B3306">
        <v>6.3254999999999999</v>
      </c>
      <c r="E3306">
        <v>1720000</v>
      </c>
      <c r="F3306">
        <v>6.2419000000000002</v>
      </c>
    </row>
    <row r="3307" spans="1:6" x14ac:dyDescent="0.25">
      <c r="A3307">
        <v>1730000</v>
      </c>
      <c r="B3307">
        <v>6.3265000000000002</v>
      </c>
      <c r="E3307">
        <v>1730000</v>
      </c>
      <c r="F3307">
        <v>6.2434000000000003</v>
      </c>
    </row>
    <row r="3308" spans="1:6" x14ac:dyDescent="0.25">
      <c r="A3308">
        <v>1740000</v>
      </c>
      <c r="B3308">
        <v>6.3274999999999997</v>
      </c>
      <c r="E3308">
        <v>1740000</v>
      </c>
      <c r="F3308">
        <v>6.2449000000000003</v>
      </c>
    </row>
    <row r="3309" spans="1:6" x14ac:dyDescent="0.25">
      <c r="A3309">
        <v>1750000</v>
      </c>
      <c r="B3309">
        <v>6.3285</v>
      </c>
      <c r="E3309">
        <v>1750000</v>
      </c>
      <c r="F3309">
        <v>6.2462999999999997</v>
      </c>
    </row>
    <row r="3310" spans="1:6" x14ac:dyDescent="0.25">
      <c r="A3310">
        <v>1760000</v>
      </c>
      <c r="B3310">
        <v>6.3293999999999997</v>
      </c>
      <c r="E3310">
        <v>1760000</v>
      </c>
      <c r="F3310">
        <v>6.2477999999999998</v>
      </c>
    </row>
    <row r="3311" spans="1:6" x14ac:dyDescent="0.25">
      <c r="A3311">
        <v>1770000</v>
      </c>
      <c r="B3311">
        <v>6.3304</v>
      </c>
      <c r="E3311">
        <v>1770000</v>
      </c>
      <c r="F3311">
        <v>6.2492000000000001</v>
      </c>
    </row>
    <row r="3312" spans="1:6" x14ac:dyDescent="0.25">
      <c r="A3312">
        <v>1780000</v>
      </c>
      <c r="B3312">
        <v>6.3314000000000004</v>
      </c>
      <c r="E3312">
        <v>1780000</v>
      </c>
      <c r="F3312">
        <v>6.2506000000000004</v>
      </c>
    </row>
    <row r="3313" spans="1:6" x14ac:dyDescent="0.25">
      <c r="A3313">
        <v>1790000</v>
      </c>
      <c r="B3313">
        <v>6.3323</v>
      </c>
      <c r="E3313">
        <v>1790000</v>
      </c>
      <c r="F3313">
        <v>6.2519999999999998</v>
      </c>
    </row>
    <row r="3314" spans="1:6" x14ac:dyDescent="0.25">
      <c r="A3314">
        <v>1800000</v>
      </c>
      <c r="B3314">
        <v>6.3331999999999997</v>
      </c>
      <c r="E3314">
        <v>1800000</v>
      </c>
      <c r="F3314">
        <v>6.2534000000000001</v>
      </c>
    </row>
    <row r="3315" spans="1:6" x14ac:dyDescent="0.25">
      <c r="A3315">
        <v>1810000</v>
      </c>
      <c r="B3315">
        <v>6.3342000000000001</v>
      </c>
      <c r="E3315">
        <v>1810000</v>
      </c>
      <c r="F3315">
        <v>6.2546999999999997</v>
      </c>
    </row>
    <row r="3316" spans="1:6" x14ac:dyDescent="0.25">
      <c r="A3316">
        <v>1820000</v>
      </c>
      <c r="B3316">
        <v>6.3350999999999997</v>
      </c>
      <c r="E3316">
        <v>1820000</v>
      </c>
      <c r="F3316">
        <v>6.2561</v>
      </c>
    </row>
    <row r="3317" spans="1:6" x14ac:dyDescent="0.25">
      <c r="A3317">
        <v>1830000</v>
      </c>
      <c r="B3317">
        <v>6.3360000000000003</v>
      </c>
      <c r="E3317">
        <v>1830000</v>
      </c>
      <c r="F3317">
        <v>6.2573999999999996</v>
      </c>
    </row>
    <row r="3318" spans="1:6" x14ac:dyDescent="0.25">
      <c r="A3318">
        <v>1840000</v>
      </c>
      <c r="B3318">
        <v>6.3369</v>
      </c>
      <c r="E3318">
        <v>1840000</v>
      </c>
      <c r="F3318">
        <v>6.2587000000000002</v>
      </c>
    </row>
    <row r="3319" spans="1:6" x14ac:dyDescent="0.25">
      <c r="A3319">
        <v>1850000</v>
      </c>
      <c r="B3319">
        <v>6.3376999999999999</v>
      </c>
      <c r="E3319">
        <v>1850000</v>
      </c>
      <c r="F3319">
        <v>6.2601000000000004</v>
      </c>
    </row>
    <row r="3320" spans="1:6" x14ac:dyDescent="0.25">
      <c r="A3320">
        <v>1860000</v>
      </c>
      <c r="B3320">
        <v>6.3385999999999996</v>
      </c>
      <c r="E3320">
        <v>1860000</v>
      </c>
      <c r="F3320">
        <v>6.2613000000000003</v>
      </c>
    </row>
    <row r="3321" spans="1:6" x14ac:dyDescent="0.25">
      <c r="A3321">
        <v>1870000</v>
      </c>
      <c r="B3321">
        <v>6.3395000000000001</v>
      </c>
      <c r="E3321">
        <v>1870000</v>
      </c>
      <c r="F3321">
        <v>6.2625999999999999</v>
      </c>
    </row>
    <row r="3322" spans="1:6" x14ac:dyDescent="0.25">
      <c r="A3322">
        <v>1880000</v>
      </c>
      <c r="B3322">
        <v>6.3403</v>
      </c>
      <c r="E3322">
        <v>1880000</v>
      </c>
      <c r="F3322">
        <v>6.2638999999999996</v>
      </c>
    </row>
    <row r="3323" spans="1:6" x14ac:dyDescent="0.25">
      <c r="A3323">
        <v>1890000</v>
      </c>
      <c r="B3323">
        <v>6.3411999999999997</v>
      </c>
      <c r="E3323">
        <v>1890000</v>
      </c>
      <c r="F3323">
        <v>6.2651000000000003</v>
      </c>
    </row>
    <row r="3324" spans="1:6" x14ac:dyDescent="0.25">
      <c r="A3324">
        <v>1900000</v>
      </c>
      <c r="B3324">
        <v>6.3419999999999996</v>
      </c>
      <c r="E3324">
        <v>1900000</v>
      </c>
      <c r="F3324">
        <v>6.2664</v>
      </c>
    </row>
    <row r="3325" spans="1:6" x14ac:dyDescent="0.25">
      <c r="A3325">
        <v>1910000</v>
      </c>
      <c r="B3325">
        <v>6.3428000000000004</v>
      </c>
      <c r="E3325">
        <v>1910000</v>
      </c>
      <c r="F3325">
        <v>6.2675999999999998</v>
      </c>
    </row>
    <row r="3326" spans="1:6" x14ac:dyDescent="0.25">
      <c r="A3326">
        <v>1920000</v>
      </c>
      <c r="B3326">
        <v>6.3437000000000001</v>
      </c>
      <c r="E3326">
        <v>1920000</v>
      </c>
      <c r="F3326">
        <v>6.2687999999999997</v>
      </c>
    </row>
    <row r="3327" spans="1:6" x14ac:dyDescent="0.25">
      <c r="A3327">
        <v>1930000</v>
      </c>
      <c r="B3327">
        <v>6.3445</v>
      </c>
      <c r="E3327">
        <v>1930000</v>
      </c>
      <c r="F3327">
        <v>6.27</v>
      </c>
    </row>
    <row r="3328" spans="1:6" x14ac:dyDescent="0.25">
      <c r="A3328">
        <v>1940000</v>
      </c>
      <c r="B3328">
        <v>6.3452999999999999</v>
      </c>
      <c r="E3328">
        <v>1940000</v>
      </c>
      <c r="F3328">
        <v>6.2712000000000003</v>
      </c>
    </row>
    <row r="3329" spans="1:6" x14ac:dyDescent="0.25">
      <c r="A3329">
        <v>1950000</v>
      </c>
      <c r="B3329">
        <v>6.3460999999999999</v>
      </c>
      <c r="E3329">
        <v>1950000</v>
      </c>
      <c r="F3329">
        <v>6.2724000000000002</v>
      </c>
    </row>
    <row r="3330" spans="1:6" x14ac:dyDescent="0.25">
      <c r="A3330">
        <v>1960000</v>
      </c>
      <c r="B3330">
        <v>6.3468</v>
      </c>
      <c r="E3330">
        <v>1960000</v>
      </c>
      <c r="F3330">
        <v>6.2735000000000003</v>
      </c>
    </row>
    <row r="3331" spans="1:6" x14ac:dyDescent="0.25">
      <c r="A3331">
        <v>1970000</v>
      </c>
      <c r="B3331">
        <v>6.3475999999999999</v>
      </c>
      <c r="E3331">
        <v>1970000</v>
      </c>
      <c r="F3331">
        <v>6.2747000000000002</v>
      </c>
    </row>
    <row r="3332" spans="1:6" x14ac:dyDescent="0.25">
      <c r="A3332">
        <v>1980000</v>
      </c>
      <c r="B3332">
        <v>6.3483999999999998</v>
      </c>
      <c r="E3332">
        <v>1980000</v>
      </c>
      <c r="F3332">
        <v>6.2758000000000003</v>
      </c>
    </row>
    <row r="3333" spans="1:6" x14ac:dyDescent="0.25">
      <c r="A3333">
        <v>1990000</v>
      </c>
      <c r="B3333">
        <v>6.3491999999999997</v>
      </c>
      <c r="E3333">
        <v>1990000</v>
      </c>
      <c r="F3333">
        <v>6.2769000000000004</v>
      </c>
    </row>
    <row r="3334" spans="1:6" x14ac:dyDescent="0.25">
      <c r="A3334">
        <v>2000000</v>
      </c>
      <c r="B3334">
        <v>6.3498999999999999</v>
      </c>
      <c r="E3334">
        <v>2000000</v>
      </c>
      <c r="F3334">
        <v>6.2779999999999996</v>
      </c>
    </row>
    <row r="3335" spans="1:6" x14ac:dyDescent="0.25">
      <c r="A3335">
        <v>2010000</v>
      </c>
      <c r="B3335">
        <v>6.3506999999999998</v>
      </c>
      <c r="E3335">
        <v>2010000</v>
      </c>
      <c r="F3335">
        <v>6.2792000000000003</v>
      </c>
    </row>
    <row r="3336" spans="1:6" x14ac:dyDescent="0.25">
      <c r="A3336">
        <v>2020000</v>
      </c>
      <c r="B3336">
        <v>6.3513999999999999</v>
      </c>
      <c r="E3336">
        <v>2020000</v>
      </c>
      <c r="F3336">
        <v>6.2801999999999998</v>
      </c>
    </row>
    <row r="3337" spans="1:6" x14ac:dyDescent="0.25">
      <c r="A3337">
        <v>2030000</v>
      </c>
      <c r="B3337">
        <v>6.3521000000000001</v>
      </c>
      <c r="E3337">
        <v>2030000</v>
      </c>
      <c r="F3337">
        <v>6.2812999999999999</v>
      </c>
    </row>
    <row r="3338" spans="1:6" x14ac:dyDescent="0.25">
      <c r="A3338">
        <v>2040000</v>
      </c>
      <c r="B3338">
        <v>6.3529</v>
      </c>
      <c r="E3338">
        <v>2040000</v>
      </c>
      <c r="F3338">
        <v>6.2824</v>
      </c>
    </row>
    <row r="3339" spans="1:6" x14ac:dyDescent="0.25">
      <c r="A3339">
        <v>2050000</v>
      </c>
      <c r="B3339">
        <v>6.3536000000000001</v>
      </c>
      <c r="E3339">
        <v>2050000</v>
      </c>
      <c r="F3339">
        <v>6.2835000000000001</v>
      </c>
    </row>
    <row r="3340" spans="1:6" x14ac:dyDescent="0.25">
      <c r="A3340">
        <v>2060000</v>
      </c>
      <c r="B3340">
        <v>6.3543000000000003</v>
      </c>
      <c r="E3340">
        <v>2060000</v>
      </c>
      <c r="F3340">
        <v>6.2845000000000004</v>
      </c>
    </row>
    <row r="3341" spans="1:6" x14ac:dyDescent="0.25">
      <c r="A3341">
        <v>2070000</v>
      </c>
      <c r="B3341">
        <v>6.3550000000000004</v>
      </c>
      <c r="E3341">
        <v>2070000</v>
      </c>
      <c r="F3341">
        <v>6.2855999999999996</v>
      </c>
    </row>
    <row r="3342" spans="1:6" x14ac:dyDescent="0.25">
      <c r="A3342">
        <v>2080000</v>
      </c>
      <c r="B3342">
        <v>6.3556999999999997</v>
      </c>
      <c r="E3342">
        <v>2080000</v>
      </c>
      <c r="F3342">
        <v>6.2866</v>
      </c>
    </row>
    <row r="3343" spans="1:6" x14ac:dyDescent="0.25">
      <c r="A3343">
        <v>2090000</v>
      </c>
      <c r="B3343">
        <v>6.3563999999999998</v>
      </c>
      <c r="E3343">
        <v>2090000</v>
      </c>
      <c r="F3343">
        <v>6.2876000000000003</v>
      </c>
    </row>
    <row r="3344" spans="1:6" x14ac:dyDescent="0.25">
      <c r="A3344">
        <v>2100000</v>
      </c>
      <c r="B3344">
        <v>6.3571</v>
      </c>
      <c r="E3344">
        <v>2100000</v>
      </c>
      <c r="F3344">
        <v>6.2885999999999997</v>
      </c>
    </row>
    <row r="3345" spans="1:6" x14ac:dyDescent="0.25">
      <c r="A3345">
        <v>2110000</v>
      </c>
      <c r="B3345">
        <v>6.3577000000000004</v>
      </c>
      <c r="E3345">
        <v>2110000</v>
      </c>
      <c r="F3345">
        <v>6.2896000000000001</v>
      </c>
    </row>
    <row r="3346" spans="1:6" x14ac:dyDescent="0.25">
      <c r="A3346">
        <v>2120000</v>
      </c>
      <c r="B3346">
        <v>6.3583999999999996</v>
      </c>
      <c r="E3346">
        <v>2120000</v>
      </c>
      <c r="F3346">
        <v>6.2906000000000004</v>
      </c>
    </row>
    <row r="3347" spans="1:6" x14ac:dyDescent="0.25">
      <c r="A3347">
        <v>2130000</v>
      </c>
      <c r="B3347">
        <v>6.3590999999999998</v>
      </c>
      <c r="E3347">
        <v>2130000</v>
      </c>
      <c r="F3347">
        <v>6.2915999999999999</v>
      </c>
    </row>
    <row r="3348" spans="1:6" x14ac:dyDescent="0.25">
      <c r="A3348">
        <v>2140000</v>
      </c>
      <c r="B3348">
        <v>6.3597000000000001</v>
      </c>
      <c r="E3348">
        <v>2140000</v>
      </c>
      <c r="F3348">
        <v>6.2926000000000002</v>
      </c>
    </row>
    <row r="3349" spans="1:6" x14ac:dyDescent="0.25">
      <c r="A3349">
        <v>2150000</v>
      </c>
      <c r="B3349">
        <v>6.3604000000000003</v>
      </c>
      <c r="E3349">
        <v>2150000</v>
      </c>
      <c r="F3349">
        <v>6.2934999999999999</v>
      </c>
    </row>
    <row r="3350" spans="1:6" x14ac:dyDescent="0.25">
      <c r="A3350">
        <v>2160000</v>
      </c>
      <c r="B3350">
        <v>6.3609999999999998</v>
      </c>
      <c r="E3350">
        <v>2160000</v>
      </c>
      <c r="F3350">
        <v>6.2945000000000002</v>
      </c>
    </row>
    <row r="3351" spans="1:6" x14ac:dyDescent="0.25">
      <c r="A3351">
        <v>2170000</v>
      </c>
      <c r="B3351">
        <v>6.3616999999999999</v>
      </c>
      <c r="E3351">
        <v>2170000</v>
      </c>
      <c r="F3351">
        <v>6.2953999999999999</v>
      </c>
    </row>
    <row r="3352" spans="1:6" x14ac:dyDescent="0.25">
      <c r="A3352">
        <v>2180000</v>
      </c>
      <c r="B3352">
        <v>6.3623000000000003</v>
      </c>
      <c r="E3352">
        <v>2180000</v>
      </c>
      <c r="F3352">
        <v>6.2964000000000002</v>
      </c>
    </row>
    <row r="3353" spans="1:6" x14ac:dyDescent="0.25">
      <c r="A3353">
        <v>2190000</v>
      </c>
      <c r="B3353">
        <v>6.3628999999999998</v>
      </c>
      <c r="E3353">
        <v>2190000</v>
      </c>
      <c r="F3353">
        <v>6.2972999999999999</v>
      </c>
    </row>
    <row r="3354" spans="1:6" x14ac:dyDescent="0.25">
      <c r="A3354">
        <v>2200000</v>
      </c>
      <c r="B3354">
        <v>6.3635999999999999</v>
      </c>
      <c r="E3354">
        <v>2200000</v>
      </c>
      <c r="F3354">
        <v>6.2981999999999996</v>
      </c>
    </row>
    <row r="3355" spans="1:6" x14ac:dyDescent="0.25">
      <c r="A3355">
        <v>2210000</v>
      </c>
      <c r="B3355">
        <v>6.3642000000000003</v>
      </c>
      <c r="E3355">
        <v>2210000</v>
      </c>
      <c r="F3355">
        <v>6.2991000000000001</v>
      </c>
    </row>
    <row r="3356" spans="1:6" x14ac:dyDescent="0.25">
      <c r="A3356">
        <v>2220000</v>
      </c>
      <c r="B3356">
        <v>6.3647999999999998</v>
      </c>
      <c r="E3356">
        <v>2220000</v>
      </c>
      <c r="F3356">
        <v>6.3</v>
      </c>
    </row>
    <row r="3357" spans="1:6" x14ac:dyDescent="0.25">
      <c r="A3357">
        <v>2230000</v>
      </c>
      <c r="B3357">
        <v>6.3654000000000002</v>
      </c>
      <c r="E3357">
        <v>2230000</v>
      </c>
      <c r="F3357">
        <v>6.3009000000000004</v>
      </c>
    </row>
    <row r="3358" spans="1:6" x14ac:dyDescent="0.25">
      <c r="A3358">
        <v>2240000</v>
      </c>
      <c r="B3358">
        <v>6.3659999999999997</v>
      </c>
      <c r="E3358">
        <v>2240000</v>
      </c>
      <c r="F3358">
        <v>6.3018000000000001</v>
      </c>
    </row>
    <row r="3359" spans="1:6" x14ac:dyDescent="0.25">
      <c r="A3359">
        <v>2250000</v>
      </c>
      <c r="B3359">
        <v>6.3666</v>
      </c>
      <c r="E3359">
        <v>2250000</v>
      </c>
      <c r="F3359">
        <v>6.3026999999999997</v>
      </c>
    </row>
    <row r="3360" spans="1:6" x14ac:dyDescent="0.25">
      <c r="A3360">
        <v>2260000</v>
      </c>
      <c r="B3360">
        <v>6.3672000000000004</v>
      </c>
      <c r="E3360">
        <v>2260000</v>
      </c>
      <c r="F3360">
        <v>6.3036000000000003</v>
      </c>
    </row>
    <row r="3361" spans="1:6" x14ac:dyDescent="0.25">
      <c r="A3361">
        <v>2270000</v>
      </c>
      <c r="B3361">
        <v>6.3677999999999999</v>
      </c>
      <c r="E3361">
        <v>2270000</v>
      </c>
      <c r="F3361">
        <v>6.3044000000000002</v>
      </c>
    </row>
    <row r="3362" spans="1:6" x14ac:dyDescent="0.25">
      <c r="A3362">
        <v>2280000</v>
      </c>
      <c r="B3362">
        <v>6.3682999999999996</v>
      </c>
      <c r="E3362">
        <v>2280000</v>
      </c>
      <c r="F3362">
        <v>6.3052999999999999</v>
      </c>
    </row>
    <row r="3363" spans="1:6" x14ac:dyDescent="0.25">
      <c r="A3363">
        <v>2290000</v>
      </c>
      <c r="B3363">
        <v>6.3689</v>
      </c>
      <c r="E3363">
        <v>2290000</v>
      </c>
      <c r="F3363">
        <v>6.3061999999999996</v>
      </c>
    </row>
    <row r="3364" spans="1:6" x14ac:dyDescent="0.25">
      <c r="A3364">
        <v>2300000</v>
      </c>
      <c r="B3364">
        <v>6.3695000000000004</v>
      </c>
      <c r="E3364">
        <v>2300000</v>
      </c>
      <c r="F3364">
        <v>6.3070000000000004</v>
      </c>
    </row>
    <row r="3365" spans="1:6" x14ac:dyDescent="0.25">
      <c r="A3365">
        <v>2310000</v>
      </c>
      <c r="B3365">
        <v>6.3700999999999999</v>
      </c>
      <c r="E3365">
        <v>2310000</v>
      </c>
      <c r="F3365">
        <v>6.3078000000000003</v>
      </c>
    </row>
    <row r="3366" spans="1:6" x14ac:dyDescent="0.25">
      <c r="A3366">
        <v>2320000</v>
      </c>
      <c r="B3366">
        <v>6.3705999999999996</v>
      </c>
      <c r="E3366">
        <v>2320000</v>
      </c>
      <c r="F3366">
        <v>6.3087</v>
      </c>
    </row>
    <row r="3367" spans="1:6" x14ac:dyDescent="0.25">
      <c r="A3367">
        <v>2330000</v>
      </c>
      <c r="B3367">
        <v>6.3712</v>
      </c>
      <c r="E3367">
        <v>2330000</v>
      </c>
      <c r="F3367">
        <v>6.3094999999999999</v>
      </c>
    </row>
    <row r="3368" spans="1:6" x14ac:dyDescent="0.25">
      <c r="A3368">
        <v>2340000</v>
      </c>
      <c r="B3368">
        <v>6.3716999999999997</v>
      </c>
      <c r="E3368">
        <v>2340000</v>
      </c>
      <c r="F3368">
        <v>6.3102999999999998</v>
      </c>
    </row>
    <row r="3369" spans="1:6" x14ac:dyDescent="0.25">
      <c r="A3369">
        <v>2350000</v>
      </c>
      <c r="B3369">
        <v>6.3723000000000001</v>
      </c>
      <c r="E3369">
        <v>2350000</v>
      </c>
      <c r="F3369">
        <v>6.3110999999999997</v>
      </c>
    </row>
    <row r="3370" spans="1:6" x14ac:dyDescent="0.25">
      <c r="A3370">
        <v>2360000</v>
      </c>
      <c r="B3370">
        <v>6.3727999999999998</v>
      </c>
      <c r="E3370">
        <v>2360000</v>
      </c>
      <c r="F3370">
        <v>6.3118999999999996</v>
      </c>
    </row>
    <row r="3371" spans="1:6" x14ac:dyDescent="0.25">
      <c r="A3371">
        <v>2370000</v>
      </c>
      <c r="B3371">
        <v>6.3733000000000004</v>
      </c>
      <c r="E3371">
        <v>2370000</v>
      </c>
      <c r="F3371">
        <v>6.3127000000000004</v>
      </c>
    </row>
    <row r="3372" spans="1:6" x14ac:dyDescent="0.25">
      <c r="A3372">
        <v>2380000</v>
      </c>
      <c r="B3372">
        <v>6.3738999999999999</v>
      </c>
      <c r="E3372">
        <v>2380000</v>
      </c>
      <c r="F3372">
        <v>6.3135000000000003</v>
      </c>
    </row>
    <row r="3373" spans="1:6" x14ac:dyDescent="0.25">
      <c r="A3373">
        <v>2390000</v>
      </c>
      <c r="B3373">
        <v>6.3743999999999996</v>
      </c>
      <c r="E3373">
        <v>2390000</v>
      </c>
      <c r="F3373">
        <v>6.3143000000000002</v>
      </c>
    </row>
    <row r="3374" spans="1:6" x14ac:dyDescent="0.25">
      <c r="A3374">
        <v>2400000</v>
      </c>
      <c r="B3374">
        <v>6.3749000000000002</v>
      </c>
      <c r="E3374">
        <v>2400000</v>
      </c>
      <c r="F3374">
        <v>6.3150000000000004</v>
      </c>
    </row>
    <row r="3375" spans="1:6" x14ac:dyDescent="0.25">
      <c r="A3375">
        <v>2410000</v>
      </c>
      <c r="B3375">
        <v>6.3754</v>
      </c>
      <c r="E3375">
        <v>2410000</v>
      </c>
      <c r="F3375">
        <v>6.3158000000000003</v>
      </c>
    </row>
    <row r="3376" spans="1:6" x14ac:dyDescent="0.25">
      <c r="A3376">
        <v>2420000</v>
      </c>
      <c r="B3376">
        <v>6.3760000000000003</v>
      </c>
      <c r="E3376">
        <v>2420000</v>
      </c>
      <c r="F3376">
        <v>6.3166000000000002</v>
      </c>
    </row>
    <row r="3377" spans="1:6" x14ac:dyDescent="0.25">
      <c r="A3377">
        <v>2430000</v>
      </c>
      <c r="B3377">
        <v>6.3765000000000001</v>
      </c>
      <c r="E3377">
        <v>2430000</v>
      </c>
      <c r="F3377">
        <v>6.3173000000000004</v>
      </c>
    </row>
    <row r="3378" spans="1:6" x14ac:dyDescent="0.25">
      <c r="A3378">
        <v>2440000</v>
      </c>
      <c r="B3378">
        <v>6.3769999999999998</v>
      </c>
      <c r="E3378">
        <v>2440000</v>
      </c>
      <c r="F3378">
        <v>6.3181000000000003</v>
      </c>
    </row>
    <row r="3379" spans="1:6" x14ac:dyDescent="0.25">
      <c r="A3379">
        <v>2450000</v>
      </c>
      <c r="B3379">
        <v>6.3775000000000004</v>
      </c>
      <c r="E3379">
        <v>2450000</v>
      </c>
      <c r="F3379">
        <v>6.3188000000000004</v>
      </c>
    </row>
    <row r="3380" spans="1:6" x14ac:dyDescent="0.25">
      <c r="A3380">
        <v>2460000</v>
      </c>
      <c r="B3380">
        <v>6.3780000000000001</v>
      </c>
      <c r="E3380">
        <v>2460000</v>
      </c>
      <c r="F3380">
        <v>6.3196000000000003</v>
      </c>
    </row>
    <row r="3381" spans="1:6" x14ac:dyDescent="0.25">
      <c r="A3381">
        <v>2470000</v>
      </c>
      <c r="B3381">
        <v>6.3784999999999998</v>
      </c>
      <c r="E3381">
        <v>2470000</v>
      </c>
      <c r="F3381">
        <v>6.3202999999999996</v>
      </c>
    </row>
    <row r="3382" spans="1:6" x14ac:dyDescent="0.25">
      <c r="A3382">
        <v>2480000</v>
      </c>
      <c r="B3382">
        <v>6.3789999999999996</v>
      </c>
      <c r="E3382">
        <v>2480000</v>
      </c>
      <c r="F3382">
        <v>6.3209999999999997</v>
      </c>
    </row>
    <row r="3383" spans="1:6" x14ac:dyDescent="0.25">
      <c r="A3383">
        <v>2490000</v>
      </c>
      <c r="B3383">
        <v>6.3794000000000004</v>
      </c>
      <c r="E3383">
        <v>2490000</v>
      </c>
      <c r="F3383">
        <v>6.3216999999999999</v>
      </c>
    </row>
    <row r="3384" spans="1:6" x14ac:dyDescent="0.25">
      <c r="A3384">
        <v>2500000</v>
      </c>
      <c r="B3384">
        <v>6.3799000000000001</v>
      </c>
      <c r="E3384">
        <v>2500000</v>
      </c>
      <c r="F3384">
        <v>6.3224</v>
      </c>
    </row>
    <row r="3385" spans="1:6" x14ac:dyDescent="0.25">
      <c r="A3385">
        <v>2510000</v>
      </c>
      <c r="B3385">
        <v>6.3803999999999998</v>
      </c>
      <c r="E3385">
        <v>2510000</v>
      </c>
      <c r="F3385">
        <v>6.3231000000000002</v>
      </c>
    </row>
    <row r="3386" spans="1:6" x14ac:dyDescent="0.25">
      <c r="A3386">
        <v>2520000</v>
      </c>
      <c r="B3386">
        <v>6.3808999999999996</v>
      </c>
      <c r="E3386">
        <v>2520000</v>
      </c>
      <c r="F3386">
        <v>6.3238000000000003</v>
      </c>
    </row>
    <row r="3387" spans="1:6" x14ac:dyDescent="0.25">
      <c r="A3387">
        <v>2530000</v>
      </c>
      <c r="B3387">
        <v>6.3814000000000002</v>
      </c>
      <c r="E3387">
        <v>2530000</v>
      </c>
      <c r="F3387">
        <v>6.3244999999999996</v>
      </c>
    </row>
    <row r="3388" spans="1:6" x14ac:dyDescent="0.25">
      <c r="A3388">
        <v>2540000</v>
      </c>
      <c r="B3388">
        <v>6.3818000000000001</v>
      </c>
      <c r="E3388">
        <v>2540000</v>
      </c>
      <c r="F3388">
        <v>6.3251999999999997</v>
      </c>
    </row>
    <row r="3389" spans="1:6" x14ac:dyDescent="0.25">
      <c r="A3389">
        <v>2550000</v>
      </c>
      <c r="B3389">
        <v>6.3822999999999999</v>
      </c>
      <c r="E3389">
        <v>2550000</v>
      </c>
      <c r="F3389">
        <v>6.3258999999999999</v>
      </c>
    </row>
    <row r="3390" spans="1:6" x14ac:dyDescent="0.25">
      <c r="A3390">
        <v>2560000</v>
      </c>
      <c r="B3390">
        <v>6.3826999999999998</v>
      </c>
      <c r="E3390">
        <v>2560000</v>
      </c>
      <c r="F3390">
        <v>6.3266</v>
      </c>
    </row>
    <row r="3391" spans="1:6" x14ac:dyDescent="0.25">
      <c r="A3391">
        <v>2570000</v>
      </c>
      <c r="B3391">
        <v>6.3832000000000004</v>
      </c>
      <c r="E3391">
        <v>2570000</v>
      </c>
      <c r="F3391">
        <v>6.3273000000000001</v>
      </c>
    </row>
    <row r="3392" spans="1:6" x14ac:dyDescent="0.25">
      <c r="A3392">
        <v>2580000</v>
      </c>
      <c r="B3392">
        <v>6.3837000000000002</v>
      </c>
      <c r="E3392">
        <v>2580000</v>
      </c>
      <c r="F3392">
        <v>6.3278999999999996</v>
      </c>
    </row>
    <row r="3393" spans="1:6" x14ac:dyDescent="0.25">
      <c r="A3393">
        <v>2590000</v>
      </c>
      <c r="B3393">
        <v>6.3841000000000001</v>
      </c>
      <c r="E3393">
        <v>2590000</v>
      </c>
      <c r="F3393">
        <v>6.3285999999999998</v>
      </c>
    </row>
    <row r="3394" spans="1:6" x14ac:dyDescent="0.25">
      <c r="A3394">
        <v>2600000</v>
      </c>
      <c r="B3394">
        <v>6.3845000000000001</v>
      </c>
      <c r="E3394">
        <v>2600000</v>
      </c>
      <c r="F3394">
        <v>6.3292999999999999</v>
      </c>
    </row>
    <row r="3395" spans="1:6" x14ac:dyDescent="0.25">
      <c r="A3395">
        <v>2610000</v>
      </c>
      <c r="B3395">
        <v>6.3849999999999998</v>
      </c>
      <c r="E3395">
        <v>2610000</v>
      </c>
      <c r="F3395">
        <v>6.3299000000000003</v>
      </c>
    </row>
    <row r="3396" spans="1:6" x14ac:dyDescent="0.25">
      <c r="A3396">
        <v>2620000</v>
      </c>
      <c r="B3396">
        <v>6.3853999999999997</v>
      </c>
      <c r="E3396">
        <v>2620000</v>
      </c>
      <c r="F3396">
        <v>6.3305999999999996</v>
      </c>
    </row>
    <row r="3397" spans="1:6" x14ac:dyDescent="0.25">
      <c r="A3397">
        <v>2630000</v>
      </c>
      <c r="B3397">
        <v>6.3859000000000004</v>
      </c>
      <c r="E3397">
        <v>2630000</v>
      </c>
      <c r="F3397">
        <v>6.3311999999999999</v>
      </c>
    </row>
    <row r="3398" spans="1:6" x14ac:dyDescent="0.25">
      <c r="A3398">
        <v>2640000</v>
      </c>
      <c r="B3398">
        <v>6.3863000000000003</v>
      </c>
      <c r="E3398">
        <v>2640000</v>
      </c>
      <c r="F3398">
        <v>6.3319000000000001</v>
      </c>
    </row>
    <row r="3399" spans="1:6" x14ac:dyDescent="0.25">
      <c r="A3399">
        <v>2650000</v>
      </c>
      <c r="B3399">
        <v>6.3867000000000003</v>
      </c>
      <c r="E3399">
        <v>2650000</v>
      </c>
      <c r="F3399">
        <v>6.3324999999999996</v>
      </c>
    </row>
    <row r="3400" spans="1:6" x14ac:dyDescent="0.25">
      <c r="A3400">
        <v>2660000</v>
      </c>
      <c r="B3400">
        <v>6.3872</v>
      </c>
      <c r="E3400">
        <v>2660000</v>
      </c>
      <c r="F3400">
        <v>6.3331</v>
      </c>
    </row>
    <row r="3401" spans="1:6" x14ac:dyDescent="0.25">
      <c r="A3401">
        <v>2670000</v>
      </c>
      <c r="B3401">
        <v>6.3875999999999999</v>
      </c>
      <c r="E3401">
        <v>2670000</v>
      </c>
      <c r="F3401">
        <v>6.3337000000000003</v>
      </c>
    </row>
    <row r="3402" spans="1:6" x14ac:dyDescent="0.25">
      <c r="A3402">
        <v>2680000</v>
      </c>
      <c r="B3402">
        <v>6.3879999999999999</v>
      </c>
      <c r="E3402">
        <v>2680000</v>
      </c>
      <c r="F3402">
        <v>6.3343999999999996</v>
      </c>
    </row>
    <row r="3403" spans="1:6" x14ac:dyDescent="0.25">
      <c r="A3403">
        <v>2690000</v>
      </c>
      <c r="B3403">
        <v>6.3883999999999999</v>
      </c>
      <c r="E3403">
        <v>2690000</v>
      </c>
      <c r="F3403">
        <v>6.335</v>
      </c>
    </row>
    <row r="3404" spans="1:6" x14ac:dyDescent="0.25">
      <c r="A3404">
        <v>2700000</v>
      </c>
      <c r="B3404">
        <v>6.3887999999999998</v>
      </c>
      <c r="E3404">
        <v>2700000</v>
      </c>
      <c r="F3404">
        <v>6.3356000000000003</v>
      </c>
    </row>
    <row r="3405" spans="1:6" x14ac:dyDescent="0.25">
      <c r="A3405">
        <v>2710000</v>
      </c>
      <c r="B3405">
        <v>6.3891999999999998</v>
      </c>
      <c r="E3405">
        <v>2710000</v>
      </c>
      <c r="F3405">
        <v>6.3361999999999998</v>
      </c>
    </row>
    <row r="3406" spans="1:6" x14ac:dyDescent="0.25">
      <c r="A3406">
        <v>2720000</v>
      </c>
      <c r="B3406">
        <v>6.3895999999999997</v>
      </c>
      <c r="E3406">
        <v>2720000</v>
      </c>
      <c r="F3406">
        <v>6.3368000000000002</v>
      </c>
    </row>
    <row r="3407" spans="1:6" x14ac:dyDescent="0.25">
      <c r="A3407">
        <v>2730000</v>
      </c>
      <c r="B3407">
        <v>6.39</v>
      </c>
      <c r="E3407">
        <v>2730000</v>
      </c>
      <c r="F3407">
        <v>6.3373999999999997</v>
      </c>
    </row>
    <row r="3408" spans="1:6" x14ac:dyDescent="0.25">
      <c r="A3408">
        <v>2740000</v>
      </c>
      <c r="B3408">
        <v>6.3903999999999996</v>
      </c>
      <c r="E3408">
        <v>2740000</v>
      </c>
      <c r="F3408">
        <v>6.3380000000000001</v>
      </c>
    </row>
    <row r="3409" spans="1:6" x14ac:dyDescent="0.25">
      <c r="A3409">
        <v>2750000</v>
      </c>
      <c r="B3409">
        <v>6.3907999999999996</v>
      </c>
      <c r="E3409">
        <v>2750000</v>
      </c>
      <c r="F3409">
        <v>6.3385999999999996</v>
      </c>
    </row>
    <row r="3410" spans="1:6" x14ac:dyDescent="0.25">
      <c r="A3410">
        <v>2760000</v>
      </c>
      <c r="B3410">
        <v>6.3912000000000004</v>
      </c>
      <c r="E3410">
        <v>2760000</v>
      </c>
      <c r="F3410">
        <v>6.3391999999999999</v>
      </c>
    </row>
    <row r="3411" spans="1:6" x14ac:dyDescent="0.25">
      <c r="A3411">
        <v>2770000</v>
      </c>
      <c r="B3411">
        <v>6.3916000000000004</v>
      </c>
      <c r="E3411">
        <v>2770000</v>
      </c>
      <c r="F3411">
        <v>6.3396999999999997</v>
      </c>
    </row>
    <row r="3412" spans="1:6" x14ac:dyDescent="0.25">
      <c r="A3412">
        <v>2780000</v>
      </c>
      <c r="B3412">
        <v>6.3920000000000003</v>
      </c>
      <c r="E3412">
        <v>2780000</v>
      </c>
      <c r="F3412">
        <v>6.3403</v>
      </c>
    </row>
    <row r="3413" spans="1:6" x14ac:dyDescent="0.25">
      <c r="A3413">
        <v>2790000</v>
      </c>
      <c r="B3413">
        <v>6.3924000000000003</v>
      </c>
      <c r="E3413">
        <v>2790000</v>
      </c>
      <c r="F3413">
        <v>6.3409000000000004</v>
      </c>
    </row>
    <row r="3414" spans="1:6" x14ac:dyDescent="0.25">
      <c r="A3414">
        <v>2800000</v>
      </c>
      <c r="B3414">
        <v>6.3928000000000003</v>
      </c>
      <c r="E3414">
        <v>2800000</v>
      </c>
      <c r="F3414">
        <v>6.3414999999999999</v>
      </c>
    </row>
    <row r="3415" spans="1:6" x14ac:dyDescent="0.25">
      <c r="A3415">
        <v>2810000</v>
      </c>
      <c r="B3415">
        <v>6.3932000000000002</v>
      </c>
      <c r="E3415">
        <v>2810000</v>
      </c>
      <c r="F3415">
        <v>6.3419999999999996</v>
      </c>
    </row>
    <row r="3416" spans="1:6" x14ac:dyDescent="0.25">
      <c r="A3416">
        <v>2820000</v>
      </c>
      <c r="B3416">
        <v>6.3936000000000002</v>
      </c>
      <c r="E3416">
        <v>2820000</v>
      </c>
      <c r="F3416">
        <v>6.3426</v>
      </c>
    </row>
    <row r="3417" spans="1:6" x14ac:dyDescent="0.25">
      <c r="A3417">
        <v>2830000</v>
      </c>
      <c r="B3417">
        <v>6.3939000000000004</v>
      </c>
      <c r="E3417">
        <v>2830000</v>
      </c>
      <c r="F3417">
        <v>6.3430999999999997</v>
      </c>
    </row>
    <row r="3418" spans="1:6" x14ac:dyDescent="0.25">
      <c r="A3418">
        <v>2840000</v>
      </c>
      <c r="B3418">
        <v>6.3943000000000003</v>
      </c>
      <c r="E3418">
        <v>2840000</v>
      </c>
      <c r="F3418">
        <v>6.3437000000000001</v>
      </c>
    </row>
    <row r="3419" spans="1:6" x14ac:dyDescent="0.25">
      <c r="A3419">
        <v>2850000</v>
      </c>
      <c r="B3419">
        <v>6.3947000000000003</v>
      </c>
      <c r="E3419">
        <v>2850000</v>
      </c>
      <c r="F3419">
        <v>6.3441999999999998</v>
      </c>
    </row>
    <row r="3420" spans="1:6" x14ac:dyDescent="0.25">
      <c r="A3420">
        <v>2860000</v>
      </c>
      <c r="B3420">
        <v>6.3949999999999996</v>
      </c>
      <c r="E3420">
        <v>2860000</v>
      </c>
      <c r="F3420">
        <v>6.3448000000000002</v>
      </c>
    </row>
    <row r="3421" spans="1:6" x14ac:dyDescent="0.25">
      <c r="A3421">
        <v>2870000</v>
      </c>
      <c r="B3421">
        <v>6.3954000000000004</v>
      </c>
      <c r="E3421">
        <v>2870000</v>
      </c>
      <c r="F3421">
        <v>6.3452999999999999</v>
      </c>
    </row>
    <row r="3422" spans="1:6" x14ac:dyDescent="0.25">
      <c r="A3422">
        <v>2880000</v>
      </c>
      <c r="B3422">
        <v>6.3958000000000004</v>
      </c>
      <c r="E3422">
        <v>2880000</v>
      </c>
      <c r="F3422">
        <v>6.3459000000000003</v>
      </c>
    </row>
    <row r="3423" spans="1:6" x14ac:dyDescent="0.25">
      <c r="A3423">
        <v>2890000</v>
      </c>
      <c r="B3423">
        <v>6.3960999999999997</v>
      </c>
      <c r="E3423">
        <v>2890000</v>
      </c>
      <c r="F3423">
        <v>6.3464</v>
      </c>
    </row>
    <row r="3424" spans="1:6" x14ac:dyDescent="0.25">
      <c r="A3424">
        <v>2900000</v>
      </c>
      <c r="B3424">
        <v>6.3964999999999996</v>
      </c>
      <c r="E3424">
        <v>2900000</v>
      </c>
      <c r="F3424">
        <v>6.3468999999999998</v>
      </c>
    </row>
    <row r="3425" spans="1:6" x14ac:dyDescent="0.25">
      <c r="A3425">
        <v>2910000</v>
      </c>
      <c r="B3425">
        <v>6.3967999999999998</v>
      </c>
      <c r="E3425">
        <v>2910000</v>
      </c>
      <c r="F3425">
        <v>6.3475000000000001</v>
      </c>
    </row>
    <row r="3426" spans="1:6" x14ac:dyDescent="0.25">
      <c r="A3426">
        <v>2920000</v>
      </c>
      <c r="B3426">
        <v>6.3971999999999998</v>
      </c>
      <c r="E3426">
        <v>2920000</v>
      </c>
      <c r="F3426">
        <v>6.3479999999999999</v>
      </c>
    </row>
    <row r="3427" spans="1:6" x14ac:dyDescent="0.25">
      <c r="A3427">
        <v>2930000</v>
      </c>
      <c r="B3427">
        <v>6.3975999999999997</v>
      </c>
      <c r="E3427">
        <v>2930000</v>
      </c>
      <c r="F3427">
        <v>6.3484999999999996</v>
      </c>
    </row>
    <row r="3428" spans="1:6" x14ac:dyDescent="0.25">
      <c r="A3428">
        <v>2940000</v>
      </c>
      <c r="B3428">
        <v>6.3978999999999999</v>
      </c>
      <c r="E3428">
        <v>2940000</v>
      </c>
      <c r="F3428">
        <v>6.3490000000000002</v>
      </c>
    </row>
    <row r="3429" spans="1:6" x14ac:dyDescent="0.25">
      <c r="A3429">
        <v>2950000</v>
      </c>
      <c r="B3429">
        <v>6.3982000000000001</v>
      </c>
      <c r="E3429">
        <v>2950000</v>
      </c>
      <c r="F3429">
        <v>6.3494999999999999</v>
      </c>
    </row>
    <row r="3430" spans="1:6" x14ac:dyDescent="0.25">
      <c r="A3430">
        <v>2960000</v>
      </c>
      <c r="B3430">
        <v>6.3986000000000001</v>
      </c>
      <c r="E3430">
        <v>2960000</v>
      </c>
      <c r="F3430">
        <v>6.35</v>
      </c>
    </row>
    <row r="3431" spans="1:6" x14ac:dyDescent="0.25">
      <c r="A3431">
        <v>2970000</v>
      </c>
      <c r="B3431">
        <v>6.3989000000000003</v>
      </c>
      <c r="E3431">
        <v>2970000</v>
      </c>
      <c r="F3431">
        <v>6.3505000000000003</v>
      </c>
    </row>
    <row r="3432" spans="1:6" x14ac:dyDescent="0.25">
      <c r="A3432">
        <v>2980000</v>
      </c>
      <c r="B3432">
        <v>6.3993000000000002</v>
      </c>
      <c r="E3432">
        <v>2980000</v>
      </c>
      <c r="F3432">
        <v>6.351</v>
      </c>
    </row>
    <row r="3433" spans="1:6" x14ac:dyDescent="0.25">
      <c r="A3433">
        <v>2990000</v>
      </c>
      <c r="B3433">
        <v>6.3996000000000004</v>
      </c>
      <c r="E3433">
        <v>2990000</v>
      </c>
      <c r="F3433">
        <v>6.3514999999999997</v>
      </c>
    </row>
    <row r="3434" spans="1:6" x14ac:dyDescent="0.25">
      <c r="A3434">
        <v>3000000</v>
      </c>
      <c r="B3434">
        <v>6.3998999999999997</v>
      </c>
      <c r="E3434">
        <v>3000000</v>
      </c>
      <c r="F3434">
        <v>6.3520000000000003</v>
      </c>
    </row>
    <row r="3435" spans="1:6" x14ac:dyDescent="0.25">
      <c r="A3435">
        <v>3010000</v>
      </c>
      <c r="B3435">
        <v>6.4002999999999997</v>
      </c>
      <c r="E3435">
        <v>3010000</v>
      </c>
      <c r="F3435">
        <v>6.3525</v>
      </c>
    </row>
    <row r="3436" spans="1:6" x14ac:dyDescent="0.25">
      <c r="A3436">
        <v>3020000</v>
      </c>
      <c r="B3436">
        <v>6.4005999999999998</v>
      </c>
      <c r="E3436">
        <v>3020000</v>
      </c>
      <c r="F3436">
        <v>6.3529999999999998</v>
      </c>
    </row>
    <row r="3437" spans="1:6" x14ac:dyDescent="0.25">
      <c r="A3437">
        <v>3030000</v>
      </c>
      <c r="B3437">
        <v>6.4009</v>
      </c>
      <c r="E3437">
        <v>3030000</v>
      </c>
      <c r="F3437">
        <v>6.3535000000000004</v>
      </c>
    </row>
    <row r="3438" spans="1:6" x14ac:dyDescent="0.25">
      <c r="A3438">
        <v>3040000</v>
      </c>
      <c r="B3438">
        <v>6.4013</v>
      </c>
      <c r="E3438">
        <v>3040000</v>
      </c>
      <c r="F3438">
        <v>6.3540000000000001</v>
      </c>
    </row>
    <row r="3439" spans="1:6" x14ac:dyDescent="0.25">
      <c r="A3439">
        <v>3050000</v>
      </c>
      <c r="B3439">
        <v>6.4016000000000002</v>
      </c>
      <c r="E3439">
        <v>3050000</v>
      </c>
      <c r="F3439">
        <v>6.3544999999999998</v>
      </c>
    </row>
    <row r="3440" spans="1:6" x14ac:dyDescent="0.25">
      <c r="A3440">
        <v>3060000</v>
      </c>
      <c r="B3440">
        <v>6.4019000000000004</v>
      </c>
      <c r="E3440">
        <v>3060000</v>
      </c>
      <c r="F3440">
        <v>6.3548999999999998</v>
      </c>
    </row>
    <row r="3441" spans="1:6" x14ac:dyDescent="0.25">
      <c r="A3441">
        <v>3070000</v>
      </c>
      <c r="B3441">
        <v>6.4021999999999997</v>
      </c>
      <c r="E3441">
        <v>3070000</v>
      </c>
      <c r="F3441">
        <v>6.3554000000000004</v>
      </c>
    </row>
    <row r="3442" spans="1:6" x14ac:dyDescent="0.25">
      <c r="A3442">
        <v>3080000</v>
      </c>
      <c r="B3442">
        <v>6.4024999999999999</v>
      </c>
      <c r="E3442">
        <v>3080000</v>
      </c>
      <c r="F3442">
        <v>6.3559000000000001</v>
      </c>
    </row>
    <row r="3443" spans="1:6" x14ac:dyDescent="0.25">
      <c r="A3443">
        <v>3090000</v>
      </c>
      <c r="B3443">
        <v>6.4028999999999998</v>
      </c>
      <c r="E3443">
        <v>3090000</v>
      </c>
      <c r="F3443">
        <v>6.3563000000000001</v>
      </c>
    </row>
    <row r="3444" spans="1:6" x14ac:dyDescent="0.25">
      <c r="A3444">
        <v>3100000</v>
      </c>
      <c r="B3444">
        <v>6.4032</v>
      </c>
      <c r="E3444">
        <v>3100000</v>
      </c>
      <c r="F3444">
        <v>6.3567999999999998</v>
      </c>
    </row>
    <row r="3445" spans="1:6" x14ac:dyDescent="0.25">
      <c r="A3445">
        <v>3110000</v>
      </c>
      <c r="B3445">
        <v>6.4035000000000002</v>
      </c>
      <c r="E3445">
        <v>3110000</v>
      </c>
      <c r="F3445">
        <v>6.3573000000000004</v>
      </c>
    </row>
    <row r="3446" spans="1:6" x14ac:dyDescent="0.25">
      <c r="A3446">
        <v>3120000</v>
      </c>
      <c r="B3446">
        <v>6.4038000000000004</v>
      </c>
      <c r="E3446">
        <v>3120000</v>
      </c>
      <c r="F3446">
        <v>6.3577000000000004</v>
      </c>
    </row>
    <row r="3447" spans="1:6" x14ac:dyDescent="0.25">
      <c r="A3447">
        <v>3130000</v>
      </c>
      <c r="B3447">
        <v>6.4040999999999997</v>
      </c>
      <c r="E3447">
        <v>3130000</v>
      </c>
      <c r="F3447">
        <v>6.3582000000000001</v>
      </c>
    </row>
    <row r="3448" spans="1:6" x14ac:dyDescent="0.25">
      <c r="A3448">
        <v>3140000</v>
      </c>
      <c r="B3448">
        <v>6.4043999999999999</v>
      </c>
      <c r="E3448">
        <v>3140000</v>
      </c>
      <c r="F3448">
        <v>6.3586</v>
      </c>
    </row>
    <row r="3449" spans="1:6" x14ac:dyDescent="0.25">
      <c r="A3449">
        <v>3150000</v>
      </c>
      <c r="B3449">
        <v>6.4047000000000001</v>
      </c>
      <c r="E3449">
        <v>3150000</v>
      </c>
      <c r="F3449">
        <v>6.3590999999999998</v>
      </c>
    </row>
    <row r="3450" spans="1:6" x14ac:dyDescent="0.25">
      <c r="A3450">
        <v>3160000</v>
      </c>
      <c r="B3450">
        <v>6.4050000000000002</v>
      </c>
      <c r="E3450">
        <v>3160000</v>
      </c>
      <c r="F3450">
        <v>6.3594999999999997</v>
      </c>
    </row>
    <row r="3451" spans="1:6" x14ac:dyDescent="0.25">
      <c r="A3451">
        <v>3170000</v>
      </c>
      <c r="B3451">
        <v>6.4053000000000004</v>
      </c>
      <c r="E3451">
        <v>3170000</v>
      </c>
      <c r="F3451">
        <v>6.36</v>
      </c>
    </row>
    <row r="3452" spans="1:6" x14ac:dyDescent="0.25">
      <c r="A3452">
        <v>3180000</v>
      </c>
      <c r="B3452">
        <v>6.4055999999999997</v>
      </c>
      <c r="E3452">
        <v>3180000</v>
      </c>
      <c r="F3452">
        <v>6.3604000000000003</v>
      </c>
    </row>
    <row r="3453" spans="1:6" x14ac:dyDescent="0.25">
      <c r="A3453">
        <v>3190000</v>
      </c>
      <c r="B3453">
        <v>6.4058999999999999</v>
      </c>
      <c r="E3453">
        <v>3190000</v>
      </c>
      <c r="F3453">
        <v>6.3608000000000002</v>
      </c>
    </row>
    <row r="3454" spans="1:6" x14ac:dyDescent="0.25">
      <c r="A3454">
        <v>3200000</v>
      </c>
      <c r="B3454">
        <v>6.4062000000000001</v>
      </c>
      <c r="E3454">
        <v>3200000</v>
      </c>
      <c r="F3454">
        <v>6.3613</v>
      </c>
    </row>
    <row r="3455" spans="1:6" x14ac:dyDescent="0.25">
      <c r="A3455">
        <v>3210000</v>
      </c>
      <c r="B3455">
        <v>6.4065000000000003</v>
      </c>
      <c r="E3455">
        <v>3210000</v>
      </c>
      <c r="F3455">
        <v>6.3616999999999999</v>
      </c>
    </row>
    <row r="3456" spans="1:6" x14ac:dyDescent="0.25">
      <c r="A3456">
        <v>3220000</v>
      </c>
      <c r="B3456">
        <v>6.4067999999999996</v>
      </c>
      <c r="E3456">
        <v>3220000</v>
      </c>
      <c r="F3456">
        <v>6.3620999999999999</v>
      </c>
    </row>
    <row r="3457" spans="1:6" x14ac:dyDescent="0.25">
      <c r="A3457">
        <v>3230000</v>
      </c>
      <c r="B3457">
        <v>6.4070999999999998</v>
      </c>
      <c r="E3457">
        <v>3230000</v>
      </c>
      <c r="F3457">
        <v>6.3625999999999996</v>
      </c>
    </row>
    <row r="3458" spans="1:6" x14ac:dyDescent="0.25">
      <c r="A3458">
        <v>3240000</v>
      </c>
      <c r="B3458">
        <v>6.4074</v>
      </c>
      <c r="E3458">
        <v>3240000</v>
      </c>
      <c r="F3458">
        <v>6.3630000000000004</v>
      </c>
    </row>
    <row r="3459" spans="1:6" x14ac:dyDescent="0.25">
      <c r="A3459">
        <v>3250000</v>
      </c>
      <c r="B3459">
        <v>6.4076000000000004</v>
      </c>
      <c r="E3459">
        <v>3250000</v>
      </c>
      <c r="F3459">
        <v>6.3634000000000004</v>
      </c>
    </row>
    <row r="3460" spans="1:6" x14ac:dyDescent="0.25">
      <c r="A3460">
        <v>3260000</v>
      </c>
      <c r="B3460">
        <v>6.4078999999999997</v>
      </c>
      <c r="E3460">
        <v>3260000</v>
      </c>
      <c r="F3460">
        <v>6.3638000000000003</v>
      </c>
    </row>
    <row r="3461" spans="1:6" x14ac:dyDescent="0.25">
      <c r="A3461">
        <v>3270000</v>
      </c>
      <c r="B3461">
        <v>6.4081999999999999</v>
      </c>
      <c r="E3461">
        <v>3270000</v>
      </c>
      <c r="F3461">
        <v>6.3642000000000003</v>
      </c>
    </row>
    <row r="3462" spans="1:6" x14ac:dyDescent="0.25">
      <c r="A3462">
        <v>3280000</v>
      </c>
      <c r="B3462">
        <v>6.4085000000000001</v>
      </c>
      <c r="E3462">
        <v>3280000</v>
      </c>
      <c r="F3462">
        <v>6.3647</v>
      </c>
    </row>
    <row r="3463" spans="1:6" x14ac:dyDescent="0.25">
      <c r="A3463">
        <v>3290000</v>
      </c>
      <c r="B3463">
        <v>6.4088000000000003</v>
      </c>
      <c r="E3463">
        <v>3290000</v>
      </c>
      <c r="F3463">
        <v>6.3651</v>
      </c>
    </row>
    <row r="3464" spans="1:6" x14ac:dyDescent="0.25">
      <c r="A3464">
        <v>3300000</v>
      </c>
      <c r="B3464">
        <v>6.4089999999999998</v>
      </c>
      <c r="E3464">
        <v>3300000</v>
      </c>
      <c r="F3464">
        <v>6.3654999999999999</v>
      </c>
    </row>
    <row r="3465" spans="1:6" x14ac:dyDescent="0.25">
      <c r="A3465">
        <v>3310000</v>
      </c>
      <c r="B3465">
        <v>6.4093</v>
      </c>
      <c r="E3465">
        <v>3310000</v>
      </c>
      <c r="F3465">
        <v>6.3658999999999999</v>
      </c>
    </row>
    <row r="3466" spans="1:6" x14ac:dyDescent="0.25">
      <c r="A3466">
        <v>3320000</v>
      </c>
      <c r="B3466">
        <v>6.4096000000000002</v>
      </c>
      <c r="E3466">
        <v>3320000</v>
      </c>
      <c r="F3466">
        <v>6.3662999999999998</v>
      </c>
    </row>
    <row r="3467" spans="1:6" x14ac:dyDescent="0.25">
      <c r="A3467">
        <v>3330000</v>
      </c>
      <c r="B3467">
        <v>6.4099000000000004</v>
      </c>
      <c r="E3467">
        <v>3330000</v>
      </c>
      <c r="F3467">
        <v>6.3666999999999998</v>
      </c>
    </row>
    <row r="3468" spans="1:6" x14ac:dyDescent="0.25">
      <c r="A3468">
        <v>3340000</v>
      </c>
      <c r="B3468">
        <v>6.4100999999999999</v>
      </c>
      <c r="E3468">
        <v>3340000</v>
      </c>
      <c r="F3468">
        <v>6.3670999999999998</v>
      </c>
    </row>
    <row r="3469" spans="1:6" x14ac:dyDescent="0.25">
      <c r="A3469">
        <v>3350000</v>
      </c>
      <c r="B3469">
        <v>6.4104000000000001</v>
      </c>
      <c r="E3469">
        <v>3350000</v>
      </c>
      <c r="F3469">
        <v>6.3674999999999997</v>
      </c>
    </row>
    <row r="3470" spans="1:6" x14ac:dyDescent="0.25">
      <c r="A3470">
        <v>3360000</v>
      </c>
      <c r="B3470">
        <v>6.4107000000000003</v>
      </c>
      <c r="E3470">
        <v>3360000</v>
      </c>
      <c r="F3470">
        <v>6.3678999999999997</v>
      </c>
    </row>
    <row r="3471" spans="1:6" x14ac:dyDescent="0.25">
      <c r="A3471">
        <v>3370000</v>
      </c>
      <c r="B3471">
        <v>6.4108999999999998</v>
      </c>
      <c r="E3471">
        <v>3370000</v>
      </c>
      <c r="F3471">
        <v>6.3682999999999996</v>
      </c>
    </row>
    <row r="3472" spans="1:6" x14ac:dyDescent="0.25">
      <c r="A3472">
        <v>3380000</v>
      </c>
      <c r="B3472">
        <v>6.4112</v>
      </c>
      <c r="E3472">
        <v>3380000</v>
      </c>
      <c r="F3472">
        <v>6.3686999999999996</v>
      </c>
    </row>
    <row r="3473" spans="1:6" x14ac:dyDescent="0.25">
      <c r="A3473">
        <v>3390000</v>
      </c>
      <c r="B3473">
        <v>6.4115000000000002</v>
      </c>
      <c r="E3473">
        <v>3390000</v>
      </c>
      <c r="F3473">
        <v>6.3691000000000004</v>
      </c>
    </row>
    <row r="3474" spans="1:6" x14ac:dyDescent="0.25">
      <c r="A3474">
        <v>3400000</v>
      </c>
      <c r="B3474">
        <v>6.4116999999999997</v>
      </c>
      <c r="E3474">
        <v>3400000</v>
      </c>
      <c r="F3474">
        <v>6.3693999999999997</v>
      </c>
    </row>
    <row r="3475" spans="1:6" x14ac:dyDescent="0.25">
      <c r="A3475">
        <v>3410000</v>
      </c>
      <c r="B3475">
        <v>6.4119999999999999</v>
      </c>
      <c r="E3475">
        <v>3410000</v>
      </c>
      <c r="F3475">
        <v>6.3697999999999997</v>
      </c>
    </row>
    <row r="3476" spans="1:6" x14ac:dyDescent="0.25">
      <c r="A3476">
        <v>3420000</v>
      </c>
      <c r="B3476">
        <v>6.4122000000000003</v>
      </c>
      <c r="E3476">
        <v>3420000</v>
      </c>
      <c r="F3476">
        <v>6.3701999999999996</v>
      </c>
    </row>
    <row r="3477" spans="1:6" x14ac:dyDescent="0.25">
      <c r="A3477">
        <v>3430000</v>
      </c>
      <c r="B3477">
        <v>6.4124999999999996</v>
      </c>
      <c r="E3477">
        <v>3430000</v>
      </c>
      <c r="F3477">
        <v>6.3705999999999996</v>
      </c>
    </row>
    <row r="3478" spans="1:6" x14ac:dyDescent="0.25">
      <c r="A3478">
        <v>3440000</v>
      </c>
      <c r="B3478">
        <v>6.4127000000000001</v>
      </c>
      <c r="E3478">
        <v>3440000</v>
      </c>
      <c r="F3478">
        <v>6.3710000000000004</v>
      </c>
    </row>
    <row r="3479" spans="1:6" x14ac:dyDescent="0.25">
      <c r="A3479">
        <v>3450000</v>
      </c>
      <c r="B3479">
        <v>6.4130000000000003</v>
      </c>
      <c r="E3479">
        <v>3450000</v>
      </c>
      <c r="F3479">
        <v>6.3712999999999997</v>
      </c>
    </row>
    <row r="3480" spans="1:6" x14ac:dyDescent="0.25">
      <c r="A3480">
        <v>3460000</v>
      </c>
      <c r="B3480">
        <v>6.4131999999999998</v>
      </c>
      <c r="E3480">
        <v>3460000</v>
      </c>
      <c r="F3480">
        <v>6.3716999999999997</v>
      </c>
    </row>
    <row r="3481" spans="1:6" x14ac:dyDescent="0.25">
      <c r="A3481">
        <v>3470000</v>
      </c>
      <c r="B3481">
        <v>6.4135</v>
      </c>
      <c r="E3481">
        <v>3470000</v>
      </c>
      <c r="F3481">
        <v>6.3720999999999997</v>
      </c>
    </row>
    <row r="3482" spans="1:6" x14ac:dyDescent="0.25">
      <c r="A3482">
        <v>3480000</v>
      </c>
      <c r="B3482">
        <v>6.4137000000000004</v>
      </c>
      <c r="E3482">
        <v>3480000</v>
      </c>
      <c r="F3482">
        <v>6.3723999999999998</v>
      </c>
    </row>
    <row r="3483" spans="1:6" x14ac:dyDescent="0.25">
      <c r="A3483">
        <v>3490000</v>
      </c>
      <c r="B3483">
        <v>6.4139999999999997</v>
      </c>
      <c r="E3483">
        <v>3490000</v>
      </c>
      <c r="F3483">
        <v>6.3727999999999998</v>
      </c>
    </row>
    <row r="3484" spans="1:6" x14ac:dyDescent="0.25">
      <c r="A3484">
        <v>3500000</v>
      </c>
      <c r="B3484">
        <v>6.4142000000000001</v>
      </c>
      <c r="E3484">
        <v>3500000</v>
      </c>
      <c r="F3484">
        <v>6.3731999999999998</v>
      </c>
    </row>
    <row r="3485" spans="1:6" x14ac:dyDescent="0.25">
      <c r="A3485">
        <v>3510000</v>
      </c>
      <c r="B3485">
        <v>6.4145000000000003</v>
      </c>
      <c r="E3485">
        <v>3510000</v>
      </c>
      <c r="F3485">
        <v>6.3734999999999999</v>
      </c>
    </row>
    <row r="3486" spans="1:6" x14ac:dyDescent="0.25">
      <c r="A3486">
        <v>3520000</v>
      </c>
      <c r="B3486">
        <v>6.4146999999999998</v>
      </c>
      <c r="E3486">
        <v>3520000</v>
      </c>
      <c r="F3486">
        <v>6.3738999999999999</v>
      </c>
    </row>
    <row r="3487" spans="1:6" x14ac:dyDescent="0.25">
      <c r="A3487">
        <v>3530000</v>
      </c>
      <c r="B3487">
        <v>6.415</v>
      </c>
      <c r="E3487">
        <v>3530000</v>
      </c>
      <c r="F3487">
        <v>6.3742000000000001</v>
      </c>
    </row>
    <row r="3488" spans="1:6" x14ac:dyDescent="0.25">
      <c r="A3488">
        <v>3540000</v>
      </c>
      <c r="B3488">
        <v>6.4151999999999996</v>
      </c>
      <c r="E3488">
        <v>3540000</v>
      </c>
      <c r="F3488">
        <v>6.3746</v>
      </c>
    </row>
    <row r="3489" spans="1:6" x14ac:dyDescent="0.25">
      <c r="A3489">
        <v>3550000</v>
      </c>
      <c r="B3489">
        <v>6.4154</v>
      </c>
      <c r="E3489">
        <v>3550000</v>
      </c>
      <c r="F3489">
        <v>6.375</v>
      </c>
    </row>
    <row r="3490" spans="1:6" x14ac:dyDescent="0.25">
      <c r="A3490">
        <v>3560000</v>
      </c>
      <c r="B3490">
        <v>6.4157000000000002</v>
      </c>
      <c r="E3490">
        <v>3560000</v>
      </c>
      <c r="F3490">
        <v>6.3753000000000002</v>
      </c>
    </row>
    <row r="3491" spans="1:6" x14ac:dyDescent="0.25">
      <c r="A3491">
        <v>3570000</v>
      </c>
      <c r="B3491">
        <v>6.4158999999999997</v>
      </c>
      <c r="E3491">
        <v>3570000</v>
      </c>
      <c r="F3491">
        <v>6.3757000000000001</v>
      </c>
    </row>
    <row r="3492" spans="1:6" x14ac:dyDescent="0.25">
      <c r="A3492">
        <v>3580000</v>
      </c>
      <c r="B3492">
        <v>6.4161999999999999</v>
      </c>
      <c r="E3492">
        <v>3580000</v>
      </c>
      <c r="F3492">
        <v>6.3760000000000003</v>
      </c>
    </row>
    <row r="3493" spans="1:6" x14ac:dyDescent="0.25">
      <c r="A3493">
        <v>3590000</v>
      </c>
      <c r="B3493">
        <v>6.4164000000000003</v>
      </c>
      <c r="E3493">
        <v>3590000</v>
      </c>
      <c r="F3493">
        <v>6.3762999999999996</v>
      </c>
    </row>
    <row r="3494" spans="1:6" x14ac:dyDescent="0.25">
      <c r="A3494">
        <v>3600000</v>
      </c>
      <c r="B3494">
        <v>6.4165999999999999</v>
      </c>
      <c r="E3494">
        <v>3600000</v>
      </c>
      <c r="F3494">
        <v>6.3766999999999996</v>
      </c>
    </row>
    <row r="3495" spans="1:6" x14ac:dyDescent="0.25">
      <c r="A3495">
        <v>3610000</v>
      </c>
      <c r="B3495">
        <v>6.4168000000000003</v>
      </c>
      <c r="E3495">
        <v>3610000</v>
      </c>
      <c r="F3495">
        <v>6.3769999999999998</v>
      </c>
    </row>
    <row r="3496" spans="1:6" x14ac:dyDescent="0.25">
      <c r="A3496">
        <v>3620000</v>
      </c>
      <c r="B3496">
        <v>6.4170999999999996</v>
      </c>
      <c r="E3496">
        <v>3620000</v>
      </c>
      <c r="F3496">
        <v>6.3773999999999997</v>
      </c>
    </row>
    <row r="3497" spans="1:6" x14ac:dyDescent="0.25">
      <c r="A3497">
        <v>3630000</v>
      </c>
      <c r="B3497">
        <v>6.4173</v>
      </c>
      <c r="E3497">
        <v>3630000</v>
      </c>
      <c r="F3497">
        <v>6.3776999999999999</v>
      </c>
    </row>
    <row r="3498" spans="1:6" x14ac:dyDescent="0.25">
      <c r="A3498">
        <v>3640000</v>
      </c>
      <c r="B3498">
        <v>6.4175000000000004</v>
      </c>
      <c r="E3498">
        <v>3640000</v>
      </c>
      <c r="F3498">
        <v>6.3780000000000001</v>
      </c>
    </row>
    <row r="3499" spans="1:6" x14ac:dyDescent="0.25">
      <c r="A3499">
        <v>3650000</v>
      </c>
      <c r="B3499">
        <v>6.4177999999999997</v>
      </c>
      <c r="E3499">
        <v>3650000</v>
      </c>
      <c r="F3499">
        <v>6.3784000000000001</v>
      </c>
    </row>
    <row r="3500" spans="1:6" x14ac:dyDescent="0.25">
      <c r="A3500">
        <v>3660000</v>
      </c>
      <c r="B3500">
        <v>6.4180000000000001</v>
      </c>
      <c r="E3500">
        <v>3660000</v>
      </c>
      <c r="F3500">
        <v>6.3787000000000003</v>
      </c>
    </row>
    <row r="3501" spans="1:6" x14ac:dyDescent="0.25">
      <c r="A3501">
        <v>3670000</v>
      </c>
      <c r="B3501">
        <v>6.4181999999999997</v>
      </c>
      <c r="E3501">
        <v>3670000</v>
      </c>
      <c r="F3501">
        <v>6.3789999999999996</v>
      </c>
    </row>
    <row r="3502" spans="1:6" x14ac:dyDescent="0.25">
      <c r="A3502">
        <v>3680000</v>
      </c>
      <c r="B3502">
        <v>6.4184000000000001</v>
      </c>
      <c r="E3502">
        <v>3680000</v>
      </c>
      <c r="F3502">
        <v>6.3794000000000004</v>
      </c>
    </row>
    <row r="3503" spans="1:6" x14ac:dyDescent="0.25">
      <c r="A3503">
        <v>3690000</v>
      </c>
      <c r="B3503">
        <v>6.4187000000000003</v>
      </c>
      <c r="E3503">
        <v>3690000</v>
      </c>
      <c r="F3503">
        <v>6.3796999999999997</v>
      </c>
    </row>
    <row r="3504" spans="1:6" x14ac:dyDescent="0.25">
      <c r="A3504">
        <v>3700000</v>
      </c>
      <c r="B3504">
        <v>6.4188999999999998</v>
      </c>
      <c r="E3504">
        <v>3700000</v>
      </c>
      <c r="F3504">
        <v>6.38</v>
      </c>
    </row>
    <row r="3505" spans="1:6" x14ac:dyDescent="0.25">
      <c r="A3505">
        <v>3710000</v>
      </c>
      <c r="B3505">
        <v>6.4191000000000003</v>
      </c>
      <c r="E3505">
        <v>3710000</v>
      </c>
      <c r="F3505">
        <v>6.3803000000000001</v>
      </c>
    </row>
    <row r="3506" spans="1:6" x14ac:dyDescent="0.25">
      <c r="A3506">
        <v>3720000</v>
      </c>
      <c r="B3506">
        <v>6.4192999999999998</v>
      </c>
      <c r="E3506">
        <v>3720000</v>
      </c>
      <c r="F3506">
        <v>6.3807</v>
      </c>
    </row>
    <row r="3507" spans="1:6" x14ac:dyDescent="0.25">
      <c r="A3507">
        <v>3730000</v>
      </c>
      <c r="B3507">
        <v>6.4195000000000002</v>
      </c>
      <c r="E3507">
        <v>3730000</v>
      </c>
      <c r="F3507">
        <v>6.3810000000000002</v>
      </c>
    </row>
    <row r="3508" spans="1:6" x14ac:dyDescent="0.25">
      <c r="A3508">
        <v>3740000</v>
      </c>
      <c r="B3508">
        <v>6.4196999999999997</v>
      </c>
      <c r="E3508">
        <v>3740000</v>
      </c>
      <c r="F3508">
        <v>6.3813000000000004</v>
      </c>
    </row>
    <row r="3509" spans="1:6" x14ac:dyDescent="0.25">
      <c r="A3509">
        <v>3750000</v>
      </c>
      <c r="B3509">
        <v>6.42</v>
      </c>
      <c r="E3509">
        <v>3750000</v>
      </c>
      <c r="F3509">
        <v>6.3815999999999997</v>
      </c>
    </row>
    <row r="3510" spans="1:6" x14ac:dyDescent="0.25">
      <c r="A3510">
        <v>3760000</v>
      </c>
      <c r="B3510">
        <v>6.4202000000000004</v>
      </c>
      <c r="E3510">
        <v>3760000</v>
      </c>
      <c r="F3510">
        <v>6.3818999999999999</v>
      </c>
    </row>
    <row r="3511" spans="1:6" x14ac:dyDescent="0.25">
      <c r="A3511">
        <v>3770000</v>
      </c>
      <c r="B3511">
        <v>6.4203999999999999</v>
      </c>
      <c r="E3511">
        <v>3770000</v>
      </c>
      <c r="F3511">
        <v>6.3822999999999999</v>
      </c>
    </row>
    <row r="3512" spans="1:6" x14ac:dyDescent="0.25">
      <c r="A3512">
        <v>3780000</v>
      </c>
      <c r="B3512">
        <v>6.4206000000000003</v>
      </c>
      <c r="E3512">
        <v>3780000</v>
      </c>
      <c r="F3512">
        <v>6.3826000000000001</v>
      </c>
    </row>
    <row r="3513" spans="1:6" x14ac:dyDescent="0.25">
      <c r="A3513">
        <v>3790000</v>
      </c>
      <c r="B3513">
        <v>6.4207999999999998</v>
      </c>
      <c r="E3513">
        <v>3790000</v>
      </c>
      <c r="F3513">
        <v>6.3829000000000002</v>
      </c>
    </row>
    <row r="3514" spans="1:6" x14ac:dyDescent="0.25">
      <c r="A3514">
        <v>3800000</v>
      </c>
      <c r="B3514">
        <v>6.4210000000000003</v>
      </c>
      <c r="E3514">
        <v>3800000</v>
      </c>
      <c r="F3514">
        <v>6.3832000000000004</v>
      </c>
    </row>
    <row r="3515" spans="1:6" x14ac:dyDescent="0.25">
      <c r="A3515">
        <v>3810000</v>
      </c>
      <c r="B3515">
        <v>6.4211999999999998</v>
      </c>
      <c r="E3515">
        <v>3810000</v>
      </c>
      <c r="F3515">
        <v>6.3834999999999997</v>
      </c>
    </row>
    <row r="3516" spans="1:6" x14ac:dyDescent="0.25">
      <c r="A3516">
        <v>3820000</v>
      </c>
      <c r="B3516">
        <v>6.4214000000000002</v>
      </c>
      <c r="E3516">
        <v>3820000</v>
      </c>
      <c r="F3516">
        <v>6.3837999999999999</v>
      </c>
    </row>
    <row r="3517" spans="1:6" x14ac:dyDescent="0.25">
      <c r="A3517">
        <v>3830000</v>
      </c>
      <c r="B3517">
        <v>6.4215999999999998</v>
      </c>
      <c r="E3517">
        <v>3830000</v>
      </c>
      <c r="F3517">
        <v>6.3841000000000001</v>
      </c>
    </row>
    <row r="3518" spans="1:6" x14ac:dyDescent="0.25">
      <c r="A3518">
        <v>3840000</v>
      </c>
      <c r="B3518">
        <v>6.4218000000000002</v>
      </c>
      <c r="E3518">
        <v>3840000</v>
      </c>
      <c r="F3518">
        <v>6.3844000000000003</v>
      </c>
    </row>
    <row r="3519" spans="1:6" x14ac:dyDescent="0.25">
      <c r="A3519">
        <v>3850000</v>
      </c>
      <c r="B3519">
        <v>6.4219999999999997</v>
      </c>
      <c r="E3519">
        <v>3850000</v>
      </c>
      <c r="F3519">
        <v>6.3846999999999996</v>
      </c>
    </row>
    <row r="3520" spans="1:6" x14ac:dyDescent="0.25">
      <c r="A3520">
        <v>3860000</v>
      </c>
      <c r="B3520">
        <v>6.4222000000000001</v>
      </c>
      <c r="E3520">
        <v>3860000</v>
      </c>
      <c r="F3520">
        <v>6.3849999999999998</v>
      </c>
    </row>
    <row r="3521" spans="1:6" x14ac:dyDescent="0.25">
      <c r="A3521">
        <v>3870000</v>
      </c>
      <c r="B3521">
        <v>6.4223999999999997</v>
      </c>
      <c r="E3521">
        <v>3870000</v>
      </c>
      <c r="F3521">
        <v>6.3853</v>
      </c>
    </row>
    <row r="3522" spans="1:6" x14ac:dyDescent="0.25">
      <c r="A3522">
        <v>3880000</v>
      </c>
      <c r="B3522">
        <v>6.4226000000000001</v>
      </c>
      <c r="E3522">
        <v>3880000</v>
      </c>
      <c r="F3522">
        <v>6.3856000000000002</v>
      </c>
    </row>
    <row r="3523" spans="1:6" x14ac:dyDescent="0.25">
      <c r="A3523">
        <v>3890000</v>
      </c>
      <c r="B3523">
        <v>6.4227999999999996</v>
      </c>
      <c r="E3523">
        <v>3890000</v>
      </c>
      <c r="F3523">
        <v>6.3859000000000004</v>
      </c>
    </row>
    <row r="3524" spans="1:6" x14ac:dyDescent="0.25">
      <c r="A3524">
        <v>3900000</v>
      </c>
      <c r="B3524">
        <v>6.423</v>
      </c>
      <c r="E3524">
        <v>3900000</v>
      </c>
      <c r="F3524">
        <v>6.3861999999999997</v>
      </c>
    </row>
    <row r="3525" spans="1:6" x14ac:dyDescent="0.25">
      <c r="A3525">
        <v>3910000</v>
      </c>
      <c r="B3525">
        <v>6.4231999999999996</v>
      </c>
      <c r="E3525">
        <v>3910000</v>
      </c>
      <c r="F3525">
        <v>6.3864999999999998</v>
      </c>
    </row>
    <row r="3526" spans="1:6" x14ac:dyDescent="0.25">
      <c r="A3526">
        <v>3920000</v>
      </c>
      <c r="B3526">
        <v>6.4234</v>
      </c>
      <c r="E3526">
        <v>3920000</v>
      </c>
      <c r="F3526">
        <v>6.3868</v>
      </c>
    </row>
    <row r="3527" spans="1:6" x14ac:dyDescent="0.25">
      <c r="A3527">
        <v>3930000</v>
      </c>
      <c r="B3527">
        <v>6.4236000000000004</v>
      </c>
      <c r="E3527">
        <v>3930000</v>
      </c>
      <c r="F3527">
        <v>6.3869999999999996</v>
      </c>
    </row>
    <row r="3528" spans="1:6" x14ac:dyDescent="0.25">
      <c r="A3528">
        <v>3940000</v>
      </c>
      <c r="B3528">
        <v>6.4238</v>
      </c>
      <c r="E3528">
        <v>3940000</v>
      </c>
      <c r="F3528">
        <v>6.3872999999999998</v>
      </c>
    </row>
    <row r="3529" spans="1:6" x14ac:dyDescent="0.25">
      <c r="A3529">
        <v>3950000</v>
      </c>
      <c r="B3529">
        <v>6.4240000000000004</v>
      </c>
      <c r="E3529">
        <v>3950000</v>
      </c>
      <c r="F3529">
        <v>6.3875999999999999</v>
      </c>
    </row>
    <row r="3530" spans="1:6" x14ac:dyDescent="0.25">
      <c r="A3530">
        <v>3960000</v>
      </c>
      <c r="B3530">
        <v>6.4241999999999999</v>
      </c>
      <c r="E3530">
        <v>3960000</v>
      </c>
      <c r="F3530">
        <v>6.3879000000000001</v>
      </c>
    </row>
    <row r="3531" spans="1:6" x14ac:dyDescent="0.25">
      <c r="A3531">
        <v>3970000</v>
      </c>
      <c r="B3531">
        <v>6.4244000000000003</v>
      </c>
      <c r="E3531">
        <v>3970000</v>
      </c>
      <c r="F3531">
        <v>6.3882000000000003</v>
      </c>
    </row>
    <row r="3532" spans="1:6" x14ac:dyDescent="0.25">
      <c r="A3532">
        <v>3980000</v>
      </c>
      <c r="B3532">
        <v>6.4245999999999999</v>
      </c>
      <c r="E3532">
        <v>3980000</v>
      </c>
      <c r="F3532">
        <v>6.3884999999999996</v>
      </c>
    </row>
    <row r="3533" spans="1:6" x14ac:dyDescent="0.25">
      <c r="A3533">
        <v>3990000</v>
      </c>
      <c r="B3533">
        <v>6.4248000000000003</v>
      </c>
      <c r="E3533">
        <v>3990000</v>
      </c>
      <c r="F3533">
        <v>6.3887</v>
      </c>
    </row>
    <row r="3534" spans="1:6" x14ac:dyDescent="0.25">
      <c r="A3534">
        <v>4000000</v>
      </c>
      <c r="B3534">
        <v>6.4249999999999998</v>
      </c>
      <c r="E3534">
        <v>4000000</v>
      </c>
      <c r="F3534">
        <v>6.3890000000000002</v>
      </c>
    </row>
    <row r="3535" spans="1:6" x14ac:dyDescent="0.25">
      <c r="A3535">
        <v>4010000</v>
      </c>
      <c r="B3535">
        <v>6.4250999999999996</v>
      </c>
      <c r="E3535">
        <v>4010000</v>
      </c>
      <c r="F3535">
        <v>6.3893000000000004</v>
      </c>
    </row>
    <row r="3536" spans="1:6" x14ac:dyDescent="0.25">
      <c r="A3536">
        <v>4020000</v>
      </c>
      <c r="B3536">
        <v>6.4253</v>
      </c>
      <c r="E3536">
        <v>4020000</v>
      </c>
      <c r="F3536">
        <v>6.3895999999999997</v>
      </c>
    </row>
    <row r="3537" spans="1:6" x14ac:dyDescent="0.25">
      <c r="A3537">
        <v>4030000</v>
      </c>
      <c r="B3537">
        <v>6.4255000000000004</v>
      </c>
      <c r="E3537">
        <v>4030000</v>
      </c>
      <c r="F3537">
        <v>6.3898000000000001</v>
      </c>
    </row>
    <row r="3538" spans="1:6" x14ac:dyDescent="0.25">
      <c r="A3538">
        <v>4040000</v>
      </c>
      <c r="B3538">
        <v>6.4257</v>
      </c>
      <c r="E3538">
        <v>4040000</v>
      </c>
      <c r="F3538">
        <v>6.3901000000000003</v>
      </c>
    </row>
    <row r="3539" spans="1:6" x14ac:dyDescent="0.25">
      <c r="A3539">
        <v>4050000</v>
      </c>
      <c r="B3539">
        <v>6.4259000000000004</v>
      </c>
      <c r="E3539">
        <v>4050000</v>
      </c>
      <c r="F3539">
        <v>6.3903999999999996</v>
      </c>
    </row>
    <row r="3540" spans="1:6" x14ac:dyDescent="0.25">
      <c r="A3540">
        <v>4060000</v>
      </c>
      <c r="B3540">
        <v>6.4260999999999999</v>
      </c>
      <c r="E3540">
        <v>4060000</v>
      </c>
      <c r="F3540">
        <v>6.3906999999999998</v>
      </c>
    </row>
    <row r="3541" spans="1:6" x14ac:dyDescent="0.25">
      <c r="A3541">
        <v>4070000</v>
      </c>
      <c r="B3541">
        <v>6.4261999999999997</v>
      </c>
      <c r="E3541">
        <v>4070000</v>
      </c>
      <c r="F3541">
        <v>6.3909000000000002</v>
      </c>
    </row>
    <row r="3542" spans="1:6" x14ac:dyDescent="0.25">
      <c r="A3542">
        <v>4080000</v>
      </c>
      <c r="B3542">
        <v>6.4264000000000001</v>
      </c>
      <c r="E3542">
        <v>4080000</v>
      </c>
      <c r="F3542">
        <v>6.3912000000000004</v>
      </c>
    </row>
    <row r="3543" spans="1:6" x14ac:dyDescent="0.25">
      <c r="A3543">
        <v>4090000</v>
      </c>
      <c r="B3543">
        <v>6.4265999999999996</v>
      </c>
      <c r="E3543">
        <v>4090000</v>
      </c>
      <c r="F3543">
        <v>6.3914999999999997</v>
      </c>
    </row>
    <row r="3544" spans="1:6" x14ac:dyDescent="0.25">
      <c r="A3544">
        <v>4100000</v>
      </c>
      <c r="B3544">
        <v>6.4268000000000001</v>
      </c>
      <c r="E3544">
        <v>4100000</v>
      </c>
      <c r="F3544">
        <v>6.3917000000000002</v>
      </c>
    </row>
    <row r="3545" spans="1:6" x14ac:dyDescent="0.25">
      <c r="A3545">
        <v>4110000</v>
      </c>
      <c r="B3545">
        <v>6.4269999999999996</v>
      </c>
      <c r="E3545">
        <v>4110000</v>
      </c>
      <c r="F3545">
        <v>6.3920000000000003</v>
      </c>
    </row>
    <row r="3546" spans="1:6" x14ac:dyDescent="0.25">
      <c r="A3546">
        <v>4120000</v>
      </c>
      <c r="B3546">
        <v>6.4271000000000003</v>
      </c>
      <c r="E3546">
        <v>4120000</v>
      </c>
      <c r="F3546">
        <v>6.3922999999999996</v>
      </c>
    </row>
    <row r="3547" spans="1:6" x14ac:dyDescent="0.25">
      <c r="A3547">
        <v>4130000</v>
      </c>
      <c r="B3547">
        <v>6.4272999999999998</v>
      </c>
      <c r="E3547">
        <v>4130000</v>
      </c>
      <c r="F3547">
        <v>6.3925000000000001</v>
      </c>
    </row>
    <row r="3548" spans="1:6" x14ac:dyDescent="0.25">
      <c r="A3548">
        <v>4140000</v>
      </c>
      <c r="B3548">
        <v>6.4275000000000002</v>
      </c>
      <c r="E3548">
        <v>4140000</v>
      </c>
      <c r="F3548">
        <v>6.3928000000000003</v>
      </c>
    </row>
    <row r="3549" spans="1:6" x14ac:dyDescent="0.25">
      <c r="A3549">
        <v>4150000</v>
      </c>
      <c r="B3549">
        <v>6.4276999999999997</v>
      </c>
      <c r="E3549">
        <v>4150000</v>
      </c>
      <c r="F3549">
        <v>6.3929999999999998</v>
      </c>
    </row>
    <row r="3550" spans="1:6" x14ac:dyDescent="0.25">
      <c r="A3550">
        <v>4160000</v>
      </c>
      <c r="B3550">
        <v>6.4278000000000004</v>
      </c>
      <c r="E3550">
        <v>4160000</v>
      </c>
      <c r="F3550">
        <v>6.3933</v>
      </c>
    </row>
    <row r="3551" spans="1:6" x14ac:dyDescent="0.25">
      <c r="A3551">
        <v>4170000</v>
      </c>
      <c r="B3551">
        <v>6.4279999999999999</v>
      </c>
      <c r="E3551">
        <v>4170000</v>
      </c>
      <c r="F3551">
        <v>6.3935000000000004</v>
      </c>
    </row>
    <row r="3552" spans="1:6" x14ac:dyDescent="0.25">
      <c r="A3552">
        <v>4180000</v>
      </c>
      <c r="B3552">
        <v>6.4282000000000004</v>
      </c>
      <c r="E3552">
        <v>4180000</v>
      </c>
      <c r="F3552">
        <v>6.3937999999999997</v>
      </c>
    </row>
    <row r="3553" spans="1:6" x14ac:dyDescent="0.25">
      <c r="A3553">
        <v>4190000</v>
      </c>
      <c r="B3553">
        <v>6.4283999999999999</v>
      </c>
      <c r="E3553">
        <v>4190000</v>
      </c>
      <c r="F3553">
        <v>6.3940999999999999</v>
      </c>
    </row>
    <row r="3554" spans="1:6" x14ac:dyDescent="0.25">
      <c r="A3554">
        <v>4200000</v>
      </c>
      <c r="B3554">
        <v>6.4284999999999997</v>
      </c>
      <c r="E3554">
        <v>4200000</v>
      </c>
      <c r="F3554">
        <v>6.3943000000000003</v>
      </c>
    </row>
    <row r="3555" spans="1:6" x14ac:dyDescent="0.25">
      <c r="A3555">
        <v>4210000</v>
      </c>
      <c r="B3555">
        <v>6.4287000000000001</v>
      </c>
      <c r="E3555">
        <v>4210000</v>
      </c>
      <c r="F3555">
        <v>6.3945999999999996</v>
      </c>
    </row>
    <row r="3556" spans="1:6" x14ac:dyDescent="0.25">
      <c r="A3556">
        <v>4220000</v>
      </c>
      <c r="B3556">
        <v>6.4288999999999996</v>
      </c>
      <c r="E3556">
        <v>4220000</v>
      </c>
      <c r="F3556">
        <v>6.3948</v>
      </c>
    </row>
    <row r="3557" spans="1:6" x14ac:dyDescent="0.25">
      <c r="A3557">
        <v>4230000</v>
      </c>
      <c r="B3557">
        <v>6.4290000000000003</v>
      </c>
      <c r="E3557">
        <v>4230000</v>
      </c>
      <c r="F3557">
        <v>6.3951000000000002</v>
      </c>
    </row>
    <row r="3558" spans="1:6" x14ac:dyDescent="0.25">
      <c r="A3558">
        <v>4240000</v>
      </c>
      <c r="B3558">
        <v>6.4291999999999998</v>
      </c>
      <c r="E3558">
        <v>4240000</v>
      </c>
      <c r="F3558">
        <v>6.3952999999999998</v>
      </c>
    </row>
    <row r="3559" spans="1:6" x14ac:dyDescent="0.25">
      <c r="A3559">
        <v>4250000</v>
      </c>
      <c r="B3559">
        <v>6.4294000000000002</v>
      </c>
      <c r="E3559">
        <v>4250000</v>
      </c>
      <c r="F3559">
        <v>6.3956</v>
      </c>
    </row>
    <row r="3560" spans="1:6" x14ac:dyDescent="0.25">
      <c r="A3560">
        <v>4260000</v>
      </c>
      <c r="B3560">
        <v>6.4295</v>
      </c>
      <c r="E3560">
        <v>4260000</v>
      </c>
      <c r="F3560">
        <v>6.3958000000000004</v>
      </c>
    </row>
    <row r="3561" spans="1:6" x14ac:dyDescent="0.25">
      <c r="A3561">
        <v>4270000</v>
      </c>
      <c r="B3561">
        <v>6.4297000000000004</v>
      </c>
      <c r="E3561">
        <v>4270000</v>
      </c>
      <c r="F3561">
        <v>6.3959999999999999</v>
      </c>
    </row>
    <row r="3562" spans="1:6" x14ac:dyDescent="0.25">
      <c r="A3562">
        <v>4280000</v>
      </c>
      <c r="B3562">
        <v>6.4298999999999999</v>
      </c>
      <c r="E3562">
        <v>4280000</v>
      </c>
      <c r="F3562">
        <v>6.3963000000000001</v>
      </c>
    </row>
    <row r="3563" spans="1:6" x14ac:dyDescent="0.25">
      <c r="A3563">
        <v>4290000</v>
      </c>
      <c r="B3563">
        <v>6.43</v>
      </c>
      <c r="E3563">
        <v>4290000</v>
      </c>
      <c r="F3563">
        <v>6.3964999999999996</v>
      </c>
    </row>
    <row r="3564" spans="1:6" x14ac:dyDescent="0.25">
      <c r="A3564">
        <v>4300000</v>
      </c>
      <c r="B3564">
        <v>6.4302000000000001</v>
      </c>
      <c r="E3564">
        <v>4300000</v>
      </c>
      <c r="F3564">
        <v>6.3967999999999998</v>
      </c>
    </row>
    <row r="3565" spans="1:6" x14ac:dyDescent="0.25">
      <c r="A3565">
        <v>4310000</v>
      </c>
      <c r="B3565">
        <v>6.4303999999999997</v>
      </c>
      <c r="E3565">
        <v>4310000</v>
      </c>
      <c r="F3565">
        <v>6.3970000000000002</v>
      </c>
    </row>
    <row r="3566" spans="1:6" x14ac:dyDescent="0.25">
      <c r="A3566">
        <v>4320000</v>
      </c>
      <c r="B3566">
        <v>6.4305000000000003</v>
      </c>
      <c r="E3566">
        <v>4320000</v>
      </c>
      <c r="F3566">
        <v>6.3971999999999998</v>
      </c>
    </row>
    <row r="3567" spans="1:6" x14ac:dyDescent="0.25">
      <c r="A3567">
        <v>4330000</v>
      </c>
      <c r="B3567">
        <v>6.4306999999999999</v>
      </c>
      <c r="E3567">
        <v>4330000</v>
      </c>
      <c r="F3567">
        <v>6.3975</v>
      </c>
    </row>
    <row r="3568" spans="1:6" x14ac:dyDescent="0.25">
      <c r="A3568">
        <v>4340000</v>
      </c>
      <c r="B3568">
        <v>6.4307999999999996</v>
      </c>
      <c r="E3568">
        <v>4340000</v>
      </c>
      <c r="F3568">
        <v>6.3977000000000004</v>
      </c>
    </row>
    <row r="3569" spans="1:6" x14ac:dyDescent="0.25">
      <c r="A3569">
        <v>4350000</v>
      </c>
      <c r="B3569">
        <v>6.431</v>
      </c>
      <c r="E3569">
        <v>4350000</v>
      </c>
      <c r="F3569">
        <v>6.3979999999999997</v>
      </c>
    </row>
    <row r="3570" spans="1:6" x14ac:dyDescent="0.25">
      <c r="A3570">
        <v>4360000</v>
      </c>
      <c r="B3570">
        <v>6.4311999999999996</v>
      </c>
      <c r="E3570">
        <v>4360000</v>
      </c>
      <c r="F3570">
        <v>6.3982000000000001</v>
      </c>
    </row>
    <row r="3571" spans="1:6" x14ac:dyDescent="0.25">
      <c r="A3571">
        <v>4370000</v>
      </c>
      <c r="B3571">
        <v>6.4313000000000002</v>
      </c>
      <c r="E3571">
        <v>4370000</v>
      </c>
      <c r="F3571">
        <v>6.3983999999999996</v>
      </c>
    </row>
    <row r="3572" spans="1:6" x14ac:dyDescent="0.25">
      <c r="A3572">
        <v>4380000</v>
      </c>
      <c r="B3572">
        <v>6.4314999999999998</v>
      </c>
      <c r="E3572">
        <v>4380000</v>
      </c>
      <c r="F3572">
        <v>6.3986999999999998</v>
      </c>
    </row>
    <row r="3573" spans="1:6" x14ac:dyDescent="0.25">
      <c r="A3573">
        <v>4390000</v>
      </c>
      <c r="B3573">
        <v>6.4316000000000004</v>
      </c>
      <c r="E3573">
        <v>4390000</v>
      </c>
      <c r="F3573">
        <v>6.3989000000000003</v>
      </c>
    </row>
    <row r="3574" spans="1:6" x14ac:dyDescent="0.25">
      <c r="A3574">
        <v>4400000</v>
      </c>
      <c r="B3574">
        <v>6.4318</v>
      </c>
      <c r="E3574">
        <v>4400000</v>
      </c>
      <c r="F3574">
        <v>6.3990999999999998</v>
      </c>
    </row>
    <row r="3575" spans="1:6" x14ac:dyDescent="0.25">
      <c r="A3575">
        <v>4410000</v>
      </c>
      <c r="B3575">
        <v>6.4318999999999997</v>
      </c>
      <c r="E3575">
        <v>4410000</v>
      </c>
      <c r="F3575">
        <v>6.3993000000000002</v>
      </c>
    </row>
    <row r="3576" spans="1:6" x14ac:dyDescent="0.25">
      <c r="A3576">
        <v>4420000</v>
      </c>
      <c r="B3576">
        <v>6.4321000000000002</v>
      </c>
      <c r="E3576">
        <v>4420000</v>
      </c>
      <c r="F3576">
        <v>6.3996000000000004</v>
      </c>
    </row>
    <row r="3577" spans="1:6" x14ac:dyDescent="0.25">
      <c r="A3577">
        <v>4430000</v>
      </c>
      <c r="B3577">
        <v>6.4321999999999999</v>
      </c>
      <c r="E3577">
        <v>4430000</v>
      </c>
      <c r="F3577">
        <v>6.3997999999999999</v>
      </c>
    </row>
    <row r="3578" spans="1:6" x14ac:dyDescent="0.25">
      <c r="A3578">
        <v>4440000</v>
      </c>
      <c r="B3578">
        <v>6.4324000000000003</v>
      </c>
      <c r="E3578">
        <v>4440000</v>
      </c>
      <c r="F3578">
        <v>6.4</v>
      </c>
    </row>
    <row r="3579" spans="1:6" x14ac:dyDescent="0.25">
      <c r="A3579">
        <v>4450000</v>
      </c>
      <c r="B3579">
        <v>6.4325000000000001</v>
      </c>
      <c r="E3579">
        <v>4450000</v>
      </c>
      <c r="F3579">
        <v>6.4001999999999999</v>
      </c>
    </row>
    <row r="3580" spans="1:6" x14ac:dyDescent="0.25">
      <c r="A3580">
        <v>4460000</v>
      </c>
      <c r="B3580">
        <v>6.4326999999999996</v>
      </c>
      <c r="E3580">
        <v>4460000</v>
      </c>
      <c r="F3580">
        <v>6.4005000000000001</v>
      </c>
    </row>
    <row r="3581" spans="1:6" x14ac:dyDescent="0.25">
      <c r="A3581">
        <v>4470000</v>
      </c>
      <c r="B3581">
        <v>6.4328000000000003</v>
      </c>
      <c r="E3581">
        <v>4470000</v>
      </c>
      <c r="F3581">
        <v>6.4006999999999996</v>
      </c>
    </row>
    <row r="3582" spans="1:6" x14ac:dyDescent="0.25">
      <c r="A3582">
        <v>4480000</v>
      </c>
      <c r="B3582">
        <v>6.4329999999999998</v>
      </c>
      <c r="E3582">
        <v>4480000</v>
      </c>
      <c r="F3582">
        <v>6.4009</v>
      </c>
    </row>
    <row r="3583" spans="1:6" x14ac:dyDescent="0.25">
      <c r="A3583">
        <v>4490000</v>
      </c>
      <c r="B3583">
        <v>6.4330999999999996</v>
      </c>
      <c r="E3583">
        <v>4490000</v>
      </c>
      <c r="F3583">
        <v>6.4010999999999996</v>
      </c>
    </row>
    <row r="3584" spans="1:6" x14ac:dyDescent="0.25">
      <c r="A3584">
        <v>4500000</v>
      </c>
      <c r="B3584">
        <v>6.4333</v>
      </c>
      <c r="E3584">
        <v>4500000</v>
      </c>
      <c r="F3584">
        <v>6.4013999999999998</v>
      </c>
    </row>
    <row r="3585" spans="1:6" x14ac:dyDescent="0.25">
      <c r="A3585">
        <v>4510000</v>
      </c>
      <c r="B3585">
        <v>6.4333999999999998</v>
      </c>
      <c r="E3585">
        <v>4510000</v>
      </c>
      <c r="F3585">
        <v>6.4016000000000002</v>
      </c>
    </row>
    <row r="3586" spans="1:6" x14ac:dyDescent="0.25">
      <c r="A3586">
        <v>4520000</v>
      </c>
      <c r="B3586">
        <v>6.4336000000000002</v>
      </c>
      <c r="E3586">
        <v>4520000</v>
      </c>
      <c r="F3586">
        <v>6.4017999999999997</v>
      </c>
    </row>
    <row r="3587" spans="1:6" x14ac:dyDescent="0.25">
      <c r="A3587">
        <v>4530000</v>
      </c>
      <c r="B3587">
        <v>6.4337</v>
      </c>
      <c r="E3587">
        <v>4530000</v>
      </c>
      <c r="F3587">
        <v>6.4020000000000001</v>
      </c>
    </row>
    <row r="3588" spans="1:6" x14ac:dyDescent="0.25">
      <c r="A3588">
        <v>4540000</v>
      </c>
      <c r="B3588">
        <v>6.4339000000000004</v>
      </c>
      <c r="E3588">
        <v>4540000</v>
      </c>
      <c r="F3588">
        <v>6.4021999999999997</v>
      </c>
    </row>
    <row r="3589" spans="1:6" x14ac:dyDescent="0.25">
      <c r="A3589">
        <v>4550000</v>
      </c>
      <c r="B3589">
        <v>6.4340000000000002</v>
      </c>
      <c r="E3589">
        <v>4550000</v>
      </c>
      <c r="F3589">
        <v>6.4024000000000001</v>
      </c>
    </row>
    <row r="3590" spans="1:6" x14ac:dyDescent="0.25">
      <c r="A3590">
        <v>4560000</v>
      </c>
      <c r="B3590">
        <v>6.4341999999999997</v>
      </c>
      <c r="E3590">
        <v>4560000</v>
      </c>
      <c r="F3590">
        <v>6.4027000000000003</v>
      </c>
    </row>
    <row r="3591" spans="1:6" x14ac:dyDescent="0.25">
      <c r="A3591">
        <v>4570000</v>
      </c>
      <c r="B3591">
        <v>6.4343000000000004</v>
      </c>
      <c r="E3591">
        <v>4570000</v>
      </c>
      <c r="F3591">
        <v>6.4028999999999998</v>
      </c>
    </row>
    <row r="3592" spans="1:6" x14ac:dyDescent="0.25">
      <c r="A3592">
        <v>4580000</v>
      </c>
      <c r="B3592">
        <v>6.4344999999999999</v>
      </c>
      <c r="E3592">
        <v>4580000</v>
      </c>
      <c r="F3592">
        <v>6.4031000000000002</v>
      </c>
    </row>
    <row r="3593" spans="1:6" x14ac:dyDescent="0.25">
      <c r="A3593">
        <v>4590000</v>
      </c>
      <c r="B3593">
        <v>6.4345999999999997</v>
      </c>
      <c r="E3593">
        <v>4590000</v>
      </c>
      <c r="F3593">
        <v>6.4032999999999998</v>
      </c>
    </row>
    <row r="3594" spans="1:6" x14ac:dyDescent="0.25">
      <c r="A3594">
        <v>4600000</v>
      </c>
      <c r="B3594">
        <v>6.4347000000000003</v>
      </c>
      <c r="E3594">
        <v>4600000</v>
      </c>
      <c r="F3594">
        <v>6.4035000000000002</v>
      </c>
    </row>
    <row r="3595" spans="1:6" x14ac:dyDescent="0.25">
      <c r="A3595">
        <v>4610000</v>
      </c>
      <c r="B3595">
        <v>6.4348999999999998</v>
      </c>
      <c r="E3595">
        <v>4610000</v>
      </c>
      <c r="F3595">
        <v>6.4036999999999997</v>
      </c>
    </row>
    <row r="3596" spans="1:6" x14ac:dyDescent="0.25">
      <c r="A3596">
        <v>4620000</v>
      </c>
      <c r="B3596">
        <v>6.4349999999999996</v>
      </c>
      <c r="E3596">
        <v>4620000</v>
      </c>
      <c r="F3596">
        <v>6.4039000000000001</v>
      </c>
    </row>
    <row r="3597" spans="1:6" x14ac:dyDescent="0.25">
      <c r="A3597">
        <v>4630000</v>
      </c>
      <c r="B3597">
        <v>6.4352</v>
      </c>
      <c r="E3597">
        <v>4630000</v>
      </c>
      <c r="F3597">
        <v>6.4040999999999997</v>
      </c>
    </row>
    <row r="3598" spans="1:6" x14ac:dyDescent="0.25">
      <c r="A3598">
        <v>4640000</v>
      </c>
      <c r="B3598">
        <v>6.4352999999999998</v>
      </c>
      <c r="E3598">
        <v>4640000</v>
      </c>
      <c r="F3598">
        <v>6.4043000000000001</v>
      </c>
    </row>
    <row r="3599" spans="1:6" x14ac:dyDescent="0.25">
      <c r="A3599">
        <v>4650000</v>
      </c>
      <c r="B3599">
        <v>6.4353999999999996</v>
      </c>
      <c r="E3599">
        <v>4650000</v>
      </c>
      <c r="F3599">
        <v>6.4044999999999996</v>
      </c>
    </row>
    <row r="3600" spans="1:6" x14ac:dyDescent="0.25">
      <c r="A3600">
        <v>4660000</v>
      </c>
      <c r="B3600">
        <v>6.4356</v>
      </c>
      <c r="E3600">
        <v>4660000</v>
      </c>
      <c r="F3600">
        <v>6.4047000000000001</v>
      </c>
    </row>
    <row r="3601" spans="1:6" x14ac:dyDescent="0.25">
      <c r="A3601">
        <v>4670000</v>
      </c>
      <c r="B3601">
        <v>6.4356999999999998</v>
      </c>
      <c r="E3601">
        <v>4670000</v>
      </c>
      <c r="F3601">
        <v>6.4048999999999996</v>
      </c>
    </row>
    <row r="3602" spans="1:6" x14ac:dyDescent="0.25">
      <c r="A3602">
        <v>4680000</v>
      </c>
      <c r="B3602">
        <v>6.4359000000000002</v>
      </c>
      <c r="E3602">
        <v>4680000</v>
      </c>
      <c r="F3602">
        <v>6.4051</v>
      </c>
    </row>
    <row r="3603" spans="1:6" x14ac:dyDescent="0.25">
      <c r="A3603">
        <v>4690000</v>
      </c>
      <c r="B3603">
        <v>6.4359999999999999</v>
      </c>
      <c r="E3603">
        <v>4690000</v>
      </c>
      <c r="F3603">
        <v>6.4054000000000002</v>
      </c>
    </row>
    <row r="3604" spans="1:6" x14ac:dyDescent="0.25">
      <c r="A3604">
        <v>4700000</v>
      </c>
      <c r="B3604">
        <v>6.4360999999999997</v>
      </c>
      <c r="E3604">
        <v>4700000</v>
      </c>
      <c r="F3604">
        <v>6.4055999999999997</v>
      </c>
    </row>
    <row r="3605" spans="1:6" x14ac:dyDescent="0.25">
      <c r="A3605">
        <v>4710000</v>
      </c>
      <c r="B3605">
        <v>6.4363000000000001</v>
      </c>
      <c r="E3605">
        <v>4710000</v>
      </c>
      <c r="F3605">
        <v>6.4058000000000002</v>
      </c>
    </row>
    <row r="3606" spans="1:6" x14ac:dyDescent="0.25">
      <c r="A3606">
        <v>4720000</v>
      </c>
      <c r="B3606">
        <v>6.4363999999999999</v>
      </c>
      <c r="E3606">
        <v>4720000</v>
      </c>
      <c r="F3606">
        <v>6.4059999999999997</v>
      </c>
    </row>
    <row r="3607" spans="1:6" x14ac:dyDescent="0.25">
      <c r="A3607">
        <v>4730000</v>
      </c>
      <c r="B3607">
        <v>6.4364999999999997</v>
      </c>
      <c r="E3607">
        <v>4730000</v>
      </c>
      <c r="F3607">
        <v>6.4062000000000001</v>
      </c>
    </row>
    <row r="3608" spans="1:6" x14ac:dyDescent="0.25">
      <c r="A3608">
        <v>4740000</v>
      </c>
      <c r="B3608">
        <v>6.4367000000000001</v>
      </c>
      <c r="E3608">
        <v>4740000</v>
      </c>
      <c r="F3608">
        <v>6.4062999999999999</v>
      </c>
    </row>
    <row r="3609" spans="1:6" x14ac:dyDescent="0.25">
      <c r="A3609">
        <v>4750000</v>
      </c>
      <c r="B3609">
        <v>6.4367999999999999</v>
      </c>
      <c r="E3609">
        <v>4750000</v>
      </c>
      <c r="F3609">
        <v>6.4065000000000003</v>
      </c>
    </row>
    <row r="3610" spans="1:6" x14ac:dyDescent="0.25">
      <c r="A3610">
        <v>4760000</v>
      </c>
      <c r="B3610">
        <v>6.4368999999999996</v>
      </c>
      <c r="E3610">
        <v>4760000</v>
      </c>
      <c r="F3610">
        <v>6.4066999999999998</v>
      </c>
    </row>
    <row r="3611" spans="1:6" x14ac:dyDescent="0.25">
      <c r="A3611">
        <v>4770000</v>
      </c>
      <c r="B3611">
        <v>6.4371</v>
      </c>
      <c r="E3611">
        <v>4770000</v>
      </c>
      <c r="F3611">
        <v>6.4069000000000003</v>
      </c>
    </row>
    <row r="3612" spans="1:6" x14ac:dyDescent="0.25">
      <c r="A3612">
        <v>4780000</v>
      </c>
      <c r="B3612">
        <v>6.4371999999999998</v>
      </c>
      <c r="E3612">
        <v>4780000</v>
      </c>
      <c r="F3612">
        <v>6.4070999999999998</v>
      </c>
    </row>
    <row r="3613" spans="1:6" x14ac:dyDescent="0.25">
      <c r="A3613">
        <v>4790000</v>
      </c>
      <c r="B3613">
        <v>6.4372999999999996</v>
      </c>
      <c r="E3613">
        <v>4790000</v>
      </c>
      <c r="F3613">
        <v>6.4073000000000002</v>
      </c>
    </row>
    <row r="3614" spans="1:6" x14ac:dyDescent="0.25">
      <c r="A3614">
        <v>4800000</v>
      </c>
      <c r="B3614">
        <v>6.4375</v>
      </c>
      <c r="E3614">
        <v>4800000</v>
      </c>
      <c r="F3614">
        <v>6.4074999999999998</v>
      </c>
    </row>
    <row r="3615" spans="1:6" x14ac:dyDescent="0.25">
      <c r="A3615">
        <v>4810000</v>
      </c>
      <c r="B3615">
        <v>6.4375999999999998</v>
      </c>
      <c r="E3615">
        <v>4810000</v>
      </c>
      <c r="F3615">
        <v>6.4077000000000002</v>
      </c>
    </row>
    <row r="3616" spans="1:6" x14ac:dyDescent="0.25">
      <c r="A3616">
        <v>4820000</v>
      </c>
      <c r="B3616">
        <v>6.4377000000000004</v>
      </c>
      <c r="E3616">
        <v>4820000</v>
      </c>
      <c r="F3616">
        <v>6.4078999999999997</v>
      </c>
    </row>
    <row r="3617" spans="1:6" x14ac:dyDescent="0.25">
      <c r="A3617">
        <v>4830000</v>
      </c>
      <c r="B3617">
        <v>6.4379</v>
      </c>
      <c r="E3617">
        <v>4830000</v>
      </c>
      <c r="F3617">
        <v>6.4081000000000001</v>
      </c>
    </row>
    <row r="3618" spans="1:6" x14ac:dyDescent="0.25">
      <c r="A3618">
        <v>4840000</v>
      </c>
      <c r="B3618">
        <v>6.4379999999999997</v>
      </c>
      <c r="E3618">
        <v>4840000</v>
      </c>
      <c r="F3618">
        <v>6.4082999999999997</v>
      </c>
    </row>
    <row r="3619" spans="1:6" x14ac:dyDescent="0.25">
      <c r="A3619">
        <v>4850000</v>
      </c>
      <c r="B3619">
        <v>6.4381000000000004</v>
      </c>
      <c r="E3619">
        <v>4850000</v>
      </c>
      <c r="F3619">
        <v>6.4085000000000001</v>
      </c>
    </row>
    <row r="3620" spans="1:6" x14ac:dyDescent="0.25">
      <c r="A3620">
        <v>4860000</v>
      </c>
      <c r="B3620">
        <v>6.4382000000000001</v>
      </c>
      <c r="E3620">
        <v>4860000</v>
      </c>
      <c r="F3620">
        <v>6.4086999999999996</v>
      </c>
    </row>
    <row r="3621" spans="1:6" x14ac:dyDescent="0.25">
      <c r="A3621">
        <v>4870000</v>
      </c>
      <c r="B3621">
        <v>6.4383999999999997</v>
      </c>
      <c r="E3621">
        <v>4870000</v>
      </c>
      <c r="F3621">
        <v>6.4088000000000003</v>
      </c>
    </row>
    <row r="3622" spans="1:6" x14ac:dyDescent="0.25">
      <c r="A3622">
        <v>4880000</v>
      </c>
      <c r="B3622">
        <v>6.4385000000000003</v>
      </c>
      <c r="E3622">
        <v>4880000</v>
      </c>
      <c r="F3622">
        <v>6.4089999999999998</v>
      </c>
    </row>
    <row r="3623" spans="1:6" x14ac:dyDescent="0.25">
      <c r="A3623">
        <v>4890000</v>
      </c>
      <c r="B3623">
        <v>6.4386000000000001</v>
      </c>
      <c r="E3623">
        <v>4890000</v>
      </c>
      <c r="F3623">
        <v>6.4092000000000002</v>
      </c>
    </row>
    <row r="3624" spans="1:6" x14ac:dyDescent="0.25">
      <c r="A3624">
        <v>4900000</v>
      </c>
      <c r="B3624">
        <v>6.4386999999999999</v>
      </c>
      <c r="E3624">
        <v>4900000</v>
      </c>
      <c r="F3624">
        <v>6.4093999999999998</v>
      </c>
    </row>
    <row r="3625" spans="1:6" x14ac:dyDescent="0.25">
      <c r="A3625">
        <v>4910000</v>
      </c>
      <c r="B3625">
        <v>6.4389000000000003</v>
      </c>
      <c r="E3625">
        <v>4910000</v>
      </c>
      <c r="F3625">
        <v>6.4096000000000002</v>
      </c>
    </row>
    <row r="3626" spans="1:6" x14ac:dyDescent="0.25">
      <c r="A3626">
        <v>4920000</v>
      </c>
      <c r="B3626">
        <v>6.4390000000000001</v>
      </c>
      <c r="E3626">
        <v>4920000</v>
      </c>
      <c r="F3626">
        <v>6.4097999999999997</v>
      </c>
    </row>
    <row r="3627" spans="1:6" x14ac:dyDescent="0.25">
      <c r="A3627">
        <v>4930000</v>
      </c>
      <c r="B3627">
        <v>6.4390999999999998</v>
      </c>
      <c r="E3627">
        <v>4930000</v>
      </c>
      <c r="F3627">
        <v>6.41</v>
      </c>
    </row>
    <row r="3628" spans="1:6" x14ac:dyDescent="0.25">
      <c r="A3628">
        <v>4940000</v>
      </c>
      <c r="B3628">
        <v>6.4391999999999996</v>
      </c>
      <c r="E3628">
        <v>4940000</v>
      </c>
      <c r="F3628">
        <v>6.4100999999999999</v>
      </c>
    </row>
    <row r="3629" spans="1:6" x14ac:dyDescent="0.25">
      <c r="A3629">
        <v>4950000</v>
      </c>
      <c r="B3629">
        <v>6.4394</v>
      </c>
      <c r="E3629">
        <v>4950000</v>
      </c>
      <c r="F3629">
        <v>6.4103000000000003</v>
      </c>
    </row>
    <row r="3630" spans="1:6" x14ac:dyDescent="0.25">
      <c r="A3630">
        <v>4960000</v>
      </c>
      <c r="B3630">
        <v>6.4394999999999998</v>
      </c>
      <c r="E3630">
        <v>4960000</v>
      </c>
      <c r="F3630">
        <v>6.4104999999999999</v>
      </c>
    </row>
    <row r="3631" spans="1:6" x14ac:dyDescent="0.25">
      <c r="A3631">
        <v>4970000</v>
      </c>
      <c r="B3631">
        <v>6.4396000000000004</v>
      </c>
      <c r="E3631">
        <v>4970000</v>
      </c>
      <c r="F3631">
        <v>6.4107000000000003</v>
      </c>
    </row>
    <row r="3632" spans="1:6" x14ac:dyDescent="0.25">
      <c r="A3632">
        <v>4980000</v>
      </c>
      <c r="B3632">
        <v>6.4397000000000002</v>
      </c>
      <c r="E3632">
        <v>4980000</v>
      </c>
      <c r="F3632">
        <v>6.4108999999999998</v>
      </c>
    </row>
    <row r="3633" spans="1:6" x14ac:dyDescent="0.25">
      <c r="A3633">
        <v>4990000</v>
      </c>
      <c r="B3633">
        <v>6.4398</v>
      </c>
      <c r="E3633">
        <v>4990000</v>
      </c>
      <c r="F3633">
        <v>6.4109999999999996</v>
      </c>
    </row>
    <row r="3634" spans="1:6" x14ac:dyDescent="0.25">
      <c r="A3634">
        <v>5000000</v>
      </c>
      <c r="B3634">
        <v>6.44</v>
      </c>
      <c r="E3634">
        <v>5000000</v>
      </c>
      <c r="F3634">
        <v>6.4112</v>
      </c>
    </row>
    <row r="3635" spans="1:6" x14ac:dyDescent="0.25">
      <c r="A3635">
        <v>5010000</v>
      </c>
      <c r="B3635">
        <v>6.4401000000000002</v>
      </c>
      <c r="E3635">
        <v>5010000</v>
      </c>
      <c r="F3635">
        <v>6.4114000000000004</v>
      </c>
    </row>
    <row r="3636" spans="1:6" x14ac:dyDescent="0.25">
      <c r="A3636">
        <v>5020000</v>
      </c>
      <c r="B3636">
        <v>6.4401999999999999</v>
      </c>
      <c r="E3636">
        <v>5020000</v>
      </c>
      <c r="F3636">
        <v>6.4116</v>
      </c>
    </row>
    <row r="3637" spans="1:6" x14ac:dyDescent="0.25">
      <c r="A3637">
        <v>5030000</v>
      </c>
      <c r="B3637">
        <v>6.4402999999999997</v>
      </c>
      <c r="E3637">
        <v>5030000</v>
      </c>
      <c r="F3637">
        <v>6.4116999999999997</v>
      </c>
    </row>
    <row r="3638" spans="1:6" x14ac:dyDescent="0.25">
      <c r="A3638">
        <v>5040000</v>
      </c>
      <c r="B3638">
        <v>6.4404000000000003</v>
      </c>
      <c r="E3638">
        <v>5040000</v>
      </c>
      <c r="F3638">
        <v>6.4119000000000002</v>
      </c>
    </row>
    <row r="3639" spans="1:6" x14ac:dyDescent="0.25">
      <c r="A3639">
        <v>5050000</v>
      </c>
      <c r="B3639">
        <v>6.4405999999999999</v>
      </c>
      <c r="E3639">
        <v>5050000</v>
      </c>
      <c r="F3639">
        <v>6.4120999999999997</v>
      </c>
    </row>
    <row r="3640" spans="1:6" x14ac:dyDescent="0.25">
      <c r="A3640">
        <v>5060000</v>
      </c>
      <c r="B3640">
        <v>6.4406999999999996</v>
      </c>
      <c r="E3640">
        <v>5060000</v>
      </c>
      <c r="F3640">
        <v>6.4123000000000001</v>
      </c>
    </row>
    <row r="3641" spans="1:6" x14ac:dyDescent="0.25">
      <c r="A3641">
        <v>5070000</v>
      </c>
      <c r="B3641">
        <v>6.4408000000000003</v>
      </c>
      <c r="E3641">
        <v>5070000</v>
      </c>
      <c r="F3641">
        <v>6.4123999999999999</v>
      </c>
    </row>
    <row r="3642" spans="1:6" x14ac:dyDescent="0.25">
      <c r="A3642">
        <v>5080000</v>
      </c>
      <c r="B3642">
        <v>6.4409000000000001</v>
      </c>
      <c r="E3642">
        <v>5080000</v>
      </c>
      <c r="F3642">
        <v>6.4126000000000003</v>
      </c>
    </row>
    <row r="3643" spans="1:6" x14ac:dyDescent="0.25">
      <c r="A3643">
        <v>5090000</v>
      </c>
      <c r="B3643">
        <v>6.4409999999999998</v>
      </c>
      <c r="E3643">
        <v>5090000</v>
      </c>
      <c r="F3643">
        <v>6.4127999999999998</v>
      </c>
    </row>
    <row r="3644" spans="1:6" x14ac:dyDescent="0.25">
      <c r="A3644">
        <v>5100000</v>
      </c>
      <c r="B3644">
        <v>6.4410999999999996</v>
      </c>
      <c r="E3644">
        <v>5100000</v>
      </c>
      <c r="F3644">
        <v>6.4130000000000003</v>
      </c>
    </row>
    <row r="3645" spans="1:6" x14ac:dyDescent="0.25">
      <c r="A3645">
        <v>5110000</v>
      </c>
      <c r="B3645">
        <v>6.4413</v>
      </c>
      <c r="E3645">
        <v>5110000</v>
      </c>
      <c r="F3645">
        <v>6.4131</v>
      </c>
    </row>
    <row r="3646" spans="1:6" x14ac:dyDescent="0.25">
      <c r="A3646">
        <v>5120000</v>
      </c>
      <c r="B3646">
        <v>6.4413999999999998</v>
      </c>
      <c r="E3646">
        <v>5120000</v>
      </c>
      <c r="F3646">
        <v>6.4132999999999996</v>
      </c>
    </row>
    <row r="3647" spans="1:6" x14ac:dyDescent="0.25">
      <c r="A3647">
        <v>5130000</v>
      </c>
      <c r="B3647">
        <v>6.4414999999999996</v>
      </c>
      <c r="E3647">
        <v>5130000</v>
      </c>
      <c r="F3647">
        <v>6.4135</v>
      </c>
    </row>
    <row r="3648" spans="1:6" x14ac:dyDescent="0.25">
      <c r="A3648">
        <v>5140000</v>
      </c>
      <c r="B3648">
        <v>6.4416000000000002</v>
      </c>
      <c r="E3648">
        <v>5140000</v>
      </c>
      <c r="F3648">
        <v>6.4135999999999997</v>
      </c>
    </row>
    <row r="3649" spans="1:6" x14ac:dyDescent="0.25">
      <c r="A3649">
        <v>5150000</v>
      </c>
      <c r="B3649">
        <v>6.4417</v>
      </c>
      <c r="E3649">
        <v>5150000</v>
      </c>
      <c r="F3649">
        <v>6.4138000000000002</v>
      </c>
    </row>
    <row r="3650" spans="1:6" x14ac:dyDescent="0.25">
      <c r="A3650">
        <v>5160000</v>
      </c>
      <c r="B3650">
        <v>6.4417999999999997</v>
      </c>
      <c r="E3650">
        <v>5160000</v>
      </c>
      <c r="F3650">
        <v>6.4139999999999997</v>
      </c>
    </row>
    <row r="3651" spans="1:6" x14ac:dyDescent="0.25">
      <c r="A3651">
        <v>5170000</v>
      </c>
      <c r="B3651">
        <v>6.4419000000000004</v>
      </c>
      <c r="E3651">
        <v>5170000</v>
      </c>
      <c r="F3651">
        <v>6.4141000000000004</v>
      </c>
    </row>
    <row r="3652" spans="1:6" x14ac:dyDescent="0.25">
      <c r="A3652">
        <v>5180000</v>
      </c>
      <c r="B3652">
        <v>6.4420999999999999</v>
      </c>
      <c r="E3652">
        <v>5180000</v>
      </c>
      <c r="F3652">
        <v>6.4142999999999999</v>
      </c>
    </row>
    <row r="3653" spans="1:6" x14ac:dyDescent="0.25">
      <c r="A3653">
        <v>5190000</v>
      </c>
      <c r="B3653">
        <v>6.4421999999999997</v>
      </c>
      <c r="E3653">
        <v>5190000</v>
      </c>
      <c r="F3653">
        <v>6.4145000000000003</v>
      </c>
    </row>
    <row r="3654" spans="1:6" x14ac:dyDescent="0.25">
      <c r="A3654">
        <v>5200000</v>
      </c>
      <c r="B3654">
        <v>6.4423000000000004</v>
      </c>
      <c r="E3654">
        <v>5200000</v>
      </c>
      <c r="F3654">
        <v>6.4146000000000001</v>
      </c>
    </row>
    <row r="3655" spans="1:6" x14ac:dyDescent="0.25">
      <c r="A3655">
        <v>5210000</v>
      </c>
      <c r="B3655">
        <v>6.4424000000000001</v>
      </c>
      <c r="E3655">
        <v>5210000</v>
      </c>
      <c r="F3655">
        <v>6.4147999999999996</v>
      </c>
    </row>
    <row r="3656" spans="1:6" x14ac:dyDescent="0.25">
      <c r="A3656">
        <v>5220000</v>
      </c>
      <c r="B3656">
        <v>6.4424999999999999</v>
      </c>
      <c r="E3656">
        <v>5220000</v>
      </c>
      <c r="F3656">
        <v>6.415</v>
      </c>
    </row>
    <row r="3657" spans="1:6" x14ac:dyDescent="0.25">
      <c r="A3657">
        <v>5230000</v>
      </c>
      <c r="B3657">
        <v>6.4425999999999997</v>
      </c>
      <c r="E3657">
        <v>5230000</v>
      </c>
      <c r="F3657">
        <v>6.4150999999999998</v>
      </c>
    </row>
    <row r="3658" spans="1:6" x14ac:dyDescent="0.25">
      <c r="A3658">
        <v>5240000</v>
      </c>
      <c r="B3658">
        <v>6.4427000000000003</v>
      </c>
      <c r="E3658">
        <v>5240000</v>
      </c>
      <c r="F3658">
        <v>6.4153000000000002</v>
      </c>
    </row>
    <row r="3659" spans="1:6" x14ac:dyDescent="0.25">
      <c r="A3659">
        <v>5250000</v>
      </c>
      <c r="B3659">
        <v>6.4428000000000001</v>
      </c>
      <c r="E3659">
        <v>5250000</v>
      </c>
      <c r="F3659">
        <v>6.4154</v>
      </c>
    </row>
    <row r="3660" spans="1:6" x14ac:dyDescent="0.25">
      <c r="A3660">
        <v>5260000</v>
      </c>
      <c r="B3660">
        <v>6.4428999999999998</v>
      </c>
      <c r="E3660">
        <v>5260000</v>
      </c>
      <c r="F3660">
        <v>6.4156000000000004</v>
      </c>
    </row>
    <row r="3661" spans="1:6" x14ac:dyDescent="0.25">
      <c r="A3661">
        <v>5270000</v>
      </c>
      <c r="B3661">
        <v>6.4429999999999996</v>
      </c>
      <c r="E3661">
        <v>5270000</v>
      </c>
      <c r="F3661">
        <v>6.4157999999999999</v>
      </c>
    </row>
    <row r="3662" spans="1:6" x14ac:dyDescent="0.25">
      <c r="A3662">
        <v>5280000</v>
      </c>
      <c r="B3662">
        <v>6.4431000000000003</v>
      </c>
      <c r="E3662">
        <v>5280000</v>
      </c>
      <c r="F3662">
        <v>6.4158999999999997</v>
      </c>
    </row>
    <row r="3663" spans="1:6" x14ac:dyDescent="0.25">
      <c r="A3663">
        <v>5290000</v>
      </c>
      <c r="B3663">
        <v>6.4432999999999998</v>
      </c>
      <c r="E3663">
        <v>5290000</v>
      </c>
      <c r="F3663">
        <v>6.4161000000000001</v>
      </c>
    </row>
    <row r="3664" spans="1:6" x14ac:dyDescent="0.25">
      <c r="A3664">
        <v>5300000</v>
      </c>
      <c r="B3664">
        <v>6.4433999999999996</v>
      </c>
      <c r="E3664">
        <v>5300000</v>
      </c>
      <c r="F3664">
        <v>6.4161999999999999</v>
      </c>
    </row>
    <row r="3665" spans="1:6" x14ac:dyDescent="0.25">
      <c r="A3665">
        <v>5310000</v>
      </c>
      <c r="B3665">
        <v>6.4435000000000002</v>
      </c>
      <c r="E3665">
        <v>5310000</v>
      </c>
      <c r="F3665">
        <v>6.4164000000000003</v>
      </c>
    </row>
    <row r="3666" spans="1:6" x14ac:dyDescent="0.25">
      <c r="A3666">
        <v>5320000</v>
      </c>
      <c r="B3666">
        <v>6.4436</v>
      </c>
      <c r="E3666">
        <v>5320000</v>
      </c>
      <c r="F3666">
        <v>6.4165999999999999</v>
      </c>
    </row>
    <row r="3667" spans="1:6" x14ac:dyDescent="0.25">
      <c r="A3667">
        <v>5330000</v>
      </c>
      <c r="B3667">
        <v>6.4436999999999998</v>
      </c>
      <c r="E3667">
        <v>5330000</v>
      </c>
      <c r="F3667">
        <v>6.4166999999999996</v>
      </c>
    </row>
    <row r="3668" spans="1:6" x14ac:dyDescent="0.25">
      <c r="A3668">
        <v>5340000</v>
      </c>
      <c r="B3668">
        <v>6.4438000000000004</v>
      </c>
      <c r="E3668">
        <v>5340000</v>
      </c>
      <c r="F3668">
        <v>6.4169</v>
      </c>
    </row>
    <row r="3669" spans="1:6" x14ac:dyDescent="0.25">
      <c r="A3669">
        <v>5350000</v>
      </c>
      <c r="B3669">
        <v>6.4439000000000002</v>
      </c>
      <c r="E3669">
        <v>5350000</v>
      </c>
      <c r="F3669">
        <v>6.4169999999999998</v>
      </c>
    </row>
    <row r="3670" spans="1:6" x14ac:dyDescent="0.25">
      <c r="A3670">
        <v>5360000</v>
      </c>
      <c r="B3670">
        <v>6.444</v>
      </c>
      <c r="E3670">
        <v>5360000</v>
      </c>
      <c r="F3670">
        <v>6.4172000000000002</v>
      </c>
    </row>
    <row r="3671" spans="1:6" x14ac:dyDescent="0.25">
      <c r="A3671">
        <v>5370000</v>
      </c>
      <c r="B3671">
        <v>6.4440999999999997</v>
      </c>
      <c r="E3671">
        <v>5370000</v>
      </c>
      <c r="F3671">
        <v>6.4173</v>
      </c>
    </row>
    <row r="3672" spans="1:6" x14ac:dyDescent="0.25">
      <c r="A3672">
        <v>5380000</v>
      </c>
      <c r="B3672">
        <v>6.4442000000000004</v>
      </c>
      <c r="E3672">
        <v>5380000</v>
      </c>
      <c r="F3672">
        <v>6.4175000000000004</v>
      </c>
    </row>
    <row r="3673" spans="1:6" x14ac:dyDescent="0.25">
      <c r="A3673">
        <v>5390000</v>
      </c>
      <c r="B3673">
        <v>6.4443000000000001</v>
      </c>
      <c r="E3673">
        <v>5390000</v>
      </c>
      <c r="F3673">
        <v>6.4176000000000002</v>
      </c>
    </row>
    <row r="3674" spans="1:6" x14ac:dyDescent="0.25">
      <c r="A3674">
        <v>5400000</v>
      </c>
      <c r="B3674">
        <v>6.4443999999999999</v>
      </c>
      <c r="E3674">
        <v>5400000</v>
      </c>
      <c r="F3674">
        <v>6.4177999999999997</v>
      </c>
    </row>
    <row r="3675" spans="1:6" x14ac:dyDescent="0.25">
      <c r="A3675">
        <v>5410000</v>
      </c>
      <c r="B3675">
        <v>6.4444999999999997</v>
      </c>
      <c r="E3675">
        <v>5410000</v>
      </c>
      <c r="F3675">
        <v>6.4179000000000004</v>
      </c>
    </row>
    <row r="3676" spans="1:6" x14ac:dyDescent="0.25">
      <c r="A3676">
        <v>5420000</v>
      </c>
      <c r="B3676">
        <v>6.4446000000000003</v>
      </c>
      <c r="E3676">
        <v>5420000</v>
      </c>
      <c r="F3676">
        <v>6.4180999999999999</v>
      </c>
    </row>
    <row r="3677" spans="1:6" x14ac:dyDescent="0.25">
      <c r="A3677">
        <v>5430000</v>
      </c>
      <c r="B3677">
        <v>6.4447000000000001</v>
      </c>
      <c r="E3677">
        <v>5430000</v>
      </c>
      <c r="F3677">
        <v>6.4181999999999997</v>
      </c>
    </row>
    <row r="3678" spans="1:6" x14ac:dyDescent="0.25">
      <c r="A3678">
        <v>5440000</v>
      </c>
      <c r="B3678">
        <v>6.4447999999999999</v>
      </c>
      <c r="E3678">
        <v>5440000</v>
      </c>
      <c r="F3678">
        <v>6.4184000000000001</v>
      </c>
    </row>
    <row r="3679" spans="1:6" x14ac:dyDescent="0.25">
      <c r="A3679">
        <v>5450000</v>
      </c>
      <c r="B3679">
        <v>6.4448999999999996</v>
      </c>
      <c r="E3679">
        <v>5450000</v>
      </c>
      <c r="F3679">
        <v>6.4184999999999999</v>
      </c>
    </row>
    <row r="3680" spans="1:6" x14ac:dyDescent="0.25">
      <c r="A3680">
        <v>5460000</v>
      </c>
      <c r="B3680">
        <v>6.4450000000000003</v>
      </c>
      <c r="E3680">
        <v>5460000</v>
      </c>
      <c r="F3680">
        <v>6.4187000000000003</v>
      </c>
    </row>
    <row r="3681" spans="1:6" x14ac:dyDescent="0.25">
      <c r="A3681">
        <v>5470000</v>
      </c>
      <c r="B3681">
        <v>6.4451000000000001</v>
      </c>
      <c r="E3681">
        <v>5470000</v>
      </c>
      <c r="F3681">
        <v>6.4188000000000001</v>
      </c>
    </row>
    <row r="3682" spans="1:6" x14ac:dyDescent="0.25">
      <c r="A3682">
        <v>5480000</v>
      </c>
      <c r="B3682">
        <v>6.4451999999999998</v>
      </c>
      <c r="E3682">
        <v>5480000</v>
      </c>
      <c r="F3682">
        <v>6.4189999999999996</v>
      </c>
    </row>
    <row r="3683" spans="1:6" x14ac:dyDescent="0.25">
      <c r="A3683">
        <v>5490000</v>
      </c>
      <c r="B3683">
        <v>6.4452999999999996</v>
      </c>
      <c r="E3683">
        <v>5490000</v>
      </c>
      <c r="F3683">
        <v>6.4191000000000003</v>
      </c>
    </row>
    <row r="3684" spans="1:6" x14ac:dyDescent="0.25">
      <c r="A3684">
        <v>5500000</v>
      </c>
      <c r="B3684">
        <v>6.4454000000000002</v>
      </c>
      <c r="E3684">
        <v>5500000</v>
      </c>
      <c r="F3684">
        <v>6.4192999999999998</v>
      </c>
    </row>
    <row r="3685" spans="1:6" x14ac:dyDescent="0.25">
      <c r="A3685">
        <v>5510000</v>
      </c>
      <c r="B3685">
        <v>6.4455</v>
      </c>
      <c r="E3685">
        <v>5510000</v>
      </c>
      <c r="F3685">
        <v>6.4194000000000004</v>
      </c>
    </row>
    <row r="3686" spans="1:6" x14ac:dyDescent="0.25">
      <c r="A3686">
        <v>5520000</v>
      </c>
      <c r="B3686">
        <v>6.4455999999999998</v>
      </c>
      <c r="E3686">
        <v>5520000</v>
      </c>
      <c r="F3686">
        <v>6.4196</v>
      </c>
    </row>
    <row r="3687" spans="1:6" x14ac:dyDescent="0.25">
      <c r="A3687">
        <v>5530000</v>
      </c>
      <c r="B3687">
        <v>6.4457000000000004</v>
      </c>
      <c r="E3687">
        <v>5530000</v>
      </c>
      <c r="F3687">
        <v>6.4196999999999997</v>
      </c>
    </row>
    <row r="3688" spans="1:6" x14ac:dyDescent="0.25">
      <c r="A3688">
        <v>5540000</v>
      </c>
      <c r="B3688">
        <v>6.4458000000000002</v>
      </c>
      <c r="E3688">
        <v>5540000</v>
      </c>
      <c r="F3688">
        <v>6.4199000000000002</v>
      </c>
    </row>
    <row r="3689" spans="1:6" x14ac:dyDescent="0.25">
      <c r="A3689">
        <v>5550000</v>
      </c>
      <c r="B3689">
        <v>6.4459</v>
      </c>
      <c r="E3689">
        <v>5550000</v>
      </c>
      <c r="F3689">
        <v>6.42</v>
      </c>
    </row>
    <row r="3690" spans="1:6" x14ac:dyDescent="0.25">
      <c r="A3690">
        <v>5560000</v>
      </c>
      <c r="B3690">
        <v>6.4459999999999997</v>
      </c>
      <c r="E3690">
        <v>5560000</v>
      </c>
      <c r="F3690">
        <v>6.4202000000000004</v>
      </c>
    </row>
    <row r="3691" spans="1:6" x14ac:dyDescent="0.25">
      <c r="A3691">
        <v>5570000</v>
      </c>
      <c r="B3691">
        <v>6.4461000000000004</v>
      </c>
      <c r="E3691">
        <v>5570000</v>
      </c>
      <c r="F3691">
        <v>6.4203000000000001</v>
      </c>
    </row>
    <row r="3692" spans="1:6" x14ac:dyDescent="0.25">
      <c r="A3692">
        <v>5580000</v>
      </c>
      <c r="B3692">
        <v>6.4462000000000002</v>
      </c>
      <c r="E3692">
        <v>5580000</v>
      </c>
      <c r="F3692">
        <v>6.4203999999999999</v>
      </c>
    </row>
    <row r="3693" spans="1:6" x14ac:dyDescent="0.25">
      <c r="A3693">
        <v>5590000</v>
      </c>
      <c r="B3693">
        <v>6.4462999999999999</v>
      </c>
      <c r="E3693">
        <v>5590000</v>
      </c>
      <c r="F3693">
        <v>6.4206000000000003</v>
      </c>
    </row>
    <row r="3694" spans="1:6" x14ac:dyDescent="0.25">
      <c r="A3694">
        <v>5600000</v>
      </c>
      <c r="B3694">
        <v>6.4463999999999997</v>
      </c>
      <c r="E3694">
        <v>5600000</v>
      </c>
      <c r="F3694">
        <v>6.4207000000000001</v>
      </c>
    </row>
    <row r="3695" spans="1:6" x14ac:dyDescent="0.25">
      <c r="A3695">
        <v>5610000</v>
      </c>
      <c r="B3695">
        <v>6.4465000000000003</v>
      </c>
      <c r="E3695">
        <v>5610000</v>
      </c>
      <c r="F3695">
        <v>6.4208999999999996</v>
      </c>
    </row>
    <row r="3696" spans="1:6" x14ac:dyDescent="0.25">
      <c r="A3696">
        <v>5620000</v>
      </c>
      <c r="B3696">
        <v>6.4466000000000001</v>
      </c>
      <c r="E3696">
        <v>5620000</v>
      </c>
      <c r="F3696">
        <v>6.4210000000000003</v>
      </c>
    </row>
    <row r="3697" spans="1:6" x14ac:dyDescent="0.25">
      <c r="A3697">
        <v>5630000</v>
      </c>
      <c r="B3697">
        <v>6.4466999999999999</v>
      </c>
      <c r="E3697">
        <v>5630000</v>
      </c>
      <c r="F3697">
        <v>6.4211999999999998</v>
      </c>
    </row>
    <row r="3698" spans="1:6" x14ac:dyDescent="0.25">
      <c r="A3698">
        <v>5640000</v>
      </c>
      <c r="B3698">
        <v>6.4467999999999996</v>
      </c>
      <c r="E3698">
        <v>5640000</v>
      </c>
      <c r="F3698">
        <v>6.4212999999999996</v>
      </c>
    </row>
    <row r="3699" spans="1:6" x14ac:dyDescent="0.25">
      <c r="A3699">
        <v>5650000</v>
      </c>
      <c r="B3699">
        <v>6.4469000000000003</v>
      </c>
      <c r="E3699">
        <v>5650000</v>
      </c>
      <c r="F3699">
        <v>6.4214000000000002</v>
      </c>
    </row>
    <row r="3700" spans="1:6" x14ac:dyDescent="0.25">
      <c r="A3700">
        <v>5660000</v>
      </c>
      <c r="B3700">
        <v>6.4470000000000001</v>
      </c>
      <c r="E3700">
        <v>5660000</v>
      </c>
      <c r="F3700">
        <v>6.4215999999999998</v>
      </c>
    </row>
    <row r="3701" spans="1:6" x14ac:dyDescent="0.25">
      <c r="A3701">
        <v>5670000</v>
      </c>
      <c r="B3701">
        <v>6.4470999999999998</v>
      </c>
      <c r="E3701">
        <v>5670000</v>
      </c>
      <c r="F3701">
        <v>6.4217000000000004</v>
      </c>
    </row>
    <row r="3702" spans="1:6" x14ac:dyDescent="0.25">
      <c r="A3702">
        <v>5680000</v>
      </c>
      <c r="B3702">
        <v>6.4471999999999996</v>
      </c>
      <c r="E3702">
        <v>5680000</v>
      </c>
      <c r="F3702">
        <v>6.4218000000000002</v>
      </c>
    </row>
    <row r="3703" spans="1:6" x14ac:dyDescent="0.25">
      <c r="A3703">
        <v>5700000</v>
      </c>
      <c r="B3703">
        <v>6.4473000000000003</v>
      </c>
      <c r="E3703">
        <v>5690000</v>
      </c>
      <c r="F3703">
        <v>6.4219999999999997</v>
      </c>
    </row>
    <row r="3704" spans="1:6" x14ac:dyDescent="0.25">
      <c r="A3704">
        <v>5710000</v>
      </c>
      <c r="B3704">
        <v>6.4474</v>
      </c>
      <c r="E3704">
        <v>5700000</v>
      </c>
      <c r="F3704">
        <v>6.4221000000000004</v>
      </c>
    </row>
    <row r="3705" spans="1:6" x14ac:dyDescent="0.25">
      <c r="A3705">
        <v>5720000</v>
      </c>
      <c r="B3705">
        <v>6.4474999999999998</v>
      </c>
      <c r="E3705">
        <v>5710000</v>
      </c>
      <c r="F3705">
        <v>6.4222999999999999</v>
      </c>
    </row>
    <row r="3706" spans="1:6" x14ac:dyDescent="0.25">
      <c r="A3706">
        <v>5730000</v>
      </c>
      <c r="B3706">
        <v>6.4476000000000004</v>
      </c>
      <c r="E3706">
        <v>5720000</v>
      </c>
      <c r="F3706">
        <v>6.4223999999999997</v>
      </c>
    </row>
    <row r="3707" spans="1:6" x14ac:dyDescent="0.25">
      <c r="A3707">
        <v>5740000</v>
      </c>
      <c r="B3707">
        <v>6.4477000000000002</v>
      </c>
      <c r="E3707">
        <v>5730000</v>
      </c>
      <c r="F3707">
        <v>6.4225000000000003</v>
      </c>
    </row>
    <row r="3708" spans="1:6" x14ac:dyDescent="0.25">
      <c r="A3708">
        <v>5750000</v>
      </c>
      <c r="B3708">
        <v>6.4478</v>
      </c>
      <c r="E3708">
        <v>5740000</v>
      </c>
      <c r="F3708">
        <v>6.4226999999999999</v>
      </c>
    </row>
    <row r="3709" spans="1:6" x14ac:dyDescent="0.25">
      <c r="A3709">
        <v>5760000</v>
      </c>
      <c r="B3709">
        <v>6.4478999999999997</v>
      </c>
      <c r="E3709">
        <v>5750000</v>
      </c>
      <c r="F3709">
        <v>6.4227999999999996</v>
      </c>
    </row>
    <row r="3710" spans="1:6" x14ac:dyDescent="0.25">
      <c r="A3710">
        <v>5770000</v>
      </c>
      <c r="B3710">
        <v>6.4480000000000004</v>
      </c>
      <c r="E3710">
        <v>5760000</v>
      </c>
      <c r="F3710">
        <v>6.4229000000000003</v>
      </c>
    </row>
    <row r="3711" spans="1:6" x14ac:dyDescent="0.25">
      <c r="A3711">
        <v>5780000</v>
      </c>
      <c r="B3711">
        <v>6.4481000000000002</v>
      </c>
      <c r="E3711">
        <v>5770000</v>
      </c>
      <c r="F3711">
        <v>6.4230999999999998</v>
      </c>
    </row>
    <row r="3712" spans="1:6" x14ac:dyDescent="0.25">
      <c r="A3712">
        <v>5790000</v>
      </c>
      <c r="B3712">
        <v>6.4481999999999999</v>
      </c>
      <c r="E3712">
        <v>5780000</v>
      </c>
      <c r="F3712">
        <v>6.4231999999999996</v>
      </c>
    </row>
    <row r="3713" spans="1:6" x14ac:dyDescent="0.25">
      <c r="A3713">
        <v>5810000</v>
      </c>
      <c r="B3713">
        <v>6.4482999999999997</v>
      </c>
      <c r="E3713">
        <v>5790000</v>
      </c>
      <c r="F3713">
        <v>6.4233000000000002</v>
      </c>
    </row>
    <row r="3714" spans="1:6" x14ac:dyDescent="0.25">
      <c r="A3714">
        <v>5820000</v>
      </c>
      <c r="B3714">
        <v>6.4484000000000004</v>
      </c>
      <c r="E3714">
        <v>5800000</v>
      </c>
      <c r="F3714">
        <v>6.4234999999999998</v>
      </c>
    </row>
    <row r="3715" spans="1:6" x14ac:dyDescent="0.25">
      <c r="A3715">
        <v>5830000</v>
      </c>
      <c r="B3715">
        <v>6.4485000000000001</v>
      </c>
      <c r="E3715">
        <v>5810000</v>
      </c>
      <c r="F3715">
        <v>6.4236000000000004</v>
      </c>
    </row>
    <row r="3716" spans="1:6" x14ac:dyDescent="0.25">
      <c r="A3716">
        <v>5840000</v>
      </c>
      <c r="B3716">
        <v>6.4485999999999999</v>
      </c>
      <c r="E3716">
        <v>5820000</v>
      </c>
      <c r="F3716">
        <v>6.4237000000000002</v>
      </c>
    </row>
    <row r="3717" spans="1:6" x14ac:dyDescent="0.25">
      <c r="A3717">
        <v>5850000</v>
      </c>
      <c r="B3717">
        <v>6.4486999999999997</v>
      </c>
      <c r="E3717">
        <v>5830000</v>
      </c>
      <c r="F3717">
        <v>6.4238999999999997</v>
      </c>
    </row>
    <row r="3718" spans="1:6" x14ac:dyDescent="0.25">
      <c r="A3718">
        <v>5860000</v>
      </c>
      <c r="B3718">
        <v>6.4488000000000003</v>
      </c>
      <c r="E3718">
        <v>5840000</v>
      </c>
      <c r="F3718">
        <v>6.4240000000000004</v>
      </c>
    </row>
    <row r="3719" spans="1:6" x14ac:dyDescent="0.25">
      <c r="A3719">
        <v>5870000</v>
      </c>
      <c r="B3719">
        <v>6.4489000000000001</v>
      </c>
      <c r="E3719">
        <v>5850000</v>
      </c>
      <c r="F3719">
        <v>6.4241000000000001</v>
      </c>
    </row>
    <row r="3720" spans="1:6" x14ac:dyDescent="0.25">
      <c r="A3720">
        <v>5890000</v>
      </c>
      <c r="B3720">
        <v>6.4489999999999998</v>
      </c>
      <c r="E3720">
        <v>5860000</v>
      </c>
      <c r="F3720">
        <v>6.4241999999999999</v>
      </c>
    </row>
    <row r="3721" spans="1:6" x14ac:dyDescent="0.25">
      <c r="A3721">
        <v>5900000</v>
      </c>
      <c r="B3721">
        <v>6.4490999999999996</v>
      </c>
      <c r="E3721">
        <v>5870000</v>
      </c>
      <c r="F3721">
        <v>6.4244000000000003</v>
      </c>
    </row>
    <row r="3722" spans="1:6" x14ac:dyDescent="0.25">
      <c r="A3722">
        <v>5910000</v>
      </c>
      <c r="B3722">
        <v>6.4492000000000003</v>
      </c>
      <c r="E3722">
        <v>5880000</v>
      </c>
      <c r="F3722">
        <v>6.4245000000000001</v>
      </c>
    </row>
    <row r="3723" spans="1:6" x14ac:dyDescent="0.25">
      <c r="A3723">
        <v>5920000</v>
      </c>
      <c r="B3723">
        <v>6.4493</v>
      </c>
      <c r="E3723">
        <v>5890000</v>
      </c>
      <c r="F3723">
        <v>6.4245999999999999</v>
      </c>
    </row>
    <row r="3724" spans="1:6" x14ac:dyDescent="0.25">
      <c r="A3724">
        <v>5930000</v>
      </c>
      <c r="B3724">
        <v>6.4493999999999998</v>
      </c>
      <c r="E3724">
        <v>5900000</v>
      </c>
      <c r="F3724">
        <v>6.4248000000000003</v>
      </c>
    </row>
    <row r="3725" spans="1:6" x14ac:dyDescent="0.25">
      <c r="A3725">
        <v>5940000</v>
      </c>
      <c r="B3725">
        <v>6.4494999999999996</v>
      </c>
      <c r="E3725">
        <v>5910000</v>
      </c>
      <c r="F3725">
        <v>6.4249000000000001</v>
      </c>
    </row>
    <row r="3726" spans="1:6" x14ac:dyDescent="0.25">
      <c r="A3726">
        <v>5950000</v>
      </c>
      <c r="B3726">
        <v>6.4496000000000002</v>
      </c>
      <c r="E3726">
        <v>5920000</v>
      </c>
      <c r="F3726">
        <v>6.4249999999999998</v>
      </c>
    </row>
    <row r="3727" spans="1:6" x14ac:dyDescent="0.25">
      <c r="A3727">
        <v>5970000</v>
      </c>
      <c r="B3727">
        <v>6.4497</v>
      </c>
      <c r="E3727">
        <v>5930000</v>
      </c>
      <c r="F3727">
        <v>6.4250999999999996</v>
      </c>
    </row>
    <row r="3728" spans="1:6" x14ac:dyDescent="0.25">
      <c r="A3728">
        <v>5980000</v>
      </c>
      <c r="B3728">
        <v>6.4497999999999998</v>
      </c>
      <c r="E3728">
        <v>5940000</v>
      </c>
      <c r="F3728">
        <v>6.4253</v>
      </c>
    </row>
    <row r="3729" spans="1:6" x14ac:dyDescent="0.25">
      <c r="A3729">
        <v>5990000</v>
      </c>
      <c r="B3729">
        <v>6.4499000000000004</v>
      </c>
      <c r="E3729">
        <v>5950000</v>
      </c>
      <c r="F3729">
        <v>6.4253999999999998</v>
      </c>
    </row>
    <row r="3730" spans="1:6" x14ac:dyDescent="0.25">
      <c r="A3730">
        <v>6000000</v>
      </c>
      <c r="B3730">
        <v>6.45</v>
      </c>
      <c r="E3730">
        <v>5960000</v>
      </c>
      <c r="F3730">
        <v>6.4255000000000004</v>
      </c>
    </row>
    <row r="3731" spans="1:6" x14ac:dyDescent="0.25">
      <c r="A3731">
        <v>6010000</v>
      </c>
      <c r="B3731">
        <v>6.4500999999999999</v>
      </c>
      <c r="E3731">
        <v>5970000</v>
      </c>
      <c r="F3731">
        <v>6.4256000000000002</v>
      </c>
    </row>
    <row r="3732" spans="1:6" x14ac:dyDescent="0.25">
      <c r="A3732">
        <v>6030000</v>
      </c>
      <c r="B3732">
        <v>6.4501999999999997</v>
      </c>
      <c r="E3732">
        <v>5980000</v>
      </c>
      <c r="F3732">
        <v>6.4257999999999997</v>
      </c>
    </row>
    <row r="3733" spans="1:6" x14ac:dyDescent="0.25">
      <c r="A3733">
        <v>6040000</v>
      </c>
      <c r="B3733">
        <v>6.4503000000000004</v>
      </c>
      <c r="E3733">
        <v>5990000</v>
      </c>
      <c r="F3733">
        <v>6.4259000000000004</v>
      </c>
    </row>
    <row r="3734" spans="1:6" x14ac:dyDescent="0.25">
      <c r="A3734">
        <v>6050000</v>
      </c>
      <c r="B3734">
        <v>6.4504000000000001</v>
      </c>
      <c r="E3734">
        <v>6000000</v>
      </c>
      <c r="F3734">
        <v>6.4260000000000002</v>
      </c>
    </row>
    <row r="3735" spans="1:6" x14ac:dyDescent="0.25">
      <c r="A3735">
        <v>6060000</v>
      </c>
      <c r="B3735">
        <v>6.4504999999999999</v>
      </c>
      <c r="E3735">
        <v>6010000</v>
      </c>
      <c r="F3735">
        <v>6.4260999999999999</v>
      </c>
    </row>
    <row r="3736" spans="1:6" x14ac:dyDescent="0.25">
      <c r="A3736">
        <v>6080000</v>
      </c>
      <c r="B3736">
        <v>6.4505999999999997</v>
      </c>
      <c r="E3736">
        <v>6020000</v>
      </c>
      <c r="F3736">
        <v>6.4263000000000003</v>
      </c>
    </row>
    <row r="3737" spans="1:6" x14ac:dyDescent="0.25">
      <c r="A3737">
        <v>6090000</v>
      </c>
      <c r="B3737">
        <v>6.4507000000000003</v>
      </c>
      <c r="E3737">
        <v>6030000</v>
      </c>
      <c r="F3737">
        <v>6.4264000000000001</v>
      </c>
    </row>
    <row r="3738" spans="1:6" x14ac:dyDescent="0.25">
      <c r="A3738">
        <v>6100000</v>
      </c>
      <c r="B3738">
        <v>6.4508000000000001</v>
      </c>
      <c r="E3738">
        <v>6040000</v>
      </c>
      <c r="F3738">
        <v>6.4264999999999999</v>
      </c>
    </row>
    <row r="3739" spans="1:6" x14ac:dyDescent="0.25">
      <c r="A3739">
        <v>6110000</v>
      </c>
      <c r="B3739">
        <v>6.4508999999999999</v>
      </c>
      <c r="E3739">
        <v>6050000</v>
      </c>
      <c r="F3739">
        <v>6.4265999999999996</v>
      </c>
    </row>
    <row r="3740" spans="1:6" x14ac:dyDescent="0.25">
      <c r="A3740">
        <v>6120000</v>
      </c>
      <c r="B3740">
        <v>6.4509999999999996</v>
      </c>
      <c r="E3740">
        <v>6060000</v>
      </c>
      <c r="F3740">
        <v>6.4267000000000003</v>
      </c>
    </row>
    <row r="3741" spans="1:6" x14ac:dyDescent="0.25">
      <c r="A3741">
        <v>6140000</v>
      </c>
      <c r="B3741">
        <v>6.4511000000000003</v>
      </c>
      <c r="E3741">
        <v>6070000</v>
      </c>
      <c r="F3741">
        <v>6.4268999999999998</v>
      </c>
    </row>
    <row r="3742" spans="1:6" x14ac:dyDescent="0.25">
      <c r="A3742">
        <v>6150000</v>
      </c>
      <c r="B3742">
        <v>6.4512</v>
      </c>
      <c r="E3742">
        <v>6080000</v>
      </c>
      <c r="F3742">
        <v>6.4269999999999996</v>
      </c>
    </row>
    <row r="3743" spans="1:6" x14ac:dyDescent="0.25">
      <c r="A3743">
        <v>6160000</v>
      </c>
      <c r="B3743">
        <v>6.4512999999999998</v>
      </c>
      <c r="E3743">
        <v>6090000</v>
      </c>
      <c r="F3743">
        <v>6.4271000000000003</v>
      </c>
    </row>
    <row r="3744" spans="1:6" x14ac:dyDescent="0.25">
      <c r="A3744">
        <v>6180000</v>
      </c>
      <c r="B3744">
        <v>6.4513999999999996</v>
      </c>
      <c r="E3744">
        <v>6100000</v>
      </c>
      <c r="F3744">
        <v>6.4272</v>
      </c>
    </row>
    <row r="3745" spans="1:6" x14ac:dyDescent="0.25">
      <c r="A3745">
        <v>6190000</v>
      </c>
      <c r="B3745">
        <v>6.4515000000000002</v>
      </c>
      <c r="E3745">
        <v>6110000</v>
      </c>
      <c r="F3745">
        <v>6.4272999999999998</v>
      </c>
    </row>
    <row r="3746" spans="1:6" x14ac:dyDescent="0.25">
      <c r="A3746">
        <v>6200000</v>
      </c>
      <c r="B3746">
        <v>6.4516</v>
      </c>
      <c r="E3746">
        <v>6120000</v>
      </c>
      <c r="F3746">
        <v>6.4275000000000002</v>
      </c>
    </row>
    <row r="3747" spans="1:6" x14ac:dyDescent="0.25">
      <c r="A3747">
        <v>6210000</v>
      </c>
      <c r="B3747">
        <v>6.4516999999999998</v>
      </c>
      <c r="E3747">
        <v>6130000</v>
      </c>
      <c r="F3747">
        <v>6.4276</v>
      </c>
    </row>
    <row r="3748" spans="1:6" x14ac:dyDescent="0.25">
      <c r="A3748">
        <v>6230000</v>
      </c>
      <c r="B3748">
        <v>6.4518000000000004</v>
      </c>
      <c r="E3748">
        <v>6140000</v>
      </c>
      <c r="F3748">
        <v>6.4276999999999997</v>
      </c>
    </row>
    <row r="3749" spans="1:6" x14ac:dyDescent="0.25">
      <c r="A3749">
        <v>6240000</v>
      </c>
      <c r="B3749">
        <v>6.4519000000000002</v>
      </c>
      <c r="E3749">
        <v>6150000</v>
      </c>
      <c r="F3749">
        <v>6.4278000000000004</v>
      </c>
    </row>
    <row r="3750" spans="1:6" x14ac:dyDescent="0.25">
      <c r="A3750">
        <v>6250000</v>
      </c>
      <c r="B3750">
        <v>6.452</v>
      </c>
      <c r="E3750">
        <v>6160000</v>
      </c>
      <c r="F3750">
        <v>6.4279000000000002</v>
      </c>
    </row>
    <row r="3751" spans="1:6" x14ac:dyDescent="0.25">
      <c r="A3751">
        <v>6270000</v>
      </c>
      <c r="B3751">
        <v>6.4520999999999997</v>
      </c>
      <c r="E3751">
        <v>6170000</v>
      </c>
      <c r="F3751">
        <v>6.4280999999999997</v>
      </c>
    </row>
    <row r="3752" spans="1:6" x14ac:dyDescent="0.25">
      <c r="A3752">
        <v>6280000</v>
      </c>
      <c r="B3752">
        <v>6.4522000000000004</v>
      </c>
      <c r="E3752">
        <v>6180000</v>
      </c>
      <c r="F3752">
        <v>6.4282000000000004</v>
      </c>
    </row>
    <row r="3753" spans="1:6" x14ac:dyDescent="0.25">
      <c r="A3753">
        <v>6290000</v>
      </c>
      <c r="B3753">
        <v>6.4523000000000001</v>
      </c>
      <c r="E3753">
        <v>6190000</v>
      </c>
      <c r="F3753">
        <v>6.4283000000000001</v>
      </c>
    </row>
    <row r="3754" spans="1:6" x14ac:dyDescent="0.25">
      <c r="A3754">
        <v>6300000</v>
      </c>
      <c r="B3754">
        <v>6.4523999999999999</v>
      </c>
      <c r="E3754">
        <v>6200000</v>
      </c>
      <c r="F3754">
        <v>6.4283999999999999</v>
      </c>
    </row>
    <row r="3755" spans="1:6" x14ac:dyDescent="0.25">
      <c r="A3755">
        <v>6320000</v>
      </c>
      <c r="B3755">
        <v>6.4524999999999997</v>
      </c>
      <c r="E3755">
        <v>6210000</v>
      </c>
      <c r="F3755">
        <v>6.4284999999999997</v>
      </c>
    </row>
    <row r="3756" spans="1:6" x14ac:dyDescent="0.25">
      <c r="A3756">
        <v>6330000</v>
      </c>
      <c r="B3756">
        <v>6.4526000000000003</v>
      </c>
      <c r="E3756">
        <v>6220000</v>
      </c>
      <c r="F3756">
        <v>6.4286000000000003</v>
      </c>
    </row>
    <row r="3757" spans="1:6" x14ac:dyDescent="0.25">
      <c r="A3757">
        <v>6340000</v>
      </c>
      <c r="B3757">
        <v>6.4527000000000001</v>
      </c>
      <c r="E3757">
        <v>6230000</v>
      </c>
      <c r="F3757">
        <v>6.4287000000000001</v>
      </c>
    </row>
    <row r="3758" spans="1:6" x14ac:dyDescent="0.25">
      <c r="A3758">
        <v>6360000</v>
      </c>
      <c r="B3758">
        <v>6.4527999999999999</v>
      </c>
      <c r="E3758">
        <v>6240000</v>
      </c>
      <c r="F3758">
        <v>6.4288999999999996</v>
      </c>
    </row>
    <row r="3759" spans="1:6" x14ac:dyDescent="0.25">
      <c r="A3759">
        <v>6370000</v>
      </c>
      <c r="B3759">
        <v>6.4528999999999996</v>
      </c>
      <c r="E3759">
        <v>6250000</v>
      </c>
      <c r="F3759">
        <v>6.4290000000000003</v>
      </c>
    </row>
    <row r="3760" spans="1:6" x14ac:dyDescent="0.25">
      <c r="A3760">
        <v>6380000</v>
      </c>
      <c r="B3760">
        <v>6.4530000000000003</v>
      </c>
      <c r="E3760">
        <v>6260000</v>
      </c>
      <c r="F3760">
        <v>6.4291</v>
      </c>
    </row>
    <row r="3761" spans="1:6" x14ac:dyDescent="0.25">
      <c r="A3761">
        <v>6400000</v>
      </c>
      <c r="B3761">
        <v>6.4531000000000001</v>
      </c>
      <c r="E3761">
        <v>6270000</v>
      </c>
      <c r="F3761">
        <v>6.4291999999999998</v>
      </c>
    </row>
    <row r="3762" spans="1:6" x14ac:dyDescent="0.25">
      <c r="A3762">
        <v>6410000</v>
      </c>
      <c r="B3762">
        <v>6.4531999999999998</v>
      </c>
      <c r="E3762">
        <v>6280000</v>
      </c>
      <c r="F3762">
        <v>6.4292999999999996</v>
      </c>
    </row>
    <row r="3763" spans="1:6" x14ac:dyDescent="0.25">
      <c r="A3763">
        <v>6430000</v>
      </c>
      <c r="B3763">
        <v>6.4532999999999996</v>
      </c>
      <c r="E3763">
        <v>6290000</v>
      </c>
      <c r="F3763">
        <v>6.4294000000000002</v>
      </c>
    </row>
    <row r="3764" spans="1:6" x14ac:dyDescent="0.25">
      <c r="A3764">
        <v>6440000</v>
      </c>
      <c r="B3764">
        <v>6.4534000000000002</v>
      </c>
      <c r="E3764">
        <v>6300000</v>
      </c>
      <c r="F3764">
        <v>6.4295</v>
      </c>
    </row>
    <row r="3765" spans="1:6" x14ac:dyDescent="0.25">
      <c r="A3765">
        <v>6450000</v>
      </c>
      <c r="B3765">
        <v>6.4535</v>
      </c>
      <c r="E3765">
        <v>6310000</v>
      </c>
      <c r="F3765">
        <v>6.4297000000000004</v>
      </c>
    </row>
    <row r="3766" spans="1:6" x14ac:dyDescent="0.25">
      <c r="A3766">
        <v>6470000</v>
      </c>
      <c r="B3766">
        <v>6.4535999999999998</v>
      </c>
      <c r="E3766">
        <v>6320000</v>
      </c>
      <c r="F3766">
        <v>6.4298000000000002</v>
      </c>
    </row>
    <row r="3767" spans="1:6" x14ac:dyDescent="0.25">
      <c r="A3767">
        <v>6480000</v>
      </c>
      <c r="B3767">
        <v>6.4537000000000004</v>
      </c>
      <c r="E3767">
        <v>6330000</v>
      </c>
      <c r="F3767">
        <v>6.4298999999999999</v>
      </c>
    </row>
    <row r="3768" spans="1:6" x14ac:dyDescent="0.25">
      <c r="A3768">
        <v>6500000</v>
      </c>
      <c r="B3768">
        <v>6.4538000000000002</v>
      </c>
      <c r="E3768">
        <v>6340000</v>
      </c>
      <c r="F3768">
        <v>6.43</v>
      </c>
    </row>
    <row r="3769" spans="1:6" x14ac:dyDescent="0.25">
      <c r="A3769">
        <v>6510000</v>
      </c>
      <c r="B3769">
        <v>6.4539</v>
      </c>
      <c r="E3769">
        <v>6350000</v>
      </c>
      <c r="F3769">
        <v>6.4301000000000004</v>
      </c>
    </row>
    <row r="3770" spans="1:6" x14ac:dyDescent="0.25">
      <c r="A3770">
        <v>6520000</v>
      </c>
      <c r="B3770">
        <v>6.4539999999999997</v>
      </c>
      <c r="E3770">
        <v>6360000</v>
      </c>
      <c r="F3770">
        <v>6.4302000000000001</v>
      </c>
    </row>
    <row r="3771" spans="1:6" x14ac:dyDescent="0.25">
      <c r="A3771">
        <v>6540000</v>
      </c>
      <c r="B3771">
        <v>6.4541000000000004</v>
      </c>
      <c r="E3771">
        <v>6370000</v>
      </c>
      <c r="F3771">
        <v>6.4302999999999999</v>
      </c>
    </row>
    <row r="3772" spans="1:6" x14ac:dyDescent="0.25">
      <c r="A3772">
        <v>6550000</v>
      </c>
      <c r="B3772">
        <v>6.4542000000000002</v>
      </c>
      <c r="E3772">
        <v>6380000</v>
      </c>
      <c r="F3772">
        <v>6.4303999999999997</v>
      </c>
    </row>
    <row r="3773" spans="1:6" x14ac:dyDescent="0.25">
      <c r="A3773">
        <v>6570000</v>
      </c>
      <c r="B3773">
        <v>6.4542999999999999</v>
      </c>
      <c r="E3773">
        <v>6390000</v>
      </c>
      <c r="F3773">
        <v>6.4305000000000003</v>
      </c>
    </row>
    <row r="3774" spans="1:6" x14ac:dyDescent="0.25">
      <c r="A3774">
        <v>6580000</v>
      </c>
      <c r="B3774">
        <v>6.4543999999999997</v>
      </c>
      <c r="E3774">
        <v>6400000</v>
      </c>
      <c r="F3774">
        <v>6.4306000000000001</v>
      </c>
    </row>
    <row r="3775" spans="1:6" x14ac:dyDescent="0.25">
      <c r="A3775">
        <v>6600000</v>
      </c>
      <c r="B3775">
        <v>6.4545000000000003</v>
      </c>
      <c r="E3775">
        <v>6410000</v>
      </c>
      <c r="F3775">
        <v>6.4306999999999999</v>
      </c>
    </row>
    <row r="3776" spans="1:6" x14ac:dyDescent="0.25">
      <c r="A3776">
        <v>6610000</v>
      </c>
      <c r="B3776">
        <v>6.4546000000000001</v>
      </c>
      <c r="E3776">
        <v>6420000</v>
      </c>
      <c r="F3776">
        <v>6.4309000000000003</v>
      </c>
    </row>
    <row r="3777" spans="1:6" x14ac:dyDescent="0.25">
      <c r="A3777">
        <v>6620000</v>
      </c>
      <c r="B3777">
        <v>6.4546999999999999</v>
      </c>
      <c r="E3777">
        <v>6430000</v>
      </c>
      <c r="F3777">
        <v>6.431</v>
      </c>
    </row>
    <row r="3778" spans="1:6" x14ac:dyDescent="0.25">
      <c r="A3778">
        <v>6640000</v>
      </c>
      <c r="B3778">
        <v>6.4547999999999996</v>
      </c>
      <c r="E3778">
        <v>6440000</v>
      </c>
      <c r="F3778">
        <v>6.4310999999999998</v>
      </c>
    </row>
    <row r="3779" spans="1:6" x14ac:dyDescent="0.25">
      <c r="A3779">
        <v>6650000</v>
      </c>
      <c r="B3779">
        <v>6.4549000000000003</v>
      </c>
      <c r="E3779">
        <v>6450000</v>
      </c>
      <c r="F3779">
        <v>6.4311999999999996</v>
      </c>
    </row>
    <row r="3780" spans="1:6" x14ac:dyDescent="0.25">
      <c r="A3780">
        <v>6670000</v>
      </c>
      <c r="B3780">
        <v>6.4550000000000001</v>
      </c>
      <c r="E3780">
        <v>6460000</v>
      </c>
      <c r="F3780">
        <v>6.4313000000000002</v>
      </c>
    </row>
    <row r="3781" spans="1:6" x14ac:dyDescent="0.25">
      <c r="A3781">
        <v>6680000</v>
      </c>
      <c r="B3781">
        <v>6.4550999999999998</v>
      </c>
      <c r="E3781">
        <v>6470000</v>
      </c>
      <c r="F3781">
        <v>6.4314</v>
      </c>
    </row>
    <row r="3782" spans="1:6" x14ac:dyDescent="0.25">
      <c r="A3782">
        <v>6700000</v>
      </c>
      <c r="B3782">
        <v>6.4551999999999996</v>
      </c>
      <c r="E3782">
        <v>6480000</v>
      </c>
      <c r="F3782">
        <v>6.4314999999999998</v>
      </c>
    </row>
    <row r="3783" spans="1:6" x14ac:dyDescent="0.25">
      <c r="A3783">
        <v>6710000</v>
      </c>
      <c r="B3783">
        <v>6.4553000000000003</v>
      </c>
      <c r="E3783">
        <v>6490000</v>
      </c>
      <c r="F3783">
        <v>6.4316000000000004</v>
      </c>
    </row>
    <row r="3784" spans="1:6" x14ac:dyDescent="0.25">
      <c r="A3784">
        <v>6730000</v>
      </c>
      <c r="B3784">
        <v>6.4554</v>
      </c>
      <c r="E3784">
        <v>6500000</v>
      </c>
      <c r="F3784">
        <v>6.4317000000000002</v>
      </c>
    </row>
    <row r="3785" spans="1:6" x14ac:dyDescent="0.25">
      <c r="A3785">
        <v>6740000</v>
      </c>
      <c r="B3785">
        <v>6.4554999999999998</v>
      </c>
      <c r="E3785">
        <v>6510000</v>
      </c>
      <c r="F3785">
        <v>6.4318</v>
      </c>
    </row>
    <row r="3786" spans="1:6" x14ac:dyDescent="0.25">
      <c r="A3786">
        <v>6760000</v>
      </c>
      <c r="B3786">
        <v>6.4555999999999996</v>
      </c>
      <c r="E3786">
        <v>6520000</v>
      </c>
      <c r="F3786">
        <v>6.4318999999999997</v>
      </c>
    </row>
    <row r="3787" spans="1:6" x14ac:dyDescent="0.25">
      <c r="A3787">
        <v>6770000</v>
      </c>
      <c r="B3787">
        <v>6.4557000000000002</v>
      </c>
      <c r="E3787">
        <v>6530000</v>
      </c>
      <c r="F3787">
        <v>6.4320000000000004</v>
      </c>
    </row>
    <row r="3788" spans="1:6" x14ac:dyDescent="0.25">
      <c r="A3788">
        <v>6790000</v>
      </c>
      <c r="B3788">
        <v>6.4558</v>
      </c>
      <c r="E3788">
        <v>6540000</v>
      </c>
      <c r="F3788">
        <v>6.4321000000000002</v>
      </c>
    </row>
    <row r="3789" spans="1:6" x14ac:dyDescent="0.25">
      <c r="A3789">
        <v>6800000</v>
      </c>
      <c r="B3789">
        <v>6.4558999999999997</v>
      </c>
      <c r="E3789">
        <v>6550000</v>
      </c>
      <c r="F3789">
        <v>6.4321999999999999</v>
      </c>
    </row>
    <row r="3790" spans="1:6" x14ac:dyDescent="0.25">
      <c r="A3790">
        <v>6820000</v>
      </c>
      <c r="B3790">
        <v>6.4560000000000004</v>
      </c>
      <c r="E3790">
        <v>6560000</v>
      </c>
      <c r="F3790">
        <v>6.4322999999999997</v>
      </c>
    </row>
    <row r="3791" spans="1:6" x14ac:dyDescent="0.25">
      <c r="A3791">
        <v>6830000</v>
      </c>
      <c r="B3791">
        <v>6.4561000000000002</v>
      </c>
      <c r="E3791">
        <v>6570000</v>
      </c>
      <c r="F3791">
        <v>6.4324000000000003</v>
      </c>
    </row>
    <row r="3792" spans="1:6" x14ac:dyDescent="0.25">
      <c r="A3792">
        <v>6850000</v>
      </c>
      <c r="B3792">
        <v>6.4561999999999999</v>
      </c>
      <c r="E3792">
        <v>6580000</v>
      </c>
      <c r="F3792">
        <v>6.4325000000000001</v>
      </c>
    </row>
    <row r="3793" spans="1:6" x14ac:dyDescent="0.25">
      <c r="A3793">
        <v>6870000</v>
      </c>
      <c r="B3793">
        <v>6.4562999999999997</v>
      </c>
      <c r="E3793">
        <v>6590000</v>
      </c>
      <c r="F3793">
        <v>6.4325999999999999</v>
      </c>
    </row>
    <row r="3794" spans="1:6" x14ac:dyDescent="0.25">
      <c r="A3794">
        <v>6880000</v>
      </c>
      <c r="B3794">
        <v>6.4564000000000004</v>
      </c>
      <c r="E3794">
        <v>6600000</v>
      </c>
      <c r="F3794">
        <v>6.4326999999999996</v>
      </c>
    </row>
    <row r="3795" spans="1:6" x14ac:dyDescent="0.25">
      <c r="A3795">
        <v>6900000</v>
      </c>
      <c r="B3795">
        <v>6.4565000000000001</v>
      </c>
      <c r="E3795">
        <v>6610000</v>
      </c>
      <c r="F3795">
        <v>6.4328000000000003</v>
      </c>
    </row>
    <row r="3796" spans="1:6" x14ac:dyDescent="0.25">
      <c r="A3796">
        <v>6910000</v>
      </c>
      <c r="B3796">
        <v>6.4565999999999999</v>
      </c>
      <c r="E3796">
        <v>6620000</v>
      </c>
      <c r="F3796">
        <v>6.4329000000000001</v>
      </c>
    </row>
    <row r="3797" spans="1:6" x14ac:dyDescent="0.25">
      <c r="A3797">
        <v>6930000</v>
      </c>
      <c r="B3797">
        <v>6.4566999999999997</v>
      </c>
      <c r="E3797">
        <v>6630000</v>
      </c>
      <c r="F3797">
        <v>6.4329999999999998</v>
      </c>
    </row>
    <row r="3798" spans="1:6" x14ac:dyDescent="0.25">
      <c r="A3798">
        <v>6950000</v>
      </c>
      <c r="B3798">
        <v>6.4568000000000003</v>
      </c>
      <c r="E3798">
        <v>6640000</v>
      </c>
      <c r="F3798">
        <v>6.4330999999999996</v>
      </c>
    </row>
    <row r="3799" spans="1:6" x14ac:dyDescent="0.25">
      <c r="A3799">
        <v>6960000</v>
      </c>
      <c r="B3799">
        <v>6.4569000000000001</v>
      </c>
      <c r="E3799">
        <v>6650000</v>
      </c>
      <c r="F3799">
        <v>6.4332000000000003</v>
      </c>
    </row>
    <row r="3800" spans="1:6" x14ac:dyDescent="0.25">
      <c r="A3800">
        <v>6980000</v>
      </c>
      <c r="B3800">
        <v>6.4569999999999999</v>
      </c>
      <c r="E3800">
        <v>6660000</v>
      </c>
      <c r="F3800">
        <v>6.4333</v>
      </c>
    </row>
    <row r="3801" spans="1:6" x14ac:dyDescent="0.25">
      <c r="A3801">
        <v>6990000</v>
      </c>
      <c r="B3801">
        <v>6.4570999999999996</v>
      </c>
      <c r="E3801">
        <v>6670000</v>
      </c>
      <c r="F3801">
        <v>6.4333999999999998</v>
      </c>
    </row>
    <row r="3802" spans="1:6" x14ac:dyDescent="0.25">
      <c r="A3802">
        <v>7010000</v>
      </c>
      <c r="B3802">
        <v>6.4572000000000003</v>
      </c>
      <c r="E3802">
        <v>6680000</v>
      </c>
      <c r="F3802">
        <v>6.4335000000000004</v>
      </c>
    </row>
    <row r="3803" spans="1:6" x14ac:dyDescent="0.25">
      <c r="A3803">
        <v>7030000</v>
      </c>
      <c r="B3803">
        <v>6.4573</v>
      </c>
      <c r="E3803">
        <v>6690000</v>
      </c>
      <c r="F3803">
        <v>6.4336000000000002</v>
      </c>
    </row>
    <row r="3804" spans="1:6" x14ac:dyDescent="0.25">
      <c r="A3804">
        <v>7040000</v>
      </c>
      <c r="B3804">
        <v>6.4573999999999998</v>
      </c>
      <c r="E3804">
        <v>6700000</v>
      </c>
      <c r="F3804">
        <v>6.4337</v>
      </c>
    </row>
    <row r="3805" spans="1:6" x14ac:dyDescent="0.25">
      <c r="A3805">
        <v>7060000</v>
      </c>
      <c r="B3805">
        <v>6.4574999999999996</v>
      </c>
      <c r="E3805">
        <v>6710000</v>
      </c>
      <c r="F3805">
        <v>6.4337999999999997</v>
      </c>
    </row>
    <row r="3806" spans="1:6" x14ac:dyDescent="0.25">
      <c r="A3806">
        <v>7080000</v>
      </c>
      <c r="B3806">
        <v>6.4576000000000002</v>
      </c>
      <c r="E3806">
        <v>6720000</v>
      </c>
      <c r="F3806">
        <v>6.4339000000000004</v>
      </c>
    </row>
    <row r="3807" spans="1:6" x14ac:dyDescent="0.25">
      <c r="A3807">
        <v>7090000</v>
      </c>
      <c r="B3807">
        <v>6.4577</v>
      </c>
      <c r="E3807">
        <v>6730000</v>
      </c>
      <c r="F3807">
        <v>6.4340000000000002</v>
      </c>
    </row>
    <row r="3808" spans="1:6" x14ac:dyDescent="0.25">
      <c r="A3808">
        <v>7110000</v>
      </c>
      <c r="B3808">
        <v>6.4577999999999998</v>
      </c>
      <c r="E3808">
        <v>6740000</v>
      </c>
      <c r="F3808">
        <v>6.4340999999999999</v>
      </c>
    </row>
    <row r="3809" spans="1:6" x14ac:dyDescent="0.25">
      <c r="A3809">
        <v>7130000</v>
      </c>
      <c r="B3809">
        <v>6.4579000000000004</v>
      </c>
      <c r="E3809">
        <v>6750000</v>
      </c>
      <c r="F3809">
        <v>6.4341999999999997</v>
      </c>
    </row>
    <row r="3810" spans="1:6" x14ac:dyDescent="0.25">
      <c r="A3810">
        <v>7140000</v>
      </c>
      <c r="B3810">
        <v>6.4580000000000002</v>
      </c>
      <c r="E3810">
        <v>6760000</v>
      </c>
      <c r="F3810">
        <v>6.4343000000000004</v>
      </c>
    </row>
    <row r="3811" spans="1:6" x14ac:dyDescent="0.25">
      <c r="A3811">
        <v>7160000</v>
      </c>
      <c r="B3811">
        <v>6.4581</v>
      </c>
      <c r="E3811">
        <v>6770000</v>
      </c>
      <c r="F3811">
        <v>6.4344000000000001</v>
      </c>
    </row>
    <row r="3812" spans="1:6" x14ac:dyDescent="0.25">
      <c r="A3812">
        <v>7180000</v>
      </c>
      <c r="B3812">
        <v>6.4581999999999997</v>
      </c>
      <c r="E3812">
        <v>6780000</v>
      </c>
      <c r="F3812">
        <v>6.4344999999999999</v>
      </c>
    </row>
    <row r="3813" spans="1:6" x14ac:dyDescent="0.25">
      <c r="A3813">
        <v>7190000</v>
      </c>
      <c r="B3813">
        <v>6.4583000000000004</v>
      </c>
      <c r="E3813">
        <v>6790000</v>
      </c>
      <c r="F3813">
        <v>6.4345999999999997</v>
      </c>
    </row>
    <row r="3814" spans="1:6" x14ac:dyDescent="0.25">
      <c r="A3814">
        <v>7210000</v>
      </c>
      <c r="B3814">
        <v>6.4584000000000001</v>
      </c>
      <c r="E3814">
        <v>6800000</v>
      </c>
      <c r="F3814">
        <v>6.4347000000000003</v>
      </c>
    </row>
    <row r="3815" spans="1:6" x14ac:dyDescent="0.25">
      <c r="A3815">
        <v>7230000</v>
      </c>
      <c r="B3815">
        <v>6.4584999999999999</v>
      </c>
      <c r="E3815">
        <v>6810000</v>
      </c>
      <c r="F3815">
        <v>6.4348000000000001</v>
      </c>
    </row>
    <row r="3816" spans="1:6" x14ac:dyDescent="0.25">
      <c r="A3816">
        <v>7250000</v>
      </c>
      <c r="B3816">
        <v>6.4585999999999997</v>
      </c>
      <c r="E3816">
        <v>6820000</v>
      </c>
      <c r="F3816">
        <v>6.4348999999999998</v>
      </c>
    </row>
    <row r="3817" spans="1:6" x14ac:dyDescent="0.25">
      <c r="A3817">
        <v>7260000</v>
      </c>
      <c r="B3817">
        <v>6.4587000000000003</v>
      </c>
      <c r="E3817">
        <v>6830000</v>
      </c>
      <c r="F3817">
        <v>6.4349999999999996</v>
      </c>
    </row>
    <row r="3818" spans="1:6" x14ac:dyDescent="0.25">
      <c r="A3818">
        <v>7280000</v>
      </c>
      <c r="B3818">
        <v>6.4588000000000001</v>
      </c>
      <c r="E3818">
        <v>6840000</v>
      </c>
      <c r="F3818">
        <v>6.4351000000000003</v>
      </c>
    </row>
    <row r="3819" spans="1:6" x14ac:dyDescent="0.25">
      <c r="A3819">
        <v>7300000</v>
      </c>
      <c r="B3819">
        <v>6.4588999999999999</v>
      </c>
      <c r="E3819">
        <v>6850000</v>
      </c>
      <c r="F3819">
        <v>6.4352</v>
      </c>
    </row>
    <row r="3820" spans="1:6" x14ac:dyDescent="0.25">
      <c r="A3820">
        <v>7320000</v>
      </c>
      <c r="B3820">
        <v>6.4589999999999996</v>
      </c>
      <c r="E3820">
        <v>6860000</v>
      </c>
      <c r="F3820">
        <v>6.4352999999999998</v>
      </c>
    </row>
    <row r="3821" spans="1:6" x14ac:dyDescent="0.25">
      <c r="A3821">
        <v>7340000</v>
      </c>
      <c r="B3821">
        <v>6.4591000000000003</v>
      </c>
      <c r="E3821">
        <v>6870000</v>
      </c>
      <c r="F3821">
        <v>6.4353999999999996</v>
      </c>
    </row>
    <row r="3822" spans="1:6" x14ac:dyDescent="0.25">
      <c r="A3822">
        <v>7350000</v>
      </c>
      <c r="B3822">
        <v>6.4592000000000001</v>
      </c>
      <c r="E3822">
        <v>6880000</v>
      </c>
      <c r="F3822">
        <v>6.4355000000000002</v>
      </c>
    </row>
    <row r="3823" spans="1:6" x14ac:dyDescent="0.25">
      <c r="A3823">
        <v>7370000</v>
      </c>
      <c r="B3823">
        <v>6.4592999999999998</v>
      </c>
      <c r="E3823">
        <v>6890000</v>
      </c>
      <c r="F3823">
        <v>6.4356</v>
      </c>
    </row>
    <row r="3824" spans="1:6" x14ac:dyDescent="0.25">
      <c r="A3824">
        <v>7390000</v>
      </c>
      <c r="B3824">
        <v>6.4593999999999996</v>
      </c>
      <c r="E3824">
        <v>6900000</v>
      </c>
      <c r="F3824">
        <v>6.4356999999999998</v>
      </c>
    </row>
    <row r="3825" spans="1:6" x14ac:dyDescent="0.25">
      <c r="A3825">
        <v>7410000</v>
      </c>
      <c r="B3825">
        <v>6.4595000000000002</v>
      </c>
      <c r="E3825">
        <v>6910000</v>
      </c>
      <c r="F3825">
        <v>6.4358000000000004</v>
      </c>
    </row>
    <row r="3826" spans="1:6" x14ac:dyDescent="0.25">
      <c r="A3826">
        <v>7430000</v>
      </c>
      <c r="B3826">
        <v>6.4596</v>
      </c>
      <c r="E3826">
        <v>6920000</v>
      </c>
      <c r="F3826">
        <v>6.4359000000000002</v>
      </c>
    </row>
    <row r="3827" spans="1:6" x14ac:dyDescent="0.25">
      <c r="A3827">
        <v>7440000</v>
      </c>
      <c r="B3827">
        <v>6.4596999999999998</v>
      </c>
      <c r="E3827">
        <v>6940000</v>
      </c>
      <c r="F3827">
        <v>6.4359999999999999</v>
      </c>
    </row>
    <row r="3828" spans="1:6" x14ac:dyDescent="0.25">
      <c r="A3828">
        <v>7460000</v>
      </c>
      <c r="B3828">
        <v>6.4598000000000004</v>
      </c>
      <c r="E3828">
        <v>6950000</v>
      </c>
      <c r="F3828">
        <v>6.4360999999999997</v>
      </c>
    </row>
    <row r="3829" spans="1:6" x14ac:dyDescent="0.25">
      <c r="A3829">
        <v>7480000</v>
      </c>
      <c r="B3829">
        <v>6.4599000000000002</v>
      </c>
      <c r="E3829">
        <v>6960000</v>
      </c>
      <c r="F3829">
        <v>6.4362000000000004</v>
      </c>
    </row>
    <row r="3830" spans="1:6" x14ac:dyDescent="0.25">
      <c r="A3830">
        <v>7500000</v>
      </c>
      <c r="B3830">
        <v>6.46</v>
      </c>
      <c r="E3830">
        <v>6970000</v>
      </c>
      <c r="F3830">
        <v>6.4363000000000001</v>
      </c>
    </row>
    <row r="3831" spans="1:6" x14ac:dyDescent="0.25">
      <c r="A3831">
        <v>7520000</v>
      </c>
      <c r="B3831">
        <v>6.4600999999999997</v>
      </c>
      <c r="E3831">
        <v>6980000</v>
      </c>
      <c r="F3831">
        <v>6.4363999999999999</v>
      </c>
    </row>
    <row r="3832" spans="1:6" x14ac:dyDescent="0.25">
      <c r="A3832">
        <v>7540000</v>
      </c>
      <c r="B3832">
        <v>6.4602000000000004</v>
      </c>
      <c r="E3832">
        <v>6990000</v>
      </c>
      <c r="F3832">
        <v>6.4364999999999997</v>
      </c>
    </row>
    <row r="3833" spans="1:6" x14ac:dyDescent="0.25">
      <c r="A3833">
        <v>7560000</v>
      </c>
      <c r="B3833">
        <v>6.4603000000000002</v>
      </c>
      <c r="E3833">
        <v>7000000</v>
      </c>
      <c r="F3833">
        <v>6.4366000000000003</v>
      </c>
    </row>
    <row r="3834" spans="1:6" x14ac:dyDescent="0.25">
      <c r="A3834">
        <v>7580000</v>
      </c>
      <c r="B3834">
        <v>6.4603999999999999</v>
      </c>
      <c r="E3834">
        <v>7010000</v>
      </c>
      <c r="F3834">
        <v>6.4367000000000001</v>
      </c>
    </row>
    <row r="3835" spans="1:6" x14ac:dyDescent="0.25">
      <c r="A3835">
        <v>7590000</v>
      </c>
      <c r="B3835">
        <v>6.4604999999999997</v>
      </c>
      <c r="E3835">
        <v>7020000</v>
      </c>
      <c r="F3835">
        <v>6.4367999999999999</v>
      </c>
    </row>
    <row r="3836" spans="1:6" x14ac:dyDescent="0.25">
      <c r="A3836">
        <v>7610000</v>
      </c>
      <c r="B3836">
        <v>6.4606000000000003</v>
      </c>
      <c r="E3836">
        <v>7030000</v>
      </c>
      <c r="F3836">
        <v>6.4368999999999996</v>
      </c>
    </row>
    <row r="3837" spans="1:6" x14ac:dyDescent="0.25">
      <c r="A3837">
        <v>7630000</v>
      </c>
      <c r="B3837">
        <v>6.4607000000000001</v>
      </c>
      <c r="E3837">
        <v>7050000</v>
      </c>
      <c r="F3837">
        <v>6.4370000000000003</v>
      </c>
    </row>
    <row r="3838" spans="1:6" x14ac:dyDescent="0.25">
      <c r="A3838">
        <v>7650000</v>
      </c>
      <c r="B3838">
        <v>6.4607999999999999</v>
      </c>
      <c r="E3838">
        <v>7060000</v>
      </c>
      <c r="F3838">
        <v>6.4371</v>
      </c>
    </row>
    <row r="3839" spans="1:6" x14ac:dyDescent="0.25">
      <c r="A3839">
        <v>7670000</v>
      </c>
      <c r="B3839">
        <v>6.4608999999999996</v>
      </c>
      <c r="E3839">
        <v>7070000</v>
      </c>
      <c r="F3839">
        <v>6.4371999999999998</v>
      </c>
    </row>
    <row r="3840" spans="1:6" x14ac:dyDescent="0.25">
      <c r="A3840">
        <v>7690000</v>
      </c>
      <c r="B3840">
        <v>6.4610000000000003</v>
      </c>
      <c r="E3840">
        <v>7080000</v>
      </c>
      <c r="F3840">
        <v>6.4372999999999996</v>
      </c>
    </row>
    <row r="3841" spans="1:6" x14ac:dyDescent="0.25">
      <c r="A3841">
        <v>7710000</v>
      </c>
      <c r="B3841">
        <v>6.4611000000000001</v>
      </c>
      <c r="E3841">
        <v>7090000</v>
      </c>
      <c r="F3841">
        <v>6.4374000000000002</v>
      </c>
    </row>
    <row r="3842" spans="1:6" x14ac:dyDescent="0.25">
      <c r="A3842">
        <v>7730000</v>
      </c>
      <c r="B3842">
        <v>6.4611999999999998</v>
      </c>
      <c r="E3842">
        <v>7100000</v>
      </c>
      <c r="F3842">
        <v>6.4375</v>
      </c>
    </row>
    <row r="3843" spans="1:6" x14ac:dyDescent="0.25">
      <c r="A3843">
        <v>7750000</v>
      </c>
      <c r="B3843">
        <v>6.4612999999999996</v>
      </c>
      <c r="E3843">
        <v>7110000</v>
      </c>
      <c r="F3843">
        <v>6.4375999999999998</v>
      </c>
    </row>
    <row r="3844" spans="1:6" x14ac:dyDescent="0.25">
      <c r="A3844">
        <v>7770000</v>
      </c>
      <c r="B3844">
        <v>6.4614000000000003</v>
      </c>
      <c r="E3844">
        <v>7120000</v>
      </c>
      <c r="F3844">
        <v>6.4377000000000004</v>
      </c>
    </row>
    <row r="3845" spans="1:6" x14ac:dyDescent="0.25">
      <c r="A3845">
        <v>7790000</v>
      </c>
      <c r="B3845">
        <v>6.4615</v>
      </c>
      <c r="E3845">
        <v>7140000</v>
      </c>
      <c r="F3845">
        <v>6.4378000000000002</v>
      </c>
    </row>
    <row r="3846" spans="1:6" x14ac:dyDescent="0.25">
      <c r="A3846">
        <v>7810000</v>
      </c>
      <c r="B3846">
        <v>6.4615999999999998</v>
      </c>
      <c r="E3846">
        <v>7150000</v>
      </c>
      <c r="F3846">
        <v>6.4379</v>
      </c>
    </row>
    <row r="3847" spans="1:6" x14ac:dyDescent="0.25">
      <c r="A3847">
        <v>7830000</v>
      </c>
      <c r="B3847">
        <v>6.4617000000000004</v>
      </c>
      <c r="E3847">
        <v>7160000</v>
      </c>
      <c r="F3847">
        <v>6.4379999999999997</v>
      </c>
    </row>
    <row r="3848" spans="1:6" x14ac:dyDescent="0.25">
      <c r="A3848">
        <v>7850000</v>
      </c>
      <c r="B3848">
        <v>6.4618000000000002</v>
      </c>
      <c r="E3848">
        <v>7170000</v>
      </c>
      <c r="F3848">
        <v>6.4381000000000004</v>
      </c>
    </row>
    <row r="3849" spans="1:6" x14ac:dyDescent="0.25">
      <c r="A3849">
        <v>7870000</v>
      </c>
      <c r="B3849">
        <v>6.4619</v>
      </c>
      <c r="E3849">
        <v>7180000</v>
      </c>
      <c r="F3849">
        <v>6.4382000000000001</v>
      </c>
    </row>
    <row r="3850" spans="1:6" x14ac:dyDescent="0.25">
      <c r="A3850">
        <v>7890000</v>
      </c>
      <c r="B3850">
        <v>6.4619999999999997</v>
      </c>
      <c r="E3850">
        <v>7190000</v>
      </c>
      <c r="F3850">
        <v>6.4382999999999999</v>
      </c>
    </row>
    <row r="3851" spans="1:6" x14ac:dyDescent="0.25">
      <c r="A3851">
        <v>7910000</v>
      </c>
      <c r="B3851">
        <v>6.4621000000000004</v>
      </c>
      <c r="E3851">
        <v>7210000</v>
      </c>
      <c r="F3851">
        <v>6.4383999999999997</v>
      </c>
    </row>
    <row r="3852" spans="1:6" x14ac:dyDescent="0.25">
      <c r="A3852">
        <v>7940000</v>
      </c>
      <c r="B3852">
        <v>6.4622000000000002</v>
      </c>
      <c r="E3852">
        <v>7220000</v>
      </c>
      <c r="F3852">
        <v>6.4385000000000003</v>
      </c>
    </row>
    <row r="3853" spans="1:6" x14ac:dyDescent="0.25">
      <c r="A3853">
        <v>7960000</v>
      </c>
      <c r="B3853">
        <v>6.4622999999999999</v>
      </c>
      <c r="E3853">
        <v>7230000</v>
      </c>
      <c r="F3853">
        <v>6.4386000000000001</v>
      </c>
    </row>
    <row r="3854" spans="1:6" x14ac:dyDescent="0.25">
      <c r="A3854">
        <v>7980000</v>
      </c>
      <c r="B3854">
        <v>6.4623999999999997</v>
      </c>
      <c r="E3854">
        <v>7240000</v>
      </c>
      <c r="F3854">
        <v>6.4386999999999999</v>
      </c>
    </row>
    <row r="3855" spans="1:6" x14ac:dyDescent="0.25">
      <c r="A3855">
        <v>8000000</v>
      </c>
      <c r="B3855">
        <v>6.4625000000000004</v>
      </c>
      <c r="E3855">
        <v>7250000</v>
      </c>
      <c r="F3855">
        <v>6.4387999999999996</v>
      </c>
    </row>
    <row r="3856" spans="1:6" x14ac:dyDescent="0.25">
      <c r="A3856">
        <v>8020000</v>
      </c>
      <c r="B3856">
        <v>6.4626000000000001</v>
      </c>
      <c r="E3856">
        <v>7260000</v>
      </c>
      <c r="F3856">
        <v>6.4389000000000003</v>
      </c>
    </row>
    <row r="3857" spans="1:6" x14ac:dyDescent="0.25">
      <c r="A3857">
        <v>8040000</v>
      </c>
      <c r="B3857">
        <v>6.4626999999999999</v>
      </c>
      <c r="E3857">
        <v>7280000</v>
      </c>
      <c r="F3857">
        <v>6.4390000000000001</v>
      </c>
    </row>
    <row r="3858" spans="1:6" x14ac:dyDescent="0.25">
      <c r="A3858">
        <v>8060000</v>
      </c>
      <c r="B3858">
        <v>6.4627999999999997</v>
      </c>
      <c r="E3858">
        <v>7290000</v>
      </c>
      <c r="F3858">
        <v>6.4390999999999998</v>
      </c>
    </row>
    <row r="3859" spans="1:6" x14ac:dyDescent="0.25">
      <c r="A3859">
        <v>8090000</v>
      </c>
      <c r="B3859">
        <v>6.4629000000000003</v>
      </c>
      <c r="E3859">
        <v>7300000</v>
      </c>
      <c r="F3859">
        <v>6.4391999999999996</v>
      </c>
    </row>
    <row r="3860" spans="1:6" x14ac:dyDescent="0.25">
      <c r="A3860">
        <v>8110000</v>
      </c>
      <c r="B3860">
        <v>6.4630000000000001</v>
      </c>
      <c r="E3860">
        <v>7310000</v>
      </c>
      <c r="F3860">
        <v>6.4393000000000002</v>
      </c>
    </row>
    <row r="3861" spans="1:6" x14ac:dyDescent="0.25">
      <c r="A3861">
        <v>8130000</v>
      </c>
      <c r="B3861">
        <v>6.4630999999999998</v>
      </c>
      <c r="E3861">
        <v>7320000</v>
      </c>
      <c r="F3861">
        <v>6.4394</v>
      </c>
    </row>
    <row r="3862" spans="1:6" x14ac:dyDescent="0.25">
      <c r="A3862">
        <v>8150000</v>
      </c>
      <c r="B3862">
        <v>6.4631999999999996</v>
      </c>
      <c r="E3862">
        <v>7340000</v>
      </c>
      <c r="F3862">
        <v>6.4394999999999998</v>
      </c>
    </row>
    <row r="3863" spans="1:6" x14ac:dyDescent="0.25">
      <c r="A3863">
        <v>8170000</v>
      </c>
      <c r="B3863">
        <v>6.4633000000000003</v>
      </c>
      <c r="E3863">
        <v>7350000</v>
      </c>
      <c r="F3863">
        <v>6.4396000000000004</v>
      </c>
    </row>
    <row r="3864" spans="1:6" x14ac:dyDescent="0.25">
      <c r="A3864">
        <v>8200000</v>
      </c>
      <c r="B3864">
        <v>6.4634</v>
      </c>
      <c r="E3864">
        <v>7360000</v>
      </c>
      <c r="F3864">
        <v>6.4397000000000002</v>
      </c>
    </row>
    <row r="3865" spans="1:6" x14ac:dyDescent="0.25">
      <c r="A3865">
        <v>8220000</v>
      </c>
      <c r="B3865">
        <v>6.4634999999999998</v>
      </c>
      <c r="E3865">
        <v>7370000</v>
      </c>
      <c r="F3865">
        <v>6.4398</v>
      </c>
    </row>
    <row r="3866" spans="1:6" x14ac:dyDescent="0.25">
      <c r="A3866">
        <v>8240000</v>
      </c>
      <c r="B3866">
        <v>6.4635999999999996</v>
      </c>
      <c r="E3866">
        <v>7380000</v>
      </c>
      <c r="F3866">
        <v>6.4398999999999997</v>
      </c>
    </row>
    <row r="3867" spans="1:6" x14ac:dyDescent="0.25">
      <c r="A3867">
        <v>8260000</v>
      </c>
      <c r="B3867">
        <v>6.4637000000000002</v>
      </c>
      <c r="E3867">
        <v>7400000</v>
      </c>
      <c r="F3867">
        <v>6.44</v>
      </c>
    </row>
    <row r="3868" spans="1:6" x14ac:dyDescent="0.25">
      <c r="A3868">
        <v>8290000</v>
      </c>
      <c r="B3868">
        <v>6.4638</v>
      </c>
      <c r="E3868">
        <v>7410000</v>
      </c>
      <c r="F3868">
        <v>6.4401000000000002</v>
      </c>
    </row>
    <row r="3869" spans="1:6" x14ac:dyDescent="0.25">
      <c r="A3869">
        <v>8310000</v>
      </c>
      <c r="B3869">
        <v>6.4638999999999998</v>
      </c>
      <c r="E3869">
        <v>7420000</v>
      </c>
      <c r="F3869">
        <v>6.4401999999999999</v>
      </c>
    </row>
    <row r="3870" spans="1:6" x14ac:dyDescent="0.25">
      <c r="A3870">
        <v>8330000</v>
      </c>
      <c r="B3870">
        <v>6.4640000000000004</v>
      </c>
      <c r="E3870">
        <v>7430000</v>
      </c>
      <c r="F3870">
        <v>6.4402999999999997</v>
      </c>
    </row>
    <row r="3871" spans="1:6" x14ac:dyDescent="0.25">
      <c r="A3871">
        <v>8350000</v>
      </c>
      <c r="B3871">
        <v>6.4641000000000002</v>
      </c>
      <c r="E3871">
        <v>7450000</v>
      </c>
      <c r="F3871">
        <v>6.4404000000000003</v>
      </c>
    </row>
    <row r="3872" spans="1:6" x14ac:dyDescent="0.25">
      <c r="A3872">
        <v>8380000</v>
      </c>
      <c r="B3872">
        <v>6.4641999999999999</v>
      </c>
      <c r="E3872">
        <v>7460000</v>
      </c>
      <c r="F3872">
        <v>6.4405000000000001</v>
      </c>
    </row>
    <row r="3873" spans="1:6" x14ac:dyDescent="0.25">
      <c r="A3873">
        <v>8400000</v>
      </c>
      <c r="B3873">
        <v>6.4642999999999997</v>
      </c>
      <c r="E3873">
        <v>7470000</v>
      </c>
      <c r="F3873">
        <v>6.4405999999999999</v>
      </c>
    </row>
    <row r="3874" spans="1:6" x14ac:dyDescent="0.25">
      <c r="A3874">
        <v>8430000</v>
      </c>
      <c r="B3874">
        <v>6.4644000000000004</v>
      </c>
      <c r="E3874">
        <v>7480000</v>
      </c>
      <c r="F3874">
        <v>6.4406999999999996</v>
      </c>
    </row>
    <row r="3875" spans="1:6" x14ac:dyDescent="0.25">
      <c r="A3875">
        <v>8450000</v>
      </c>
      <c r="B3875">
        <v>6.4645000000000001</v>
      </c>
      <c r="E3875">
        <v>7500000</v>
      </c>
      <c r="F3875">
        <v>6.4408000000000003</v>
      </c>
    </row>
    <row r="3876" spans="1:6" x14ac:dyDescent="0.25">
      <c r="A3876">
        <v>8470000</v>
      </c>
      <c r="B3876">
        <v>6.4645999999999999</v>
      </c>
      <c r="E3876">
        <v>7510000</v>
      </c>
      <c r="F3876">
        <v>6.4409000000000001</v>
      </c>
    </row>
    <row r="3877" spans="1:6" x14ac:dyDescent="0.25">
      <c r="A3877">
        <v>8500000</v>
      </c>
      <c r="B3877">
        <v>6.4646999999999997</v>
      </c>
      <c r="E3877">
        <v>7520000</v>
      </c>
      <c r="F3877">
        <v>6.4409999999999998</v>
      </c>
    </row>
    <row r="3878" spans="1:6" x14ac:dyDescent="0.25">
      <c r="A3878">
        <v>8520000</v>
      </c>
      <c r="B3878">
        <v>6.4648000000000003</v>
      </c>
      <c r="E3878">
        <v>7540000</v>
      </c>
      <c r="F3878">
        <v>6.4410999999999996</v>
      </c>
    </row>
    <row r="3879" spans="1:6" x14ac:dyDescent="0.25">
      <c r="A3879">
        <v>8540000</v>
      </c>
      <c r="B3879">
        <v>6.4649000000000001</v>
      </c>
      <c r="E3879">
        <v>7550000</v>
      </c>
      <c r="F3879">
        <v>6.4412000000000003</v>
      </c>
    </row>
    <row r="3880" spans="1:6" x14ac:dyDescent="0.25">
      <c r="A3880">
        <v>8570000</v>
      </c>
      <c r="B3880">
        <v>6.4649999999999999</v>
      </c>
      <c r="E3880">
        <v>7560000</v>
      </c>
      <c r="F3880">
        <v>6.4413</v>
      </c>
    </row>
    <row r="3881" spans="1:6" x14ac:dyDescent="0.25">
      <c r="A3881">
        <v>8590000</v>
      </c>
      <c r="B3881">
        <v>6.4650999999999996</v>
      </c>
      <c r="E3881">
        <v>7570000</v>
      </c>
      <c r="F3881">
        <v>6.4413999999999998</v>
      </c>
    </row>
    <row r="3882" spans="1:6" x14ac:dyDescent="0.25">
      <c r="A3882">
        <v>8620000</v>
      </c>
      <c r="B3882">
        <v>6.4652000000000003</v>
      </c>
      <c r="E3882">
        <v>7590000</v>
      </c>
      <c r="F3882">
        <v>6.4414999999999996</v>
      </c>
    </row>
    <row r="3883" spans="1:6" x14ac:dyDescent="0.25">
      <c r="A3883">
        <v>8640000</v>
      </c>
      <c r="B3883">
        <v>6.4653</v>
      </c>
      <c r="E3883">
        <v>7600000</v>
      </c>
      <c r="F3883">
        <v>6.4416000000000002</v>
      </c>
    </row>
    <row r="3884" spans="1:6" x14ac:dyDescent="0.25">
      <c r="A3884">
        <v>8670000</v>
      </c>
      <c r="B3884">
        <v>6.4653999999999998</v>
      </c>
      <c r="E3884">
        <v>7610000</v>
      </c>
      <c r="F3884">
        <v>6.4417</v>
      </c>
    </row>
    <row r="3885" spans="1:6" x14ac:dyDescent="0.25">
      <c r="A3885">
        <v>8690000</v>
      </c>
      <c r="B3885">
        <v>6.4654999999999996</v>
      </c>
      <c r="E3885">
        <v>7630000</v>
      </c>
      <c r="F3885">
        <v>6.4417999999999997</v>
      </c>
    </row>
    <row r="3886" spans="1:6" x14ac:dyDescent="0.25">
      <c r="A3886">
        <v>8720000</v>
      </c>
      <c r="B3886">
        <v>6.4656000000000002</v>
      </c>
      <c r="E3886">
        <v>7640000</v>
      </c>
      <c r="F3886">
        <v>6.4419000000000004</v>
      </c>
    </row>
    <row r="3887" spans="1:6" x14ac:dyDescent="0.25">
      <c r="A3887">
        <v>8740000</v>
      </c>
      <c r="B3887">
        <v>6.4657</v>
      </c>
      <c r="E3887">
        <v>7650000</v>
      </c>
      <c r="F3887">
        <v>6.4420000000000002</v>
      </c>
    </row>
    <row r="3888" spans="1:6" x14ac:dyDescent="0.25">
      <c r="A3888">
        <v>8770000</v>
      </c>
      <c r="B3888">
        <v>6.4657999999999998</v>
      </c>
      <c r="E3888">
        <v>7670000</v>
      </c>
      <c r="F3888">
        <v>6.4420999999999999</v>
      </c>
    </row>
    <row r="3889" spans="1:6" x14ac:dyDescent="0.25">
      <c r="A3889">
        <v>8790000</v>
      </c>
      <c r="B3889">
        <v>6.4659000000000004</v>
      </c>
      <c r="E3889">
        <v>7680000</v>
      </c>
      <c r="F3889">
        <v>6.4421999999999997</v>
      </c>
    </row>
    <row r="3890" spans="1:6" x14ac:dyDescent="0.25">
      <c r="A3890">
        <v>8820000</v>
      </c>
      <c r="B3890">
        <v>6.4660000000000002</v>
      </c>
      <c r="E3890">
        <v>7690000</v>
      </c>
      <c r="F3890">
        <v>6.4423000000000004</v>
      </c>
    </row>
    <row r="3891" spans="1:6" x14ac:dyDescent="0.25">
      <c r="A3891">
        <v>8850000</v>
      </c>
      <c r="B3891">
        <v>6.4661</v>
      </c>
      <c r="E3891">
        <v>7700000</v>
      </c>
      <c r="F3891">
        <v>6.4424000000000001</v>
      </c>
    </row>
    <row r="3892" spans="1:6" x14ac:dyDescent="0.25">
      <c r="A3892">
        <v>8870000</v>
      </c>
      <c r="B3892">
        <v>6.4661999999999997</v>
      </c>
      <c r="E3892">
        <v>7720000</v>
      </c>
      <c r="F3892">
        <v>6.4424999999999999</v>
      </c>
    </row>
    <row r="3893" spans="1:6" x14ac:dyDescent="0.25">
      <c r="A3893">
        <v>8900000</v>
      </c>
      <c r="B3893">
        <v>6.4663000000000004</v>
      </c>
      <c r="E3893">
        <v>7730000</v>
      </c>
      <c r="F3893">
        <v>6.4425999999999997</v>
      </c>
    </row>
    <row r="3894" spans="1:6" x14ac:dyDescent="0.25">
      <c r="A3894">
        <v>8930000</v>
      </c>
      <c r="B3894">
        <v>6.4664000000000001</v>
      </c>
      <c r="E3894">
        <v>7750000</v>
      </c>
      <c r="F3894">
        <v>6.4427000000000003</v>
      </c>
    </row>
    <row r="3895" spans="1:6" x14ac:dyDescent="0.25">
      <c r="A3895">
        <v>8950000</v>
      </c>
      <c r="B3895">
        <v>6.4664999999999999</v>
      </c>
      <c r="E3895">
        <v>7760000</v>
      </c>
      <c r="F3895">
        <v>6.4428000000000001</v>
      </c>
    </row>
    <row r="3896" spans="1:6" x14ac:dyDescent="0.25">
      <c r="A3896">
        <v>8980000</v>
      </c>
      <c r="B3896">
        <v>6.4665999999999997</v>
      </c>
      <c r="E3896">
        <v>7770000</v>
      </c>
      <c r="F3896">
        <v>6.4428999999999998</v>
      </c>
    </row>
    <row r="3897" spans="1:6" x14ac:dyDescent="0.25">
      <c r="A3897">
        <v>9010000</v>
      </c>
      <c r="B3897">
        <v>6.4667000000000003</v>
      </c>
      <c r="E3897">
        <v>7790000</v>
      </c>
      <c r="F3897">
        <v>6.4429999999999996</v>
      </c>
    </row>
    <row r="3898" spans="1:6" x14ac:dyDescent="0.25">
      <c r="A3898">
        <v>9030000</v>
      </c>
      <c r="B3898">
        <v>6.4668000000000001</v>
      </c>
      <c r="E3898">
        <v>7800000</v>
      </c>
      <c r="F3898">
        <v>6.4431000000000003</v>
      </c>
    </row>
    <row r="3899" spans="1:6" x14ac:dyDescent="0.25">
      <c r="A3899">
        <v>9060000</v>
      </c>
      <c r="B3899">
        <v>6.4668999999999999</v>
      </c>
      <c r="E3899">
        <v>7810000</v>
      </c>
      <c r="F3899">
        <v>6.4432</v>
      </c>
    </row>
    <row r="3900" spans="1:6" x14ac:dyDescent="0.25">
      <c r="A3900">
        <v>9090000</v>
      </c>
      <c r="B3900">
        <v>6.4669999999999996</v>
      </c>
      <c r="E3900">
        <v>7830000</v>
      </c>
      <c r="F3900">
        <v>6.4432999999999998</v>
      </c>
    </row>
    <row r="3901" spans="1:6" x14ac:dyDescent="0.25">
      <c r="A3901">
        <v>9120000</v>
      </c>
      <c r="B3901">
        <v>6.4671000000000003</v>
      </c>
      <c r="E3901">
        <v>7840000</v>
      </c>
      <c r="F3901">
        <v>6.4433999999999996</v>
      </c>
    </row>
    <row r="3902" spans="1:6" x14ac:dyDescent="0.25">
      <c r="A3902">
        <v>9140000</v>
      </c>
      <c r="B3902">
        <v>6.4672000000000001</v>
      </c>
      <c r="E3902">
        <v>7850000</v>
      </c>
      <c r="F3902">
        <v>6.4435000000000002</v>
      </c>
    </row>
    <row r="3903" spans="1:6" x14ac:dyDescent="0.25">
      <c r="A3903">
        <v>9170000</v>
      </c>
      <c r="B3903">
        <v>6.4672999999999998</v>
      </c>
      <c r="E3903">
        <v>7870000</v>
      </c>
      <c r="F3903">
        <v>6.4436</v>
      </c>
    </row>
    <row r="3904" spans="1:6" x14ac:dyDescent="0.25">
      <c r="A3904">
        <v>9200000</v>
      </c>
      <c r="B3904">
        <v>6.4673999999999996</v>
      </c>
      <c r="E3904">
        <v>7880000</v>
      </c>
      <c r="F3904">
        <v>6.4436999999999998</v>
      </c>
    </row>
    <row r="3905" spans="1:6" x14ac:dyDescent="0.25">
      <c r="A3905">
        <v>9230000</v>
      </c>
      <c r="B3905">
        <v>6.4675000000000002</v>
      </c>
      <c r="E3905">
        <v>7900000</v>
      </c>
      <c r="F3905">
        <v>6.4438000000000004</v>
      </c>
    </row>
    <row r="3906" spans="1:6" x14ac:dyDescent="0.25">
      <c r="A3906">
        <v>9260000</v>
      </c>
      <c r="B3906">
        <v>6.4676</v>
      </c>
      <c r="E3906">
        <v>7910000</v>
      </c>
      <c r="F3906">
        <v>6.4439000000000002</v>
      </c>
    </row>
    <row r="3907" spans="1:6" x14ac:dyDescent="0.25">
      <c r="A3907">
        <v>9280000</v>
      </c>
      <c r="B3907">
        <v>6.4676999999999998</v>
      </c>
      <c r="E3907">
        <v>7920000</v>
      </c>
      <c r="F3907">
        <v>6.444</v>
      </c>
    </row>
    <row r="3908" spans="1:6" x14ac:dyDescent="0.25">
      <c r="A3908">
        <v>9310000</v>
      </c>
      <c r="B3908">
        <v>6.4678000000000004</v>
      </c>
      <c r="E3908">
        <v>7940000</v>
      </c>
      <c r="F3908">
        <v>6.4440999999999997</v>
      </c>
    </row>
    <row r="3909" spans="1:6" x14ac:dyDescent="0.25">
      <c r="A3909">
        <v>9340000</v>
      </c>
      <c r="B3909">
        <v>6.4679000000000002</v>
      </c>
      <c r="E3909">
        <v>7950000</v>
      </c>
      <c r="F3909">
        <v>6.4442000000000004</v>
      </c>
    </row>
    <row r="3910" spans="1:6" x14ac:dyDescent="0.25">
      <c r="A3910">
        <v>9370000</v>
      </c>
      <c r="B3910">
        <v>6.468</v>
      </c>
      <c r="E3910">
        <v>7970000</v>
      </c>
      <c r="F3910">
        <v>6.4443000000000001</v>
      </c>
    </row>
    <row r="3911" spans="1:6" x14ac:dyDescent="0.25">
      <c r="A3911">
        <v>9400000</v>
      </c>
      <c r="B3911">
        <v>6.4680999999999997</v>
      </c>
      <c r="E3911">
        <v>7980000</v>
      </c>
      <c r="F3911">
        <v>6.4443999999999999</v>
      </c>
    </row>
    <row r="3912" spans="1:6" x14ac:dyDescent="0.25">
      <c r="A3912">
        <v>9430000</v>
      </c>
      <c r="B3912">
        <v>6.4682000000000004</v>
      </c>
      <c r="E3912">
        <v>8000000</v>
      </c>
      <c r="F3912">
        <v>6.4444999999999997</v>
      </c>
    </row>
    <row r="3913" spans="1:6" x14ac:dyDescent="0.25">
      <c r="A3913">
        <v>9460000</v>
      </c>
      <c r="B3913">
        <v>6.4683000000000002</v>
      </c>
      <c r="E3913">
        <v>8010000</v>
      </c>
      <c r="F3913">
        <v>6.4446000000000003</v>
      </c>
    </row>
    <row r="3914" spans="1:6" x14ac:dyDescent="0.25">
      <c r="A3914">
        <v>9490000</v>
      </c>
      <c r="B3914">
        <v>6.4683999999999999</v>
      </c>
      <c r="E3914">
        <v>8020000</v>
      </c>
      <c r="F3914">
        <v>6.4447000000000001</v>
      </c>
    </row>
    <row r="3915" spans="1:6" x14ac:dyDescent="0.25">
      <c r="A3915">
        <v>9520000</v>
      </c>
      <c r="B3915">
        <v>6.4684999999999997</v>
      </c>
      <c r="E3915">
        <v>8040000</v>
      </c>
      <c r="F3915">
        <v>6.4447999999999999</v>
      </c>
    </row>
    <row r="3916" spans="1:6" x14ac:dyDescent="0.25">
      <c r="A3916">
        <v>9550000</v>
      </c>
      <c r="B3916">
        <v>6.4686000000000003</v>
      </c>
      <c r="E3916">
        <v>8050000</v>
      </c>
      <c r="F3916">
        <v>6.4448999999999996</v>
      </c>
    </row>
    <row r="3917" spans="1:6" x14ac:dyDescent="0.25">
      <c r="A3917">
        <v>9580000</v>
      </c>
      <c r="B3917">
        <v>6.4687000000000001</v>
      </c>
      <c r="E3917">
        <v>8070000</v>
      </c>
      <c r="F3917">
        <v>6.4450000000000003</v>
      </c>
    </row>
    <row r="3918" spans="1:6" x14ac:dyDescent="0.25">
      <c r="A3918">
        <v>9610000</v>
      </c>
      <c r="B3918">
        <v>6.4687999999999999</v>
      </c>
      <c r="E3918">
        <v>8080000</v>
      </c>
      <c r="F3918">
        <v>6.4451000000000001</v>
      </c>
    </row>
    <row r="3919" spans="1:6" x14ac:dyDescent="0.25">
      <c r="A3919">
        <v>9640000</v>
      </c>
      <c r="B3919">
        <v>6.4688999999999997</v>
      </c>
      <c r="E3919">
        <v>8100000</v>
      </c>
      <c r="F3919">
        <v>6.4451999999999998</v>
      </c>
    </row>
    <row r="3920" spans="1:6" x14ac:dyDescent="0.25">
      <c r="A3920">
        <v>9670000</v>
      </c>
      <c r="B3920">
        <v>6.4690000000000003</v>
      </c>
      <c r="E3920">
        <v>8110000</v>
      </c>
      <c r="F3920">
        <v>6.4452999999999996</v>
      </c>
    </row>
    <row r="3921" spans="1:6" x14ac:dyDescent="0.25">
      <c r="A3921">
        <v>9700000</v>
      </c>
      <c r="B3921">
        <v>6.4691000000000001</v>
      </c>
      <c r="E3921">
        <v>8130000</v>
      </c>
      <c r="F3921">
        <v>6.4454000000000002</v>
      </c>
    </row>
    <row r="3922" spans="1:6" x14ac:dyDescent="0.25">
      <c r="A3922">
        <v>9740000</v>
      </c>
      <c r="B3922">
        <v>6.4691999999999998</v>
      </c>
      <c r="E3922">
        <v>8140000</v>
      </c>
      <c r="F3922">
        <v>6.4455</v>
      </c>
    </row>
    <row r="3923" spans="1:6" x14ac:dyDescent="0.25">
      <c r="A3923">
        <v>9770000</v>
      </c>
      <c r="B3923">
        <v>6.4692999999999996</v>
      </c>
      <c r="E3923">
        <v>8160000</v>
      </c>
      <c r="F3923">
        <v>6.4455999999999998</v>
      </c>
    </row>
    <row r="3924" spans="1:6" x14ac:dyDescent="0.25">
      <c r="A3924">
        <v>9800000</v>
      </c>
      <c r="B3924">
        <v>6.4694000000000003</v>
      </c>
      <c r="E3924">
        <v>8170000</v>
      </c>
      <c r="F3924">
        <v>6.4457000000000004</v>
      </c>
    </row>
    <row r="3925" spans="1:6" x14ac:dyDescent="0.25">
      <c r="A3925">
        <v>9830000</v>
      </c>
      <c r="B3925">
        <v>6.4695</v>
      </c>
      <c r="E3925">
        <v>8190000</v>
      </c>
      <c r="F3925">
        <v>6.4458000000000002</v>
      </c>
    </row>
    <row r="3926" spans="1:6" x14ac:dyDescent="0.25">
      <c r="A3926">
        <v>9860000</v>
      </c>
      <c r="B3926">
        <v>6.4695999999999998</v>
      </c>
      <c r="E3926">
        <v>8200000</v>
      </c>
      <c r="F3926">
        <v>6.4459</v>
      </c>
    </row>
    <row r="3927" spans="1:6" x14ac:dyDescent="0.25">
      <c r="A3927">
        <v>9900000</v>
      </c>
      <c r="B3927">
        <v>6.4696999999999996</v>
      </c>
      <c r="E3927">
        <v>8220000</v>
      </c>
      <c r="F3927">
        <v>6.4459999999999997</v>
      </c>
    </row>
    <row r="3928" spans="1:6" x14ac:dyDescent="0.25">
      <c r="A3928">
        <v>9930000</v>
      </c>
      <c r="B3928">
        <v>6.4698000000000002</v>
      </c>
      <c r="E3928">
        <v>8230000</v>
      </c>
      <c r="F3928">
        <v>6.4461000000000004</v>
      </c>
    </row>
    <row r="3929" spans="1:6" x14ac:dyDescent="0.25">
      <c r="A3929">
        <v>9960000</v>
      </c>
      <c r="B3929">
        <v>6.4699</v>
      </c>
      <c r="E3929">
        <v>8250000</v>
      </c>
      <c r="F3929">
        <v>6.4462000000000002</v>
      </c>
    </row>
    <row r="3930" spans="1:6" x14ac:dyDescent="0.25">
      <c r="A3930">
        <v>9990000</v>
      </c>
      <c r="B3930">
        <v>6.47</v>
      </c>
      <c r="E3930">
        <v>8260000</v>
      </c>
      <c r="F3930">
        <v>6.4462999999999999</v>
      </c>
    </row>
    <row r="3931" spans="1:6" x14ac:dyDescent="0.25">
      <c r="A3931">
        <v>10100000</v>
      </c>
      <c r="B3931">
        <v>6.4702999999999999</v>
      </c>
      <c r="E3931">
        <v>8280000</v>
      </c>
      <c r="F3931">
        <v>6.4463999999999997</v>
      </c>
    </row>
    <row r="3932" spans="1:6" x14ac:dyDescent="0.25">
      <c r="A3932">
        <v>10200000</v>
      </c>
      <c r="B3932">
        <v>6.4706000000000001</v>
      </c>
      <c r="E3932">
        <v>8290000</v>
      </c>
      <c r="F3932">
        <v>6.4465000000000003</v>
      </c>
    </row>
    <row r="3933" spans="1:6" x14ac:dyDescent="0.25">
      <c r="A3933">
        <v>10300000</v>
      </c>
      <c r="B3933">
        <v>6.4709000000000003</v>
      </c>
      <c r="E3933">
        <v>8310000</v>
      </c>
      <c r="F3933">
        <v>6.4466000000000001</v>
      </c>
    </row>
    <row r="3934" spans="1:6" x14ac:dyDescent="0.25">
      <c r="A3934">
        <v>10400000</v>
      </c>
      <c r="B3934">
        <v>6.4710999999999999</v>
      </c>
      <c r="E3934">
        <v>8330000</v>
      </c>
      <c r="F3934">
        <v>6.4466999999999999</v>
      </c>
    </row>
    <row r="3935" spans="1:6" x14ac:dyDescent="0.25">
      <c r="A3935">
        <v>10500000</v>
      </c>
      <c r="B3935">
        <v>6.4714</v>
      </c>
      <c r="E3935">
        <v>8340000</v>
      </c>
      <c r="F3935">
        <v>6.4467999999999996</v>
      </c>
    </row>
    <row r="3936" spans="1:6" x14ac:dyDescent="0.25">
      <c r="A3936">
        <v>10600000</v>
      </c>
      <c r="B3936">
        <v>6.4717000000000002</v>
      </c>
      <c r="E3936">
        <v>8360000</v>
      </c>
      <c r="F3936">
        <v>6.4469000000000003</v>
      </c>
    </row>
    <row r="3937" spans="1:6" x14ac:dyDescent="0.25">
      <c r="A3937">
        <v>10700000</v>
      </c>
      <c r="B3937">
        <v>6.4718999999999998</v>
      </c>
      <c r="E3937">
        <v>8370000</v>
      </c>
      <c r="F3937">
        <v>6.4470000000000001</v>
      </c>
    </row>
    <row r="3938" spans="1:6" x14ac:dyDescent="0.25">
      <c r="A3938">
        <v>10800000</v>
      </c>
      <c r="B3938">
        <v>6.4722</v>
      </c>
      <c r="E3938">
        <v>8390000</v>
      </c>
      <c r="F3938">
        <v>6.4470999999999998</v>
      </c>
    </row>
    <row r="3939" spans="1:6" x14ac:dyDescent="0.25">
      <c r="A3939">
        <v>10900000</v>
      </c>
      <c r="B3939">
        <v>6.4725000000000001</v>
      </c>
      <c r="E3939">
        <v>8400000</v>
      </c>
      <c r="F3939">
        <v>6.4471999999999996</v>
      </c>
    </row>
    <row r="3940" spans="1:6" x14ac:dyDescent="0.25">
      <c r="A3940">
        <v>11000000</v>
      </c>
      <c r="B3940">
        <v>6.4726999999999997</v>
      </c>
      <c r="E3940">
        <v>8420000</v>
      </c>
      <c r="F3940">
        <v>6.4473000000000003</v>
      </c>
    </row>
    <row r="3941" spans="1:6" x14ac:dyDescent="0.25">
      <c r="A3941">
        <v>11100000</v>
      </c>
      <c r="B3941">
        <v>6.4729999999999999</v>
      </c>
      <c r="E3941">
        <v>8440000</v>
      </c>
      <c r="F3941">
        <v>6.4474</v>
      </c>
    </row>
    <row r="3942" spans="1:6" x14ac:dyDescent="0.25">
      <c r="A3942">
        <v>11200000</v>
      </c>
      <c r="B3942">
        <v>6.4732000000000003</v>
      </c>
      <c r="E3942">
        <v>8450000</v>
      </c>
      <c r="F3942">
        <v>6.4474999999999998</v>
      </c>
    </row>
    <row r="3943" spans="1:6" x14ac:dyDescent="0.25">
      <c r="A3943">
        <v>11300000</v>
      </c>
      <c r="B3943">
        <v>6.4733999999999998</v>
      </c>
      <c r="E3943">
        <v>8470000</v>
      </c>
      <c r="F3943">
        <v>6.4476000000000004</v>
      </c>
    </row>
    <row r="3944" spans="1:6" x14ac:dyDescent="0.25">
      <c r="A3944">
        <v>11400000</v>
      </c>
      <c r="B3944">
        <v>6.4737</v>
      </c>
      <c r="E3944">
        <v>8480000</v>
      </c>
      <c r="F3944">
        <v>6.4477000000000002</v>
      </c>
    </row>
    <row r="3945" spans="1:6" x14ac:dyDescent="0.25">
      <c r="A3945">
        <v>11500000</v>
      </c>
      <c r="B3945">
        <v>6.4739000000000004</v>
      </c>
      <c r="E3945">
        <v>8500000</v>
      </c>
      <c r="F3945">
        <v>6.4478</v>
      </c>
    </row>
    <row r="3946" spans="1:6" x14ac:dyDescent="0.25">
      <c r="A3946">
        <v>11600000</v>
      </c>
      <c r="B3946">
        <v>6.4741</v>
      </c>
      <c r="E3946">
        <v>8520000</v>
      </c>
      <c r="F3946">
        <v>6.4478999999999997</v>
      </c>
    </row>
    <row r="3947" spans="1:6" x14ac:dyDescent="0.25">
      <c r="A3947">
        <v>11700000</v>
      </c>
      <c r="B3947">
        <v>6.4743000000000004</v>
      </c>
      <c r="E3947">
        <v>8530000</v>
      </c>
      <c r="F3947">
        <v>6.4480000000000004</v>
      </c>
    </row>
    <row r="3948" spans="1:6" x14ac:dyDescent="0.25">
      <c r="A3948">
        <v>11800000</v>
      </c>
      <c r="B3948">
        <v>6.4745999999999997</v>
      </c>
      <c r="E3948">
        <v>8550000</v>
      </c>
      <c r="F3948">
        <v>6.4481000000000002</v>
      </c>
    </row>
    <row r="3949" spans="1:6" x14ac:dyDescent="0.25">
      <c r="A3949">
        <v>11900000</v>
      </c>
      <c r="B3949">
        <v>6.4748000000000001</v>
      </c>
      <c r="E3949">
        <v>8570000</v>
      </c>
      <c r="F3949">
        <v>6.4481999999999999</v>
      </c>
    </row>
    <row r="3950" spans="1:6" x14ac:dyDescent="0.25">
      <c r="A3950">
        <v>12000000</v>
      </c>
      <c r="B3950">
        <v>6.4749999999999996</v>
      </c>
      <c r="E3950">
        <v>8580000</v>
      </c>
      <c r="F3950">
        <v>6.4482999999999997</v>
      </c>
    </row>
    <row r="3951" spans="1:6" x14ac:dyDescent="0.25">
      <c r="A3951">
        <v>12100000</v>
      </c>
      <c r="B3951">
        <v>6.4752000000000001</v>
      </c>
      <c r="E3951">
        <v>8600000</v>
      </c>
      <c r="F3951">
        <v>6.4484000000000004</v>
      </c>
    </row>
    <row r="3952" spans="1:6" x14ac:dyDescent="0.25">
      <c r="A3952">
        <v>12200000</v>
      </c>
      <c r="B3952">
        <v>6.4753999999999996</v>
      </c>
      <c r="E3952">
        <v>8620000</v>
      </c>
      <c r="F3952">
        <v>6.4485000000000001</v>
      </c>
    </row>
    <row r="3953" spans="1:6" x14ac:dyDescent="0.25">
      <c r="A3953">
        <v>12300000</v>
      </c>
      <c r="B3953">
        <v>6.4756</v>
      </c>
      <c r="E3953">
        <v>8630000</v>
      </c>
      <c r="F3953">
        <v>6.4485999999999999</v>
      </c>
    </row>
    <row r="3954" spans="1:6" x14ac:dyDescent="0.25">
      <c r="A3954">
        <v>12400000</v>
      </c>
      <c r="B3954">
        <v>6.4757999999999996</v>
      </c>
      <c r="E3954">
        <v>8650000</v>
      </c>
      <c r="F3954">
        <v>6.4486999999999997</v>
      </c>
    </row>
    <row r="3955" spans="1:6" x14ac:dyDescent="0.25">
      <c r="A3955">
        <v>12500000</v>
      </c>
      <c r="B3955">
        <v>6.476</v>
      </c>
      <c r="E3955">
        <v>8670000</v>
      </c>
      <c r="F3955">
        <v>6.4488000000000003</v>
      </c>
    </row>
    <row r="3956" spans="1:6" x14ac:dyDescent="0.25">
      <c r="A3956">
        <v>12600000</v>
      </c>
      <c r="B3956">
        <v>6.4762000000000004</v>
      </c>
      <c r="E3956">
        <v>8680000</v>
      </c>
      <c r="F3956">
        <v>6.4489000000000001</v>
      </c>
    </row>
    <row r="3957" spans="1:6" x14ac:dyDescent="0.25">
      <c r="A3957">
        <v>12700000</v>
      </c>
      <c r="B3957">
        <v>6.4763999999999999</v>
      </c>
      <c r="E3957">
        <v>8700000</v>
      </c>
      <c r="F3957">
        <v>6.4489999999999998</v>
      </c>
    </row>
    <row r="3958" spans="1:6" x14ac:dyDescent="0.25">
      <c r="A3958">
        <v>12800000</v>
      </c>
      <c r="B3958">
        <v>6.4764999999999997</v>
      </c>
      <c r="E3958">
        <v>8720000</v>
      </c>
      <c r="F3958">
        <v>6.4490999999999996</v>
      </c>
    </row>
    <row r="3959" spans="1:6" x14ac:dyDescent="0.25">
      <c r="A3959">
        <v>12900000</v>
      </c>
      <c r="B3959">
        <v>6.4767000000000001</v>
      </c>
      <c r="E3959">
        <v>8730000</v>
      </c>
      <c r="F3959">
        <v>6.4492000000000003</v>
      </c>
    </row>
    <row r="3960" spans="1:6" x14ac:dyDescent="0.25">
      <c r="A3960">
        <v>13000000</v>
      </c>
      <c r="B3960">
        <v>6.4768999999999997</v>
      </c>
      <c r="E3960">
        <v>8750000</v>
      </c>
      <c r="F3960">
        <v>6.4493</v>
      </c>
    </row>
    <row r="3961" spans="1:6" x14ac:dyDescent="0.25">
      <c r="A3961">
        <v>13100000</v>
      </c>
      <c r="B3961">
        <v>6.4771000000000001</v>
      </c>
      <c r="E3961">
        <v>8770000</v>
      </c>
      <c r="F3961">
        <v>6.4493999999999998</v>
      </c>
    </row>
    <row r="3962" spans="1:6" x14ac:dyDescent="0.25">
      <c r="A3962">
        <v>13200000</v>
      </c>
      <c r="B3962">
        <v>6.4772999999999996</v>
      </c>
      <c r="E3962">
        <v>8790000</v>
      </c>
      <c r="F3962">
        <v>6.4494999999999996</v>
      </c>
    </row>
    <row r="3963" spans="1:6" x14ac:dyDescent="0.25">
      <c r="A3963">
        <v>13300000</v>
      </c>
      <c r="B3963">
        <v>6.4774000000000003</v>
      </c>
      <c r="E3963">
        <v>8800000</v>
      </c>
      <c r="F3963">
        <v>6.4496000000000002</v>
      </c>
    </row>
    <row r="3964" spans="1:6" x14ac:dyDescent="0.25">
      <c r="A3964">
        <v>13400000</v>
      </c>
      <c r="B3964">
        <v>6.4775999999999998</v>
      </c>
      <c r="E3964">
        <v>8820000</v>
      </c>
      <c r="F3964">
        <v>6.4497</v>
      </c>
    </row>
    <row r="3965" spans="1:6" x14ac:dyDescent="0.25">
      <c r="A3965">
        <v>13500000</v>
      </c>
      <c r="B3965">
        <v>6.4778000000000002</v>
      </c>
      <c r="E3965">
        <v>8840000</v>
      </c>
      <c r="F3965">
        <v>6.4497999999999998</v>
      </c>
    </row>
    <row r="3966" spans="1:6" x14ac:dyDescent="0.25">
      <c r="A3966">
        <v>13600000</v>
      </c>
      <c r="B3966">
        <v>6.4779</v>
      </c>
      <c r="E3966">
        <v>8860000</v>
      </c>
      <c r="F3966">
        <v>6.4499000000000004</v>
      </c>
    </row>
    <row r="3967" spans="1:6" x14ac:dyDescent="0.25">
      <c r="A3967">
        <v>13700000</v>
      </c>
      <c r="B3967">
        <v>6.4781000000000004</v>
      </c>
      <c r="E3967">
        <v>8870000</v>
      </c>
      <c r="F3967">
        <v>6.45</v>
      </c>
    </row>
    <row r="3968" spans="1:6" x14ac:dyDescent="0.25">
      <c r="A3968">
        <v>13800000</v>
      </c>
      <c r="B3968">
        <v>6.4782000000000002</v>
      </c>
      <c r="E3968">
        <v>8890000</v>
      </c>
      <c r="F3968">
        <v>6.4500999999999999</v>
      </c>
    </row>
    <row r="3969" spans="1:6" x14ac:dyDescent="0.25">
      <c r="A3969">
        <v>13900000</v>
      </c>
      <c r="B3969">
        <v>6.4783999999999997</v>
      </c>
      <c r="E3969">
        <v>8910000</v>
      </c>
      <c r="F3969">
        <v>6.4501999999999997</v>
      </c>
    </row>
    <row r="3970" spans="1:6" x14ac:dyDescent="0.25">
      <c r="A3970">
        <v>14000000</v>
      </c>
      <c r="B3970">
        <v>6.4786000000000001</v>
      </c>
      <c r="E3970">
        <v>8930000</v>
      </c>
      <c r="F3970">
        <v>6.4503000000000004</v>
      </c>
    </row>
    <row r="3971" spans="1:6" x14ac:dyDescent="0.25">
      <c r="A3971">
        <v>14100000</v>
      </c>
      <c r="B3971">
        <v>6.4786999999999999</v>
      </c>
      <c r="E3971">
        <v>8950000</v>
      </c>
      <c r="F3971">
        <v>6.4504000000000001</v>
      </c>
    </row>
    <row r="3972" spans="1:6" x14ac:dyDescent="0.25">
      <c r="A3972">
        <v>14200000</v>
      </c>
      <c r="B3972">
        <v>6.4789000000000003</v>
      </c>
      <c r="E3972">
        <v>8960000</v>
      </c>
      <c r="F3972">
        <v>6.4504999999999999</v>
      </c>
    </row>
    <row r="3973" spans="1:6" x14ac:dyDescent="0.25">
      <c r="A3973">
        <v>14300000</v>
      </c>
      <c r="B3973">
        <v>6.4790000000000001</v>
      </c>
      <c r="E3973">
        <v>8980000</v>
      </c>
      <c r="F3973">
        <v>6.4505999999999997</v>
      </c>
    </row>
    <row r="3974" spans="1:6" x14ac:dyDescent="0.25">
      <c r="A3974">
        <v>14400000</v>
      </c>
      <c r="B3974">
        <v>6.4791999999999996</v>
      </c>
      <c r="E3974">
        <v>9000000</v>
      </c>
      <c r="F3974">
        <v>6.4507000000000003</v>
      </c>
    </row>
    <row r="3975" spans="1:6" x14ac:dyDescent="0.25">
      <c r="A3975">
        <v>14500000</v>
      </c>
      <c r="B3975">
        <v>6.4793000000000003</v>
      </c>
      <c r="E3975">
        <v>9020000</v>
      </c>
      <c r="F3975">
        <v>6.4508000000000001</v>
      </c>
    </row>
    <row r="3976" spans="1:6" x14ac:dyDescent="0.25">
      <c r="A3976">
        <v>14600000</v>
      </c>
      <c r="B3976">
        <v>6.4794</v>
      </c>
      <c r="E3976">
        <v>9040000</v>
      </c>
      <c r="F3976">
        <v>6.4508999999999999</v>
      </c>
    </row>
    <row r="3977" spans="1:6" x14ac:dyDescent="0.25">
      <c r="A3977">
        <v>14700000</v>
      </c>
      <c r="B3977">
        <v>6.4795999999999996</v>
      </c>
      <c r="E3977">
        <v>9060000</v>
      </c>
      <c r="F3977">
        <v>6.4509999999999996</v>
      </c>
    </row>
    <row r="3978" spans="1:6" x14ac:dyDescent="0.25">
      <c r="A3978">
        <v>14800000</v>
      </c>
      <c r="B3978">
        <v>6.4797000000000002</v>
      </c>
      <c r="E3978">
        <v>9070000</v>
      </c>
      <c r="F3978">
        <v>6.4511000000000003</v>
      </c>
    </row>
    <row r="3979" spans="1:6" x14ac:dyDescent="0.25">
      <c r="A3979">
        <v>14900000</v>
      </c>
      <c r="B3979">
        <v>6.4798999999999998</v>
      </c>
      <c r="E3979">
        <v>9090000</v>
      </c>
      <c r="F3979">
        <v>6.4512</v>
      </c>
    </row>
    <row r="3980" spans="1:6" x14ac:dyDescent="0.25">
      <c r="A3980">
        <v>15000000</v>
      </c>
      <c r="B3980">
        <v>6.48</v>
      </c>
      <c r="E3980">
        <v>9110000</v>
      </c>
      <c r="F3980">
        <v>6.4512999999999998</v>
      </c>
    </row>
    <row r="3981" spans="1:6" x14ac:dyDescent="0.25">
      <c r="A3981">
        <v>15100000</v>
      </c>
      <c r="B3981">
        <v>6.4801000000000002</v>
      </c>
      <c r="E3981">
        <v>9130000</v>
      </c>
      <c r="F3981">
        <v>6.4513999999999996</v>
      </c>
    </row>
    <row r="3982" spans="1:6" x14ac:dyDescent="0.25">
      <c r="A3982">
        <v>15200000</v>
      </c>
      <c r="B3982">
        <v>6.4802999999999997</v>
      </c>
      <c r="E3982">
        <v>9150000</v>
      </c>
      <c r="F3982">
        <v>6.4515000000000002</v>
      </c>
    </row>
    <row r="3983" spans="1:6" x14ac:dyDescent="0.25">
      <c r="A3983">
        <v>15300000</v>
      </c>
      <c r="B3983">
        <v>6.4804000000000004</v>
      </c>
      <c r="E3983">
        <v>9170000</v>
      </c>
      <c r="F3983">
        <v>6.4516</v>
      </c>
    </row>
    <row r="3984" spans="1:6" x14ac:dyDescent="0.25">
      <c r="A3984">
        <v>15400000</v>
      </c>
      <c r="B3984">
        <v>6.4805000000000001</v>
      </c>
      <c r="E3984">
        <v>9190000</v>
      </c>
      <c r="F3984">
        <v>6.4516999999999998</v>
      </c>
    </row>
    <row r="3985" spans="1:6" x14ac:dyDescent="0.25">
      <c r="A3985">
        <v>15500000</v>
      </c>
      <c r="B3985">
        <v>6.4805999999999999</v>
      </c>
      <c r="E3985">
        <v>9210000</v>
      </c>
      <c r="F3985">
        <v>6.4518000000000004</v>
      </c>
    </row>
    <row r="3986" spans="1:6" x14ac:dyDescent="0.25">
      <c r="A3986">
        <v>15600000</v>
      </c>
      <c r="B3986">
        <v>6.4808000000000003</v>
      </c>
      <c r="E3986">
        <v>9220000</v>
      </c>
      <c r="F3986">
        <v>6.4519000000000002</v>
      </c>
    </row>
    <row r="3987" spans="1:6" x14ac:dyDescent="0.25">
      <c r="A3987">
        <v>15700000</v>
      </c>
      <c r="B3987">
        <v>6.4809000000000001</v>
      </c>
      <c r="E3987">
        <v>9240000</v>
      </c>
      <c r="F3987">
        <v>6.452</v>
      </c>
    </row>
    <row r="3988" spans="1:6" x14ac:dyDescent="0.25">
      <c r="A3988">
        <v>15800000</v>
      </c>
      <c r="B3988">
        <v>6.4809999999999999</v>
      </c>
      <c r="E3988">
        <v>9260000</v>
      </c>
      <c r="F3988">
        <v>6.4520999999999997</v>
      </c>
    </row>
    <row r="3989" spans="1:6" x14ac:dyDescent="0.25">
      <c r="A3989">
        <v>15900000</v>
      </c>
      <c r="B3989">
        <v>6.4810999999999996</v>
      </c>
      <c r="E3989">
        <v>9280000</v>
      </c>
      <c r="F3989">
        <v>6.4522000000000004</v>
      </c>
    </row>
    <row r="3990" spans="1:6" x14ac:dyDescent="0.25">
      <c r="A3990">
        <v>16000000</v>
      </c>
      <c r="B3990">
        <v>6.4812000000000003</v>
      </c>
      <c r="E3990">
        <v>9300000</v>
      </c>
      <c r="F3990">
        <v>6.4523000000000001</v>
      </c>
    </row>
    <row r="3991" spans="1:6" x14ac:dyDescent="0.25">
      <c r="A3991">
        <v>16100000</v>
      </c>
      <c r="B3991">
        <v>6.4813999999999998</v>
      </c>
      <c r="E3991">
        <v>9320000</v>
      </c>
      <c r="F3991">
        <v>6.4523999999999999</v>
      </c>
    </row>
    <row r="3992" spans="1:6" x14ac:dyDescent="0.25">
      <c r="A3992">
        <v>16200000</v>
      </c>
      <c r="B3992">
        <v>6.4814999999999996</v>
      </c>
      <c r="E3992">
        <v>9340000</v>
      </c>
      <c r="F3992">
        <v>6.4524999999999997</v>
      </c>
    </row>
    <row r="3993" spans="1:6" x14ac:dyDescent="0.25">
      <c r="A3993">
        <v>16300000</v>
      </c>
      <c r="B3993">
        <v>6.4816000000000003</v>
      </c>
      <c r="E3993">
        <v>9360000</v>
      </c>
      <c r="F3993">
        <v>6.4526000000000003</v>
      </c>
    </row>
    <row r="3994" spans="1:6" x14ac:dyDescent="0.25">
      <c r="A3994">
        <v>16400000</v>
      </c>
      <c r="B3994">
        <v>6.4817</v>
      </c>
      <c r="E3994">
        <v>9380000</v>
      </c>
      <c r="F3994">
        <v>6.4527000000000001</v>
      </c>
    </row>
    <row r="3995" spans="1:6" x14ac:dyDescent="0.25">
      <c r="A3995">
        <v>16500000</v>
      </c>
      <c r="B3995">
        <v>6.4817999999999998</v>
      </c>
      <c r="E3995">
        <v>9400000</v>
      </c>
      <c r="F3995">
        <v>6.4527999999999999</v>
      </c>
    </row>
    <row r="3996" spans="1:6" x14ac:dyDescent="0.25">
      <c r="A3996">
        <v>16600000</v>
      </c>
      <c r="B3996">
        <v>6.4819000000000004</v>
      </c>
      <c r="E3996">
        <v>9420000</v>
      </c>
      <c r="F3996">
        <v>6.4528999999999996</v>
      </c>
    </row>
    <row r="3997" spans="1:6" x14ac:dyDescent="0.25">
      <c r="A3997">
        <v>16700000</v>
      </c>
      <c r="B3997">
        <v>6.4820000000000002</v>
      </c>
      <c r="E3997">
        <v>9440000</v>
      </c>
      <c r="F3997">
        <v>6.4530000000000003</v>
      </c>
    </row>
    <row r="3998" spans="1:6" x14ac:dyDescent="0.25">
      <c r="A3998">
        <v>16800000</v>
      </c>
      <c r="B3998">
        <v>6.4821</v>
      </c>
      <c r="E3998">
        <v>9460000</v>
      </c>
      <c r="F3998">
        <v>6.4531000000000001</v>
      </c>
    </row>
    <row r="3999" spans="1:6" x14ac:dyDescent="0.25">
      <c r="A3999">
        <v>16900000</v>
      </c>
      <c r="B3999">
        <v>6.4821999999999997</v>
      </c>
      <c r="E3999">
        <v>9480000</v>
      </c>
      <c r="F3999">
        <v>6.4531999999999998</v>
      </c>
    </row>
    <row r="4000" spans="1:6" x14ac:dyDescent="0.25">
      <c r="A4000">
        <v>17000000</v>
      </c>
      <c r="B4000">
        <v>6.4823000000000004</v>
      </c>
      <c r="E4000">
        <v>9500000</v>
      </c>
      <c r="F4000">
        <v>6.4532999999999996</v>
      </c>
    </row>
    <row r="4001" spans="1:6" x14ac:dyDescent="0.25">
      <c r="A4001">
        <v>17100000</v>
      </c>
      <c r="B4001">
        <v>6.4824000000000002</v>
      </c>
      <c r="E4001">
        <v>9520000</v>
      </c>
      <c r="F4001">
        <v>6.4534000000000002</v>
      </c>
    </row>
    <row r="4002" spans="1:6" x14ac:dyDescent="0.25">
      <c r="A4002">
        <v>17200000</v>
      </c>
      <c r="B4002">
        <v>6.4824999999999999</v>
      </c>
      <c r="E4002">
        <v>9540000</v>
      </c>
      <c r="F4002">
        <v>6.4535</v>
      </c>
    </row>
    <row r="4003" spans="1:6" x14ac:dyDescent="0.25">
      <c r="A4003">
        <v>17300000</v>
      </c>
      <c r="B4003">
        <v>6.4825999999999997</v>
      </c>
      <c r="E4003">
        <v>9560000</v>
      </c>
      <c r="F4003">
        <v>6.4535999999999998</v>
      </c>
    </row>
    <row r="4004" spans="1:6" x14ac:dyDescent="0.25">
      <c r="A4004">
        <v>17400000</v>
      </c>
      <c r="B4004">
        <v>6.4827000000000004</v>
      </c>
      <c r="E4004">
        <v>9580000</v>
      </c>
      <c r="F4004">
        <v>6.4537000000000004</v>
      </c>
    </row>
    <row r="4005" spans="1:6" x14ac:dyDescent="0.25">
      <c r="A4005">
        <v>17500000</v>
      </c>
      <c r="B4005">
        <v>6.4828000000000001</v>
      </c>
      <c r="E4005">
        <v>9600000</v>
      </c>
      <c r="F4005">
        <v>6.4538000000000002</v>
      </c>
    </row>
    <row r="4006" spans="1:6" x14ac:dyDescent="0.25">
      <c r="A4006">
        <v>17600000</v>
      </c>
      <c r="B4006">
        <v>6.4828999999999999</v>
      </c>
      <c r="E4006">
        <v>9620000</v>
      </c>
      <c r="F4006">
        <v>6.4539</v>
      </c>
    </row>
    <row r="4007" spans="1:6" x14ac:dyDescent="0.25">
      <c r="A4007">
        <v>17700000</v>
      </c>
      <c r="B4007">
        <v>6.4829999999999997</v>
      </c>
      <c r="E4007">
        <v>9640000</v>
      </c>
      <c r="F4007">
        <v>6.4539999999999997</v>
      </c>
    </row>
    <row r="4008" spans="1:6" x14ac:dyDescent="0.25">
      <c r="A4008">
        <v>17800000</v>
      </c>
      <c r="B4008">
        <v>6.4831000000000003</v>
      </c>
      <c r="E4008">
        <v>9670000</v>
      </c>
      <c r="F4008">
        <v>6.4541000000000004</v>
      </c>
    </row>
    <row r="4009" spans="1:6" x14ac:dyDescent="0.25">
      <c r="A4009">
        <v>17900000</v>
      </c>
      <c r="B4009">
        <v>6.4832000000000001</v>
      </c>
      <c r="E4009">
        <v>9690000</v>
      </c>
      <c r="F4009">
        <v>6.4542000000000002</v>
      </c>
    </row>
    <row r="4010" spans="1:6" x14ac:dyDescent="0.25">
      <c r="A4010">
        <v>18000000</v>
      </c>
      <c r="B4010">
        <v>6.4832999999999998</v>
      </c>
      <c r="E4010">
        <v>9710000</v>
      </c>
      <c r="F4010">
        <v>6.4542999999999999</v>
      </c>
    </row>
    <row r="4011" spans="1:6" x14ac:dyDescent="0.25">
      <c r="A4011">
        <v>18100000</v>
      </c>
      <c r="B4011">
        <v>6.4833999999999996</v>
      </c>
      <c r="E4011">
        <v>9730000</v>
      </c>
      <c r="F4011">
        <v>6.4543999999999997</v>
      </c>
    </row>
    <row r="4012" spans="1:6" x14ac:dyDescent="0.25">
      <c r="A4012">
        <v>18200000</v>
      </c>
      <c r="B4012">
        <v>6.4835000000000003</v>
      </c>
      <c r="E4012">
        <v>9750000</v>
      </c>
      <c r="F4012">
        <v>6.4545000000000003</v>
      </c>
    </row>
    <row r="4013" spans="1:6" x14ac:dyDescent="0.25">
      <c r="A4013">
        <v>18300000</v>
      </c>
      <c r="B4013">
        <v>6.4836</v>
      </c>
      <c r="E4013">
        <v>9770000</v>
      </c>
      <c r="F4013">
        <v>6.4546000000000001</v>
      </c>
    </row>
    <row r="4014" spans="1:6" x14ac:dyDescent="0.25">
      <c r="A4014">
        <v>18400000</v>
      </c>
      <c r="B4014">
        <v>6.4836999999999998</v>
      </c>
      <c r="E4014">
        <v>9790000</v>
      </c>
      <c r="F4014">
        <v>6.4546999999999999</v>
      </c>
    </row>
    <row r="4015" spans="1:6" x14ac:dyDescent="0.25">
      <c r="A4015">
        <v>18500000</v>
      </c>
      <c r="B4015">
        <v>6.4837999999999996</v>
      </c>
      <c r="E4015">
        <v>9820000</v>
      </c>
      <c r="F4015">
        <v>6.4547999999999996</v>
      </c>
    </row>
    <row r="4016" spans="1:6" x14ac:dyDescent="0.25">
      <c r="A4016">
        <v>18600000</v>
      </c>
      <c r="B4016">
        <v>6.4839000000000002</v>
      </c>
      <c r="E4016">
        <v>9840000</v>
      </c>
      <c r="F4016">
        <v>6.4549000000000003</v>
      </c>
    </row>
    <row r="4017" spans="1:6" x14ac:dyDescent="0.25">
      <c r="A4017">
        <v>18800000</v>
      </c>
      <c r="B4017">
        <v>6.484</v>
      </c>
      <c r="E4017">
        <v>9860000</v>
      </c>
      <c r="F4017">
        <v>6.4550000000000001</v>
      </c>
    </row>
    <row r="4018" spans="1:6" x14ac:dyDescent="0.25">
      <c r="A4018">
        <v>18900000</v>
      </c>
      <c r="B4018">
        <v>6.4840999999999998</v>
      </c>
      <c r="E4018">
        <v>9880000</v>
      </c>
      <c r="F4018">
        <v>6.4550999999999998</v>
      </c>
    </row>
    <row r="4019" spans="1:6" x14ac:dyDescent="0.25">
      <c r="A4019">
        <v>19000000</v>
      </c>
      <c r="B4019">
        <v>6.4842000000000004</v>
      </c>
      <c r="E4019">
        <v>9900000</v>
      </c>
      <c r="F4019">
        <v>6.4551999999999996</v>
      </c>
    </row>
    <row r="4020" spans="1:6" x14ac:dyDescent="0.25">
      <c r="A4020">
        <v>19100000</v>
      </c>
      <c r="B4020">
        <v>6.4843000000000002</v>
      </c>
      <c r="E4020">
        <v>9920000</v>
      </c>
      <c r="F4020">
        <v>6.4553000000000003</v>
      </c>
    </row>
    <row r="4021" spans="1:6" x14ac:dyDescent="0.25">
      <c r="A4021">
        <v>19200000</v>
      </c>
      <c r="B4021">
        <v>6.4843999999999999</v>
      </c>
      <c r="E4021">
        <v>9950000</v>
      </c>
      <c r="F4021">
        <v>6.4554</v>
      </c>
    </row>
    <row r="4022" spans="1:6" x14ac:dyDescent="0.25">
      <c r="A4022">
        <v>19400000</v>
      </c>
      <c r="B4022">
        <v>6.4844999999999997</v>
      </c>
      <c r="E4022">
        <v>9970000</v>
      </c>
      <c r="F4022">
        <v>6.4554999999999998</v>
      </c>
    </row>
    <row r="4023" spans="1:6" x14ac:dyDescent="0.25">
      <c r="A4023">
        <v>19500000</v>
      </c>
      <c r="B4023">
        <v>6.4846000000000004</v>
      </c>
      <c r="E4023">
        <v>9990000</v>
      </c>
      <c r="F4023">
        <v>6.4555999999999996</v>
      </c>
    </row>
    <row r="4024" spans="1:6" x14ac:dyDescent="0.25">
      <c r="A4024">
        <v>19600000</v>
      </c>
      <c r="B4024">
        <v>6.4847000000000001</v>
      </c>
      <c r="E4024">
        <v>10100000</v>
      </c>
      <c r="F4024">
        <v>6.4560000000000004</v>
      </c>
    </row>
    <row r="4025" spans="1:6" x14ac:dyDescent="0.25">
      <c r="A4025">
        <v>19700000</v>
      </c>
      <c r="B4025">
        <v>6.4847999999999999</v>
      </c>
      <c r="E4025">
        <v>10200000</v>
      </c>
      <c r="F4025">
        <v>6.4565000000000001</v>
      </c>
    </row>
    <row r="4026" spans="1:6" x14ac:dyDescent="0.25">
      <c r="A4026">
        <v>19900000</v>
      </c>
      <c r="B4026">
        <v>6.4848999999999997</v>
      </c>
      <c r="E4026">
        <v>10300000</v>
      </c>
      <c r="F4026">
        <v>6.4569000000000001</v>
      </c>
    </row>
    <row r="4027" spans="1:6" x14ac:dyDescent="0.25">
      <c r="A4027">
        <v>20000000</v>
      </c>
      <c r="B4027">
        <v>6.4850000000000003</v>
      </c>
      <c r="E4027">
        <v>10400000</v>
      </c>
      <c r="F4027">
        <v>6.4573</v>
      </c>
    </row>
    <row r="4028" spans="1:6" x14ac:dyDescent="0.25">
      <c r="A4028">
        <v>20100000</v>
      </c>
      <c r="B4028">
        <v>6.4851000000000001</v>
      </c>
      <c r="E4028">
        <v>10500000</v>
      </c>
      <c r="F4028">
        <v>6.4577</v>
      </c>
    </row>
    <row r="4029" spans="1:6" x14ac:dyDescent="0.25">
      <c r="A4029">
        <v>20300000</v>
      </c>
      <c r="B4029">
        <v>6.4851999999999999</v>
      </c>
      <c r="E4029">
        <v>10600000</v>
      </c>
      <c r="F4029">
        <v>6.4581</v>
      </c>
    </row>
    <row r="4030" spans="1:6" x14ac:dyDescent="0.25">
      <c r="A4030">
        <v>20400000</v>
      </c>
      <c r="B4030">
        <v>6.4852999999999996</v>
      </c>
      <c r="E4030">
        <v>10700000</v>
      </c>
      <c r="F4030">
        <v>6.4584999999999999</v>
      </c>
    </row>
    <row r="4031" spans="1:6" x14ac:dyDescent="0.25">
      <c r="A4031">
        <v>20500000</v>
      </c>
      <c r="B4031">
        <v>6.4854000000000003</v>
      </c>
      <c r="E4031">
        <v>10800000</v>
      </c>
      <c r="F4031">
        <v>6.4588999999999999</v>
      </c>
    </row>
    <row r="4032" spans="1:6" x14ac:dyDescent="0.25">
      <c r="A4032">
        <v>20700000</v>
      </c>
      <c r="B4032">
        <v>6.4855</v>
      </c>
      <c r="E4032">
        <v>10900000</v>
      </c>
      <c r="F4032">
        <v>6.4592999999999998</v>
      </c>
    </row>
    <row r="4033" spans="1:6" x14ac:dyDescent="0.25">
      <c r="A4033">
        <v>20800000</v>
      </c>
      <c r="B4033">
        <v>6.4855999999999998</v>
      </c>
      <c r="E4033">
        <v>11000000</v>
      </c>
      <c r="F4033">
        <v>6.4596</v>
      </c>
    </row>
    <row r="4034" spans="1:6" x14ac:dyDescent="0.25">
      <c r="A4034">
        <v>21000000</v>
      </c>
      <c r="B4034">
        <v>6.4856999999999996</v>
      </c>
      <c r="E4034">
        <v>11100000</v>
      </c>
      <c r="F4034">
        <v>6.46</v>
      </c>
    </row>
    <row r="4035" spans="1:6" x14ac:dyDescent="0.25">
      <c r="A4035">
        <v>21100000</v>
      </c>
      <c r="B4035">
        <v>6.4858000000000002</v>
      </c>
      <c r="E4035">
        <v>11200000</v>
      </c>
      <c r="F4035">
        <v>6.4603999999999999</v>
      </c>
    </row>
    <row r="4036" spans="1:6" x14ac:dyDescent="0.25">
      <c r="A4036">
        <v>21300000</v>
      </c>
      <c r="B4036">
        <v>6.4859</v>
      </c>
      <c r="E4036">
        <v>11300000</v>
      </c>
      <c r="F4036">
        <v>6.4607000000000001</v>
      </c>
    </row>
    <row r="4037" spans="1:6" x14ac:dyDescent="0.25">
      <c r="A4037">
        <v>21400000</v>
      </c>
      <c r="B4037">
        <v>6.4859999999999998</v>
      </c>
      <c r="E4037">
        <v>11400000</v>
      </c>
      <c r="F4037">
        <v>6.4611000000000001</v>
      </c>
    </row>
    <row r="4038" spans="1:6" x14ac:dyDescent="0.25">
      <c r="A4038">
        <v>21600000</v>
      </c>
      <c r="B4038">
        <v>6.4861000000000004</v>
      </c>
      <c r="E4038">
        <v>11500000</v>
      </c>
      <c r="F4038">
        <v>6.4614000000000003</v>
      </c>
    </row>
    <row r="4039" spans="1:6" x14ac:dyDescent="0.25">
      <c r="A4039">
        <v>21700000</v>
      </c>
      <c r="B4039">
        <v>6.4862000000000002</v>
      </c>
      <c r="E4039">
        <v>11600000</v>
      </c>
      <c r="F4039">
        <v>6.4617000000000004</v>
      </c>
    </row>
    <row r="4040" spans="1:6" x14ac:dyDescent="0.25">
      <c r="A4040">
        <v>21900000</v>
      </c>
      <c r="B4040">
        <v>6.4863</v>
      </c>
      <c r="E4040">
        <v>11700000</v>
      </c>
      <c r="F4040">
        <v>6.4621000000000004</v>
      </c>
    </row>
    <row r="4041" spans="1:6" x14ac:dyDescent="0.25">
      <c r="A4041">
        <v>22000000</v>
      </c>
      <c r="B4041">
        <v>6.4863999999999997</v>
      </c>
      <c r="E4041">
        <v>11800000</v>
      </c>
      <c r="F4041">
        <v>6.4623999999999997</v>
      </c>
    </row>
    <row r="4042" spans="1:6" x14ac:dyDescent="0.25">
      <c r="A4042">
        <v>22200000</v>
      </c>
      <c r="B4042">
        <v>6.4865000000000004</v>
      </c>
      <c r="E4042">
        <v>11900000</v>
      </c>
      <c r="F4042">
        <v>6.4626999999999999</v>
      </c>
    </row>
    <row r="4043" spans="1:6" x14ac:dyDescent="0.25">
      <c r="A4043">
        <v>22400000</v>
      </c>
      <c r="B4043">
        <v>6.4866000000000001</v>
      </c>
      <c r="E4043">
        <v>12000000</v>
      </c>
      <c r="F4043">
        <v>6.4630000000000001</v>
      </c>
    </row>
    <row r="4044" spans="1:6" x14ac:dyDescent="0.25">
      <c r="A4044">
        <v>22500000</v>
      </c>
      <c r="B4044">
        <v>6.4866999999999999</v>
      </c>
      <c r="E4044">
        <v>12100000</v>
      </c>
      <c r="F4044">
        <v>6.4633000000000003</v>
      </c>
    </row>
    <row r="4045" spans="1:6" x14ac:dyDescent="0.25">
      <c r="A4045">
        <v>22700000</v>
      </c>
      <c r="B4045">
        <v>6.4867999999999997</v>
      </c>
      <c r="E4045">
        <v>12200000</v>
      </c>
      <c r="F4045">
        <v>6.4635999999999996</v>
      </c>
    </row>
    <row r="4046" spans="1:6" x14ac:dyDescent="0.25">
      <c r="A4046">
        <v>22900000</v>
      </c>
      <c r="B4046">
        <v>6.4869000000000003</v>
      </c>
      <c r="E4046">
        <v>12300000</v>
      </c>
      <c r="F4046">
        <v>6.4638999999999998</v>
      </c>
    </row>
    <row r="4047" spans="1:6" x14ac:dyDescent="0.25">
      <c r="A4047">
        <v>23100000</v>
      </c>
      <c r="B4047">
        <v>6.4870000000000001</v>
      </c>
      <c r="E4047">
        <v>12400000</v>
      </c>
      <c r="F4047">
        <v>6.4641999999999999</v>
      </c>
    </row>
    <row r="4048" spans="1:6" x14ac:dyDescent="0.25">
      <c r="A4048">
        <v>23200000</v>
      </c>
      <c r="B4048">
        <v>6.4870999999999999</v>
      </c>
      <c r="E4048">
        <v>12500000</v>
      </c>
      <c r="F4048">
        <v>6.4645000000000001</v>
      </c>
    </row>
    <row r="4049" spans="1:6" x14ac:dyDescent="0.25">
      <c r="A4049">
        <v>23400000</v>
      </c>
      <c r="B4049">
        <v>6.4871999999999996</v>
      </c>
      <c r="E4049">
        <v>12600000</v>
      </c>
      <c r="F4049">
        <v>6.4648000000000003</v>
      </c>
    </row>
    <row r="4050" spans="1:6" x14ac:dyDescent="0.25">
      <c r="A4050">
        <v>23600000</v>
      </c>
      <c r="B4050">
        <v>6.4873000000000003</v>
      </c>
      <c r="E4050">
        <v>12700000</v>
      </c>
      <c r="F4050">
        <v>6.4649999999999999</v>
      </c>
    </row>
    <row r="4051" spans="1:6" x14ac:dyDescent="0.25">
      <c r="A4051">
        <v>23800000</v>
      </c>
      <c r="B4051">
        <v>6.4874000000000001</v>
      </c>
      <c r="E4051">
        <v>12800000</v>
      </c>
      <c r="F4051">
        <v>6.4653</v>
      </c>
    </row>
    <row r="4052" spans="1:6" x14ac:dyDescent="0.25">
      <c r="A4052">
        <v>24000000</v>
      </c>
      <c r="B4052">
        <v>6.4874999999999998</v>
      </c>
      <c r="E4052">
        <v>12900000</v>
      </c>
      <c r="F4052">
        <v>6.4656000000000002</v>
      </c>
    </row>
    <row r="4053" spans="1:6" x14ac:dyDescent="0.25">
      <c r="A4053">
        <v>24200000</v>
      </c>
      <c r="B4053">
        <v>6.4875999999999996</v>
      </c>
      <c r="E4053">
        <v>13000000</v>
      </c>
      <c r="F4053">
        <v>6.4659000000000004</v>
      </c>
    </row>
    <row r="4054" spans="1:6" x14ac:dyDescent="0.25">
      <c r="A4054">
        <v>24400000</v>
      </c>
      <c r="B4054">
        <v>6.4877000000000002</v>
      </c>
      <c r="E4054">
        <v>13100000</v>
      </c>
      <c r="F4054">
        <v>6.4661</v>
      </c>
    </row>
    <row r="4055" spans="1:6" x14ac:dyDescent="0.25">
      <c r="A4055">
        <v>24600000</v>
      </c>
      <c r="B4055">
        <v>6.4878</v>
      </c>
      <c r="E4055">
        <v>13200000</v>
      </c>
      <c r="F4055">
        <v>6.4664000000000001</v>
      </c>
    </row>
    <row r="4056" spans="1:6" x14ac:dyDescent="0.25">
      <c r="A4056">
        <v>24800000</v>
      </c>
      <c r="B4056">
        <v>6.4878999999999998</v>
      </c>
      <c r="E4056">
        <v>13300000</v>
      </c>
      <c r="F4056">
        <v>6.4665999999999997</v>
      </c>
    </row>
    <row r="4057" spans="1:6" x14ac:dyDescent="0.25">
      <c r="A4057">
        <v>25000000</v>
      </c>
      <c r="B4057">
        <v>6.4880000000000004</v>
      </c>
      <c r="E4057">
        <v>13400000</v>
      </c>
      <c r="F4057">
        <v>6.4668999999999999</v>
      </c>
    </row>
    <row r="4058" spans="1:6" x14ac:dyDescent="0.25">
      <c r="A4058">
        <v>25200000</v>
      </c>
      <c r="B4058">
        <v>6.4881000000000002</v>
      </c>
      <c r="E4058">
        <v>13500000</v>
      </c>
      <c r="F4058">
        <v>6.4671000000000003</v>
      </c>
    </row>
    <row r="4059" spans="1:6" x14ac:dyDescent="0.25">
      <c r="A4059">
        <v>25400000</v>
      </c>
      <c r="B4059">
        <v>6.4882</v>
      </c>
      <c r="E4059">
        <v>13600000</v>
      </c>
      <c r="F4059">
        <v>6.4673999999999996</v>
      </c>
    </row>
    <row r="4060" spans="1:6" x14ac:dyDescent="0.25">
      <c r="A4060">
        <v>25600000</v>
      </c>
      <c r="B4060">
        <v>6.4882999999999997</v>
      </c>
      <c r="E4060">
        <v>13700000</v>
      </c>
      <c r="F4060">
        <v>6.4676</v>
      </c>
    </row>
    <row r="4061" spans="1:6" x14ac:dyDescent="0.25">
      <c r="A4061">
        <v>25800000</v>
      </c>
      <c r="B4061">
        <v>6.4884000000000004</v>
      </c>
      <c r="E4061">
        <v>13800000</v>
      </c>
      <c r="F4061">
        <v>6.4678000000000004</v>
      </c>
    </row>
    <row r="4062" spans="1:6" x14ac:dyDescent="0.25">
      <c r="A4062">
        <v>26000000</v>
      </c>
      <c r="B4062">
        <v>6.4885000000000002</v>
      </c>
      <c r="E4062">
        <v>13900000</v>
      </c>
      <c r="F4062">
        <v>6.4680999999999997</v>
      </c>
    </row>
    <row r="4063" spans="1:6" x14ac:dyDescent="0.25">
      <c r="A4063">
        <v>26300000</v>
      </c>
      <c r="B4063">
        <v>6.4885999999999999</v>
      </c>
      <c r="E4063">
        <v>14000000</v>
      </c>
      <c r="F4063">
        <v>6.4683000000000002</v>
      </c>
    </row>
    <row r="4064" spans="1:6" x14ac:dyDescent="0.25">
      <c r="A4064">
        <v>26500000</v>
      </c>
      <c r="B4064">
        <v>6.4886999999999997</v>
      </c>
      <c r="E4064">
        <v>14100000</v>
      </c>
      <c r="F4064">
        <v>6.4684999999999997</v>
      </c>
    </row>
    <row r="4065" spans="1:6" x14ac:dyDescent="0.25">
      <c r="A4065">
        <v>26700000</v>
      </c>
      <c r="B4065">
        <v>6.4888000000000003</v>
      </c>
      <c r="E4065">
        <v>14200000</v>
      </c>
      <c r="F4065">
        <v>6.4687000000000001</v>
      </c>
    </row>
    <row r="4066" spans="1:6" x14ac:dyDescent="0.25">
      <c r="A4066">
        <v>27000000</v>
      </c>
      <c r="B4066">
        <v>6.4889000000000001</v>
      </c>
      <c r="E4066">
        <v>14300000</v>
      </c>
      <c r="F4066">
        <v>6.4690000000000003</v>
      </c>
    </row>
    <row r="4067" spans="1:6" x14ac:dyDescent="0.25">
      <c r="A4067">
        <v>27200000</v>
      </c>
      <c r="B4067">
        <v>6.4889999999999999</v>
      </c>
      <c r="E4067">
        <v>14400000</v>
      </c>
      <c r="F4067">
        <v>6.4691999999999998</v>
      </c>
    </row>
    <row r="4068" spans="1:6" x14ac:dyDescent="0.25">
      <c r="A4068">
        <v>27500000</v>
      </c>
      <c r="B4068">
        <v>6.4890999999999996</v>
      </c>
      <c r="E4068">
        <v>14500000</v>
      </c>
      <c r="F4068">
        <v>6.4694000000000003</v>
      </c>
    </row>
    <row r="4069" spans="1:6" x14ac:dyDescent="0.25">
      <c r="A4069">
        <v>27700000</v>
      </c>
      <c r="B4069">
        <v>6.4892000000000003</v>
      </c>
      <c r="E4069">
        <v>14600000</v>
      </c>
      <c r="F4069">
        <v>6.4695999999999998</v>
      </c>
    </row>
    <row r="4070" spans="1:6" x14ac:dyDescent="0.25">
      <c r="A4070">
        <v>28000000</v>
      </c>
      <c r="B4070">
        <v>6.4893000000000001</v>
      </c>
      <c r="E4070">
        <v>14700000</v>
      </c>
      <c r="F4070">
        <v>6.4698000000000002</v>
      </c>
    </row>
    <row r="4071" spans="1:6" x14ac:dyDescent="0.25">
      <c r="A4071">
        <v>28200000</v>
      </c>
      <c r="B4071">
        <v>6.4893999999999998</v>
      </c>
      <c r="E4071">
        <v>14800000</v>
      </c>
      <c r="F4071">
        <v>6.47</v>
      </c>
    </row>
    <row r="4072" spans="1:6" x14ac:dyDescent="0.25">
      <c r="A4072">
        <v>28500000</v>
      </c>
      <c r="B4072">
        <v>6.4894999999999996</v>
      </c>
      <c r="E4072">
        <v>14900000</v>
      </c>
      <c r="F4072">
        <v>6.4702000000000002</v>
      </c>
    </row>
    <row r="4073" spans="1:6" x14ac:dyDescent="0.25">
      <c r="A4073">
        <v>28800000</v>
      </c>
      <c r="B4073">
        <v>6.4896000000000003</v>
      </c>
      <c r="E4073">
        <v>15000000</v>
      </c>
      <c r="F4073">
        <v>6.4703999999999997</v>
      </c>
    </row>
    <row r="4074" spans="1:6" x14ac:dyDescent="0.25">
      <c r="A4074">
        <v>29100000</v>
      </c>
      <c r="B4074">
        <v>6.4897</v>
      </c>
      <c r="E4074">
        <v>15100000</v>
      </c>
      <c r="F4074">
        <v>6.4706000000000001</v>
      </c>
    </row>
    <row r="4075" spans="1:6" x14ac:dyDescent="0.25">
      <c r="A4075">
        <v>29300000</v>
      </c>
      <c r="B4075">
        <v>6.4897999999999998</v>
      </c>
      <c r="E4075">
        <v>15200000</v>
      </c>
      <c r="F4075">
        <v>6.4707999999999997</v>
      </c>
    </row>
    <row r="4076" spans="1:6" x14ac:dyDescent="0.25">
      <c r="A4076">
        <v>29600000</v>
      </c>
      <c r="B4076">
        <v>6.4898999999999996</v>
      </c>
      <c r="E4076">
        <v>15300000</v>
      </c>
      <c r="F4076">
        <v>6.4710000000000001</v>
      </c>
    </row>
    <row r="4077" spans="1:6" x14ac:dyDescent="0.25">
      <c r="A4077">
        <v>29900000</v>
      </c>
      <c r="B4077">
        <v>6.49</v>
      </c>
      <c r="E4077">
        <v>15400000</v>
      </c>
      <c r="F4077">
        <v>6.4711999999999996</v>
      </c>
    </row>
    <row r="4078" spans="1:6" x14ac:dyDescent="0.25">
      <c r="A4078">
        <v>30200000</v>
      </c>
      <c r="B4078">
        <v>6.4901</v>
      </c>
      <c r="E4078">
        <v>15500000</v>
      </c>
      <c r="F4078">
        <v>6.4714</v>
      </c>
    </row>
    <row r="4079" spans="1:6" x14ac:dyDescent="0.25">
      <c r="A4079">
        <v>30500000</v>
      </c>
      <c r="B4079">
        <v>6.4901999999999997</v>
      </c>
      <c r="E4079">
        <v>15600000</v>
      </c>
      <c r="F4079">
        <v>6.4714999999999998</v>
      </c>
    </row>
    <row r="4080" spans="1:6" x14ac:dyDescent="0.25">
      <c r="A4080">
        <v>30800000</v>
      </c>
      <c r="B4080">
        <v>6.4903000000000004</v>
      </c>
      <c r="E4080">
        <v>15700000</v>
      </c>
      <c r="F4080">
        <v>6.4717000000000002</v>
      </c>
    </row>
    <row r="4081" spans="1:6" x14ac:dyDescent="0.25">
      <c r="A4081">
        <v>31200000</v>
      </c>
      <c r="B4081">
        <v>6.4904000000000002</v>
      </c>
      <c r="E4081">
        <v>15800000</v>
      </c>
      <c r="F4081">
        <v>6.4718999999999998</v>
      </c>
    </row>
    <row r="4082" spans="1:6" x14ac:dyDescent="0.25">
      <c r="A4082">
        <v>31500000</v>
      </c>
      <c r="B4082">
        <v>6.4904999999999999</v>
      </c>
      <c r="E4082">
        <v>15900000</v>
      </c>
      <c r="F4082">
        <v>6.4721000000000002</v>
      </c>
    </row>
    <row r="4083" spans="1:6" x14ac:dyDescent="0.25">
      <c r="A4083">
        <v>31800000</v>
      </c>
      <c r="B4083">
        <v>6.4905999999999997</v>
      </c>
      <c r="E4083">
        <v>16000000</v>
      </c>
      <c r="F4083">
        <v>6.4722999999999997</v>
      </c>
    </row>
    <row r="4084" spans="1:6" x14ac:dyDescent="0.25">
      <c r="A4084">
        <v>32200000</v>
      </c>
      <c r="B4084">
        <v>6.4907000000000004</v>
      </c>
      <c r="E4084">
        <v>16100000</v>
      </c>
      <c r="F4084">
        <v>6.4724000000000004</v>
      </c>
    </row>
    <row r="4085" spans="1:6" x14ac:dyDescent="0.25">
      <c r="A4085">
        <v>32500000</v>
      </c>
      <c r="B4085">
        <v>6.4908000000000001</v>
      </c>
      <c r="E4085">
        <v>16200000</v>
      </c>
      <c r="F4085">
        <v>6.4725999999999999</v>
      </c>
    </row>
    <row r="4086" spans="1:6" x14ac:dyDescent="0.25">
      <c r="A4086">
        <v>32900000</v>
      </c>
      <c r="B4086">
        <v>6.4908999999999999</v>
      </c>
      <c r="E4086">
        <v>16300000</v>
      </c>
      <c r="F4086">
        <v>6.4728000000000003</v>
      </c>
    </row>
    <row r="4087" spans="1:6" x14ac:dyDescent="0.25">
      <c r="A4087">
        <v>33200000</v>
      </c>
      <c r="B4087">
        <v>6.4909999999999997</v>
      </c>
      <c r="E4087">
        <v>16400000</v>
      </c>
      <c r="F4087">
        <v>6.4729000000000001</v>
      </c>
    </row>
    <row r="4088" spans="1:6" x14ac:dyDescent="0.25">
      <c r="A4088">
        <v>33600000</v>
      </c>
      <c r="B4088">
        <v>6.4911000000000003</v>
      </c>
      <c r="E4088">
        <v>16500000</v>
      </c>
      <c r="F4088">
        <v>6.4730999999999996</v>
      </c>
    </row>
    <row r="4089" spans="1:6" x14ac:dyDescent="0.25">
      <c r="A4089">
        <v>34000000</v>
      </c>
      <c r="B4089">
        <v>6.4912000000000001</v>
      </c>
      <c r="E4089">
        <v>16600000</v>
      </c>
      <c r="F4089">
        <v>6.4733000000000001</v>
      </c>
    </row>
    <row r="4090" spans="1:6" x14ac:dyDescent="0.25">
      <c r="A4090">
        <v>34400000</v>
      </c>
      <c r="B4090">
        <v>6.4912999999999998</v>
      </c>
      <c r="E4090">
        <v>16700000</v>
      </c>
      <c r="F4090">
        <v>6.4733999999999998</v>
      </c>
    </row>
    <row r="4091" spans="1:6" x14ac:dyDescent="0.25">
      <c r="A4091">
        <v>34800000</v>
      </c>
      <c r="B4091">
        <v>6.4913999999999996</v>
      </c>
      <c r="E4091">
        <v>16800000</v>
      </c>
      <c r="F4091">
        <v>6.4736000000000002</v>
      </c>
    </row>
    <row r="4092" spans="1:6" x14ac:dyDescent="0.25">
      <c r="A4092">
        <v>35200000</v>
      </c>
      <c r="B4092">
        <v>6.4915000000000003</v>
      </c>
      <c r="E4092">
        <v>16900000</v>
      </c>
      <c r="F4092">
        <v>6.4737</v>
      </c>
    </row>
    <row r="4093" spans="1:6" x14ac:dyDescent="0.25">
      <c r="A4093">
        <v>35600000</v>
      </c>
      <c r="B4093">
        <v>6.4916</v>
      </c>
      <c r="E4093">
        <v>17000000</v>
      </c>
      <c r="F4093">
        <v>6.4739000000000004</v>
      </c>
    </row>
    <row r="4094" spans="1:6" x14ac:dyDescent="0.25">
      <c r="A4094">
        <v>36000000</v>
      </c>
      <c r="B4094">
        <v>6.4916999999999998</v>
      </c>
      <c r="E4094">
        <v>17100000</v>
      </c>
      <c r="F4094">
        <v>6.4740000000000002</v>
      </c>
    </row>
    <row r="4095" spans="1:6" x14ac:dyDescent="0.25">
      <c r="A4095">
        <v>36400000</v>
      </c>
      <c r="B4095">
        <v>6.4917999999999996</v>
      </c>
      <c r="E4095">
        <v>17200000</v>
      </c>
      <c r="F4095">
        <v>6.4741999999999997</v>
      </c>
    </row>
    <row r="4096" spans="1:6" x14ac:dyDescent="0.25">
      <c r="A4096">
        <v>36900000</v>
      </c>
      <c r="B4096">
        <v>6.4919000000000002</v>
      </c>
      <c r="E4096">
        <v>17300000</v>
      </c>
      <c r="F4096">
        <v>6.4743000000000004</v>
      </c>
    </row>
    <row r="4097" spans="1:6" x14ac:dyDescent="0.25">
      <c r="A4097">
        <v>37300000</v>
      </c>
      <c r="B4097">
        <v>6.492</v>
      </c>
      <c r="E4097">
        <v>17400000</v>
      </c>
      <c r="F4097">
        <v>6.4744999999999999</v>
      </c>
    </row>
    <row r="4098" spans="1:6" x14ac:dyDescent="0.25">
      <c r="A4098">
        <v>37800000</v>
      </c>
      <c r="B4098">
        <v>6.4920999999999998</v>
      </c>
      <c r="E4098">
        <v>17500000</v>
      </c>
      <c r="F4098">
        <v>6.4745999999999997</v>
      </c>
    </row>
    <row r="4099" spans="1:6" x14ac:dyDescent="0.25">
      <c r="A4099">
        <v>38300000</v>
      </c>
      <c r="B4099">
        <v>6.4922000000000004</v>
      </c>
      <c r="E4099">
        <v>17600000</v>
      </c>
      <c r="F4099">
        <v>6.4748000000000001</v>
      </c>
    </row>
    <row r="4100" spans="1:6" x14ac:dyDescent="0.25">
      <c r="A4100">
        <v>38800000</v>
      </c>
      <c r="B4100">
        <v>6.4923000000000002</v>
      </c>
      <c r="E4100">
        <v>17700000</v>
      </c>
      <c r="F4100">
        <v>6.4748999999999999</v>
      </c>
    </row>
    <row r="4101" spans="1:6" x14ac:dyDescent="0.25">
      <c r="A4101">
        <v>39300000</v>
      </c>
      <c r="B4101">
        <v>6.4923999999999999</v>
      </c>
      <c r="E4101">
        <v>17800000</v>
      </c>
      <c r="F4101">
        <v>6.4751000000000003</v>
      </c>
    </row>
    <row r="4102" spans="1:6" x14ac:dyDescent="0.25">
      <c r="A4102">
        <v>39800000</v>
      </c>
      <c r="B4102">
        <v>6.4924999999999997</v>
      </c>
      <c r="E4102">
        <v>17900000</v>
      </c>
      <c r="F4102">
        <v>6.4752000000000001</v>
      </c>
    </row>
    <row r="4103" spans="1:6" x14ac:dyDescent="0.25">
      <c r="A4103">
        <v>40300000</v>
      </c>
      <c r="B4103">
        <v>6.4926000000000004</v>
      </c>
      <c r="E4103">
        <v>18000000</v>
      </c>
      <c r="F4103">
        <v>6.4752999999999998</v>
      </c>
    </row>
    <row r="4104" spans="1:6" x14ac:dyDescent="0.25">
      <c r="A4104">
        <v>40900000</v>
      </c>
      <c r="B4104">
        <v>6.4927000000000001</v>
      </c>
      <c r="E4104">
        <v>18100000</v>
      </c>
      <c r="F4104">
        <v>6.4755000000000003</v>
      </c>
    </row>
    <row r="4105" spans="1:6" x14ac:dyDescent="0.25">
      <c r="A4105">
        <v>41500000</v>
      </c>
      <c r="B4105">
        <v>6.4927999999999999</v>
      </c>
      <c r="E4105">
        <v>18200000</v>
      </c>
      <c r="F4105">
        <v>6.4756</v>
      </c>
    </row>
    <row r="4106" spans="1:6" x14ac:dyDescent="0.25">
      <c r="A4106">
        <v>42000000</v>
      </c>
      <c r="B4106">
        <v>6.4928999999999997</v>
      </c>
      <c r="E4106">
        <v>18300000</v>
      </c>
      <c r="F4106">
        <v>6.4756999999999998</v>
      </c>
    </row>
    <row r="4107" spans="1:6" x14ac:dyDescent="0.25">
      <c r="A4107">
        <v>42600000</v>
      </c>
      <c r="B4107">
        <v>6.4930000000000003</v>
      </c>
      <c r="E4107">
        <v>18400000</v>
      </c>
      <c r="F4107">
        <v>6.4759000000000002</v>
      </c>
    </row>
    <row r="4108" spans="1:6" x14ac:dyDescent="0.25">
      <c r="A4108">
        <v>43200000</v>
      </c>
      <c r="B4108">
        <v>6.4931000000000001</v>
      </c>
      <c r="E4108">
        <v>18500000</v>
      </c>
      <c r="F4108">
        <v>6.476</v>
      </c>
    </row>
    <row r="4109" spans="1:6" x14ac:dyDescent="0.25">
      <c r="A4109">
        <v>43900000</v>
      </c>
      <c r="B4109">
        <v>6.4931999999999999</v>
      </c>
      <c r="E4109">
        <v>18600000</v>
      </c>
      <c r="F4109">
        <v>6.4760999999999997</v>
      </c>
    </row>
    <row r="4110" spans="1:6" x14ac:dyDescent="0.25">
      <c r="A4110">
        <v>44500000</v>
      </c>
      <c r="B4110">
        <v>6.4932999999999996</v>
      </c>
      <c r="E4110">
        <v>18700000</v>
      </c>
      <c r="F4110">
        <v>6.4763000000000002</v>
      </c>
    </row>
    <row r="4111" spans="1:6" x14ac:dyDescent="0.25">
      <c r="A4111">
        <v>45200000</v>
      </c>
      <c r="B4111">
        <v>6.4934000000000003</v>
      </c>
      <c r="E4111">
        <v>18800000</v>
      </c>
      <c r="F4111">
        <v>6.4763999999999999</v>
      </c>
    </row>
    <row r="4112" spans="1:6" x14ac:dyDescent="0.25">
      <c r="A4112">
        <v>45900000</v>
      </c>
      <c r="B4112">
        <v>6.4935</v>
      </c>
      <c r="E4112">
        <v>18900000</v>
      </c>
      <c r="F4112">
        <v>6.4764999999999997</v>
      </c>
    </row>
    <row r="4113" spans="1:6" x14ac:dyDescent="0.25">
      <c r="A4113">
        <v>46600000</v>
      </c>
      <c r="B4113">
        <v>6.4935999999999998</v>
      </c>
      <c r="E4113">
        <v>19000000</v>
      </c>
      <c r="F4113">
        <v>6.4766000000000004</v>
      </c>
    </row>
    <row r="4114" spans="1:6" x14ac:dyDescent="0.25">
      <c r="A4114">
        <v>47300000</v>
      </c>
      <c r="B4114">
        <v>6.4936999999999996</v>
      </c>
      <c r="E4114">
        <v>19100000</v>
      </c>
      <c r="F4114">
        <v>6.4767999999999999</v>
      </c>
    </row>
    <row r="4115" spans="1:6" x14ac:dyDescent="0.25">
      <c r="A4115">
        <v>48100000</v>
      </c>
      <c r="B4115">
        <v>6.4938000000000002</v>
      </c>
      <c r="E4115">
        <v>19200000</v>
      </c>
      <c r="F4115">
        <v>6.4768999999999997</v>
      </c>
    </row>
    <row r="4116" spans="1:6" x14ac:dyDescent="0.25">
      <c r="A4116">
        <v>48900000</v>
      </c>
      <c r="B4116">
        <v>6.4939</v>
      </c>
      <c r="E4116">
        <v>19300000</v>
      </c>
      <c r="F4116">
        <v>6.4770000000000003</v>
      </c>
    </row>
    <row r="4117" spans="1:6" x14ac:dyDescent="0.25">
      <c r="A4117">
        <v>49700000</v>
      </c>
      <c r="B4117">
        <v>6.4939999999999998</v>
      </c>
      <c r="E4117">
        <v>19400000</v>
      </c>
      <c r="F4117">
        <v>6.4771000000000001</v>
      </c>
    </row>
    <row r="4118" spans="1:6" x14ac:dyDescent="0.25">
      <c r="A4118">
        <v>50500000</v>
      </c>
      <c r="B4118">
        <v>6.4941000000000004</v>
      </c>
      <c r="E4118">
        <v>19500000</v>
      </c>
      <c r="F4118">
        <v>6.4771999999999998</v>
      </c>
    </row>
    <row r="4119" spans="1:6" x14ac:dyDescent="0.25">
      <c r="A4119">
        <v>51400000</v>
      </c>
      <c r="B4119">
        <v>6.4942000000000002</v>
      </c>
      <c r="E4119">
        <v>19600000</v>
      </c>
      <c r="F4119">
        <v>6.4774000000000003</v>
      </c>
    </row>
    <row r="4120" spans="1:6" x14ac:dyDescent="0.25">
      <c r="A4120">
        <v>52300000</v>
      </c>
      <c r="B4120">
        <v>6.4943</v>
      </c>
      <c r="E4120">
        <v>19700000</v>
      </c>
      <c r="F4120">
        <v>6.4775</v>
      </c>
    </row>
    <row r="4121" spans="1:6" x14ac:dyDescent="0.25">
      <c r="A4121">
        <v>53200000</v>
      </c>
      <c r="B4121">
        <v>6.4943999999999997</v>
      </c>
      <c r="E4121">
        <v>19800000</v>
      </c>
      <c r="F4121">
        <v>6.4775999999999998</v>
      </c>
    </row>
    <row r="4122" spans="1:6" x14ac:dyDescent="0.25">
      <c r="A4122">
        <v>54100000</v>
      </c>
      <c r="B4122">
        <v>6.4945000000000004</v>
      </c>
      <c r="E4122">
        <v>19900000</v>
      </c>
      <c r="F4122">
        <v>6.4776999999999996</v>
      </c>
    </row>
    <row r="4123" spans="1:6" x14ac:dyDescent="0.25">
      <c r="A4123">
        <v>55100000</v>
      </c>
      <c r="B4123">
        <v>6.4946000000000002</v>
      </c>
      <c r="E4123">
        <v>20000000</v>
      </c>
      <c r="F4123">
        <v>6.4778000000000002</v>
      </c>
    </row>
    <row r="4124" spans="1:6" x14ac:dyDescent="0.25">
      <c r="A4124">
        <v>56200000</v>
      </c>
      <c r="B4124">
        <v>6.4946999999999999</v>
      </c>
      <c r="E4124">
        <v>20100000</v>
      </c>
      <c r="F4124">
        <v>6.4779</v>
      </c>
    </row>
    <row r="4125" spans="1:6" x14ac:dyDescent="0.25">
      <c r="A4125">
        <v>57200000</v>
      </c>
      <c r="B4125">
        <v>6.4947999999999997</v>
      </c>
      <c r="E4125">
        <v>20200000</v>
      </c>
      <c r="F4125">
        <v>6.4779999999999998</v>
      </c>
    </row>
    <row r="4126" spans="1:6" x14ac:dyDescent="0.25">
      <c r="A4126">
        <v>58300000</v>
      </c>
      <c r="B4126">
        <v>6.4949000000000003</v>
      </c>
      <c r="E4126">
        <v>20300000</v>
      </c>
      <c r="F4126">
        <v>6.4781000000000004</v>
      </c>
    </row>
    <row r="4127" spans="1:6" x14ac:dyDescent="0.25">
      <c r="A4127">
        <v>59500000</v>
      </c>
      <c r="B4127">
        <v>6.4950000000000001</v>
      </c>
      <c r="E4127">
        <v>20400000</v>
      </c>
      <c r="F4127">
        <v>6.4782000000000002</v>
      </c>
    </row>
    <row r="4128" spans="1:6" x14ac:dyDescent="0.25">
      <c r="A4128">
        <v>60700000</v>
      </c>
      <c r="B4128">
        <v>6.4950999999999999</v>
      </c>
      <c r="E4128">
        <v>20500000</v>
      </c>
      <c r="F4128">
        <v>6.4782999999999999</v>
      </c>
    </row>
    <row r="4129" spans="1:6" x14ac:dyDescent="0.25">
      <c r="A4129">
        <v>61900000</v>
      </c>
      <c r="B4129">
        <v>6.4951999999999996</v>
      </c>
      <c r="E4129">
        <v>20600000</v>
      </c>
      <c r="F4129">
        <v>6.4785000000000004</v>
      </c>
    </row>
    <row r="4130" spans="1:6" x14ac:dyDescent="0.25">
      <c r="A4130">
        <v>63200000</v>
      </c>
      <c r="B4130">
        <v>6.4953000000000003</v>
      </c>
      <c r="E4130">
        <v>20700000</v>
      </c>
      <c r="F4130">
        <v>6.4786000000000001</v>
      </c>
    </row>
    <row r="4131" spans="1:6" x14ac:dyDescent="0.25">
      <c r="A4131">
        <v>64600000</v>
      </c>
      <c r="B4131">
        <v>6.4954000000000001</v>
      </c>
      <c r="E4131">
        <v>20800000</v>
      </c>
      <c r="F4131">
        <v>6.4786999999999999</v>
      </c>
    </row>
    <row r="4132" spans="1:6" x14ac:dyDescent="0.25">
      <c r="A4132">
        <v>66000000</v>
      </c>
      <c r="B4132">
        <v>6.4954999999999998</v>
      </c>
      <c r="E4132">
        <v>20900000</v>
      </c>
      <c r="F4132">
        <v>6.4787999999999997</v>
      </c>
    </row>
    <row r="4133" spans="1:6" x14ac:dyDescent="0.25">
      <c r="A4133">
        <v>67500000</v>
      </c>
      <c r="B4133">
        <v>6.4955999999999996</v>
      </c>
      <c r="E4133">
        <v>21000000</v>
      </c>
      <c r="F4133">
        <v>6.4789000000000003</v>
      </c>
    </row>
    <row r="4134" spans="1:6" x14ac:dyDescent="0.25">
      <c r="A4134">
        <v>69100000</v>
      </c>
      <c r="B4134">
        <v>6.4957000000000003</v>
      </c>
      <c r="E4134">
        <v>21100000</v>
      </c>
      <c r="F4134">
        <v>6.4790000000000001</v>
      </c>
    </row>
    <row r="4135" spans="1:6" x14ac:dyDescent="0.25">
      <c r="A4135">
        <v>70700000</v>
      </c>
      <c r="B4135">
        <v>6.4958</v>
      </c>
      <c r="E4135">
        <v>21200000</v>
      </c>
      <c r="F4135">
        <v>6.4790999999999999</v>
      </c>
    </row>
    <row r="4136" spans="1:6" x14ac:dyDescent="0.25">
      <c r="A4136">
        <v>72400000</v>
      </c>
      <c r="B4136">
        <v>6.4958999999999998</v>
      </c>
      <c r="E4136">
        <v>21300000</v>
      </c>
      <c r="F4136">
        <v>6.4791999999999996</v>
      </c>
    </row>
    <row r="4137" spans="1:6" x14ac:dyDescent="0.25">
      <c r="A4137">
        <v>74200000</v>
      </c>
      <c r="B4137">
        <v>6.4960000000000004</v>
      </c>
      <c r="E4137">
        <v>21400000</v>
      </c>
      <c r="F4137">
        <v>6.4793000000000003</v>
      </c>
    </row>
    <row r="4138" spans="1:6" x14ac:dyDescent="0.25">
      <c r="A4138">
        <v>76000000</v>
      </c>
      <c r="B4138">
        <v>6.4961000000000002</v>
      </c>
      <c r="E4138">
        <v>21500000</v>
      </c>
      <c r="F4138">
        <v>6.4794</v>
      </c>
    </row>
    <row r="4139" spans="1:6" x14ac:dyDescent="0.25">
      <c r="A4139">
        <v>78000000</v>
      </c>
      <c r="B4139">
        <v>6.4962</v>
      </c>
      <c r="E4139">
        <v>21700000</v>
      </c>
      <c r="F4139">
        <v>6.4794999999999998</v>
      </c>
    </row>
    <row r="4140" spans="1:6" x14ac:dyDescent="0.25">
      <c r="A4140">
        <v>80100000</v>
      </c>
      <c r="B4140">
        <v>6.4962999999999997</v>
      </c>
      <c r="E4140">
        <v>21800000</v>
      </c>
      <c r="F4140">
        <v>6.4795999999999996</v>
      </c>
    </row>
    <row r="4141" spans="1:6" x14ac:dyDescent="0.25">
      <c r="A4141">
        <v>82300000</v>
      </c>
      <c r="B4141">
        <v>6.4964000000000004</v>
      </c>
      <c r="E4141">
        <v>21900000</v>
      </c>
      <c r="F4141">
        <v>6.4797000000000002</v>
      </c>
    </row>
    <row r="4142" spans="1:6" x14ac:dyDescent="0.25">
      <c r="A4142">
        <v>84600000</v>
      </c>
      <c r="B4142">
        <v>6.4965000000000002</v>
      </c>
      <c r="E4142">
        <v>22000000</v>
      </c>
      <c r="F4142">
        <v>6.4798</v>
      </c>
    </row>
    <row r="4143" spans="1:6" x14ac:dyDescent="0.25">
      <c r="A4143">
        <v>87100000</v>
      </c>
      <c r="B4143">
        <v>6.4965999999999999</v>
      </c>
      <c r="E4143">
        <v>22100000</v>
      </c>
      <c r="F4143">
        <v>6.4798999999999998</v>
      </c>
    </row>
    <row r="4144" spans="1:6" x14ac:dyDescent="0.25">
      <c r="A4144">
        <v>89700000</v>
      </c>
      <c r="B4144">
        <v>6.4966999999999997</v>
      </c>
      <c r="E4144">
        <v>22200000</v>
      </c>
      <c r="F4144">
        <v>6.48</v>
      </c>
    </row>
    <row r="4145" spans="1:6" x14ac:dyDescent="0.25">
      <c r="A4145">
        <v>92400000</v>
      </c>
      <c r="B4145">
        <v>6.4968000000000004</v>
      </c>
      <c r="E4145">
        <v>22300000</v>
      </c>
      <c r="F4145">
        <v>6.4801000000000002</v>
      </c>
    </row>
    <row r="4146" spans="1:6" x14ac:dyDescent="0.25">
      <c r="A4146">
        <v>95300000</v>
      </c>
      <c r="B4146">
        <v>6.4969000000000001</v>
      </c>
      <c r="E4146">
        <v>22400000</v>
      </c>
      <c r="F4146">
        <v>6.4802</v>
      </c>
    </row>
    <row r="4147" spans="1:6" x14ac:dyDescent="0.25">
      <c r="A4147">
        <v>98500000</v>
      </c>
      <c r="B4147">
        <v>6.4969999999999999</v>
      </c>
      <c r="E4147">
        <v>22500000</v>
      </c>
      <c r="F4147">
        <v>6.4802999999999997</v>
      </c>
    </row>
    <row r="4148" spans="1:6" x14ac:dyDescent="0.25">
      <c r="A4148">
        <v>102000000</v>
      </c>
      <c r="B4148">
        <v>6.4970999999999997</v>
      </c>
      <c r="E4148">
        <v>22600000</v>
      </c>
      <c r="F4148">
        <v>6.4804000000000004</v>
      </c>
    </row>
    <row r="4149" spans="1:6" x14ac:dyDescent="0.25">
      <c r="A4149">
        <v>106000000</v>
      </c>
      <c r="B4149">
        <v>6.4972000000000003</v>
      </c>
      <c r="E4149">
        <v>22800000</v>
      </c>
      <c r="F4149">
        <v>6.4805000000000001</v>
      </c>
    </row>
    <row r="4150" spans="1:6" x14ac:dyDescent="0.25">
      <c r="A4150">
        <v>110000000</v>
      </c>
      <c r="B4150">
        <v>6.4973000000000001</v>
      </c>
      <c r="E4150">
        <v>22900000</v>
      </c>
      <c r="F4150">
        <v>6.4805999999999999</v>
      </c>
    </row>
    <row r="4151" spans="1:6" x14ac:dyDescent="0.25">
      <c r="A4151">
        <v>114000000</v>
      </c>
      <c r="B4151">
        <v>6.4973999999999998</v>
      </c>
      <c r="E4151">
        <v>23000000</v>
      </c>
      <c r="F4151">
        <v>6.4806999999999997</v>
      </c>
    </row>
    <row r="4152" spans="1:6" x14ac:dyDescent="0.25">
      <c r="A4152">
        <v>118000000</v>
      </c>
      <c r="B4152">
        <v>6.4974999999999996</v>
      </c>
      <c r="E4152">
        <v>23100000</v>
      </c>
      <c r="F4152">
        <v>6.4808000000000003</v>
      </c>
    </row>
    <row r="4153" spans="1:6" x14ac:dyDescent="0.25">
      <c r="A4153">
        <v>123000000</v>
      </c>
      <c r="B4153">
        <v>6.4976000000000003</v>
      </c>
      <c r="E4153">
        <v>23200000</v>
      </c>
      <c r="F4153">
        <v>6.4809000000000001</v>
      </c>
    </row>
    <row r="4154" spans="1:6" x14ac:dyDescent="0.25">
      <c r="A4154">
        <v>128000000</v>
      </c>
      <c r="B4154">
        <v>6.4977</v>
      </c>
      <c r="E4154">
        <v>23400000</v>
      </c>
      <c r="F4154">
        <v>6.4809999999999999</v>
      </c>
    </row>
    <row r="4155" spans="1:6" x14ac:dyDescent="0.25">
      <c r="A4155">
        <v>134000000</v>
      </c>
      <c r="B4155">
        <v>6.4977999999999998</v>
      </c>
      <c r="E4155">
        <v>23500000</v>
      </c>
      <c r="F4155">
        <v>6.4810999999999996</v>
      </c>
    </row>
    <row r="4156" spans="1:6" x14ac:dyDescent="0.25">
      <c r="A4156">
        <v>140000000</v>
      </c>
      <c r="B4156">
        <v>6.4978999999999996</v>
      </c>
      <c r="E4156">
        <v>23600000</v>
      </c>
      <c r="F4156">
        <v>6.4812000000000003</v>
      </c>
    </row>
    <row r="4157" spans="1:6" x14ac:dyDescent="0.25">
      <c r="A4157">
        <v>147000000</v>
      </c>
      <c r="B4157">
        <v>6.4980000000000002</v>
      </c>
      <c r="E4157">
        <v>23700000</v>
      </c>
      <c r="F4157">
        <v>6.4813000000000001</v>
      </c>
    </row>
    <row r="4158" spans="1:6" x14ac:dyDescent="0.25">
      <c r="A4158">
        <v>154000000</v>
      </c>
      <c r="B4158">
        <v>6.4981</v>
      </c>
      <c r="E4158">
        <v>23900000</v>
      </c>
      <c r="F4158">
        <v>6.4813999999999998</v>
      </c>
    </row>
    <row r="4159" spans="1:6" x14ac:dyDescent="0.25">
      <c r="A4159">
        <v>163000000</v>
      </c>
      <c r="B4159">
        <v>6.4981999999999998</v>
      </c>
      <c r="E4159">
        <v>24000000</v>
      </c>
      <c r="F4159">
        <v>6.4814999999999996</v>
      </c>
    </row>
    <row r="4160" spans="1:6" x14ac:dyDescent="0.25">
      <c r="A4160">
        <v>172000000</v>
      </c>
      <c r="B4160">
        <v>6.4983000000000004</v>
      </c>
      <c r="E4160">
        <v>24100000</v>
      </c>
      <c r="F4160">
        <v>6.4816000000000003</v>
      </c>
    </row>
    <row r="4161" spans="1:6" x14ac:dyDescent="0.25">
      <c r="A4161">
        <v>182000000</v>
      </c>
      <c r="B4161">
        <v>6.4984000000000002</v>
      </c>
      <c r="E4161">
        <v>24200000</v>
      </c>
      <c r="F4161">
        <v>6.4817</v>
      </c>
    </row>
    <row r="4162" spans="1:6" x14ac:dyDescent="0.25">
      <c r="A4162">
        <v>194000000</v>
      </c>
      <c r="B4162">
        <v>6.4984999999999999</v>
      </c>
      <c r="E4162">
        <v>24400000</v>
      </c>
      <c r="F4162">
        <v>6.4817999999999998</v>
      </c>
    </row>
    <row r="4163" spans="1:6" x14ac:dyDescent="0.25">
      <c r="A4163">
        <v>208000000</v>
      </c>
      <c r="B4163">
        <v>6.4985999999999997</v>
      </c>
      <c r="E4163">
        <v>24500000</v>
      </c>
      <c r="F4163">
        <v>6.4819000000000004</v>
      </c>
    </row>
    <row r="4164" spans="1:6" x14ac:dyDescent="0.25">
      <c r="A4164">
        <v>223000000</v>
      </c>
      <c r="B4164">
        <v>6.4987000000000004</v>
      </c>
      <c r="E4164">
        <v>24600000</v>
      </c>
      <c r="F4164">
        <v>6.4820000000000002</v>
      </c>
    </row>
    <row r="4165" spans="1:6" x14ac:dyDescent="0.25">
      <c r="A4165">
        <v>241000000</v>
      </c>
      <c r="B4165">
        <v>6.4988000000000001</v>
      </c>
      <c r="E4165">
        <v>24800000</v>
      </c>
      <c r="F4165">
        <v>6.4821</v>
      </c>
    </row>
    <row r="4166" spans="1:6" x14ac:dyDescent="0.25">
      <c r="A4166">
        <v>262000000</v>
      </c>
      <c r="B4166">
        <v>6.4988999999999999</v>
      </c>
      <c r="E4166">
        <v>24900000</v>
      </c>
      <c r="F4166">
        <v>6.4821999999999997</v>
      </c>
    </row>
    <row r="4167" spans="1:6" x14ac:dyDescent="0.25">
      <c r="A4167">
        <v>286000000</v>
      </c>
      <c r="B4167">
        <v>6.4989999999999997</v>
      </c>
      <c r="E4167">
        <v>25100000</v>
      </c>
      <c r="F4167">
        <v>6.4823000000000004</v>
      </c>
    </row>
    <row r="4168" spans="1:6" x14ac:dyDescent="0.25">
      <c r="A4168">
        <v>316000000</v>
      </c>
      <c r="B4168">
        <v>6.4991000000000003</v>
      </c>
      <c r="E4168">
        <v>25200000</v>
      </c>
      <c r="F4168">
        <v>6.4824000000000002</v>
      </c>
    </row>
    <row r="4169" spans="1:6" x14ac:dyDescent="0.25">
      <c r="A4169">
        <v>354000000</v>
      </c>
      <c r="B4169">
        <v>6.4992000000000001</v>
      </c>
      <c r="E4169">
        <v>25300000</v>
      </c>
      <c r="F4169">
        <v>6.4824999999999999</v>
      </c>
    </row>
    <row r="4170" spans="1:6" x14ac:dyDescent="0.25">
      <c r="A4170">
        <v>401000000</v>
      </c>
      <c r="B4170">
        <v>6.4992999999999999</v>
      </c>
      <c r="E4170">
        <v>25500000</v>
      </c>
      <c r="F4170">
        <v>6.4825999999999997</v>
      </c>
    </row>
    <row r="4171" spans="1:6" x14ac:dyDescent="0.25">
      <c r="A4171">
        <v>462000000</v>
      </c>
      <c r="B4171">
        <v>6.4993999999999996</v>
      </c>
      <c r="E4171">
        <v>25600000</v>
      </c>
      <c r="F4171">
        <v>6.4827000000000004</v>
      </c>
    </row>
    <row r="4172" spans="1:6" x14ac:dyDescent="0.25">
      <c r="A4172">
        <v>546000000</v>
      </c>
      <c r="B4172">
        <v>6.4995000000000003</v>
      </c>
      <c r="E4172">
        <v>25800000</v>
      </c>
      <c r="F4172">
        <v>6.4828000000000001</v>
      </c>
    </row>
    <row r="4173" spans="1:6" x14ac:dyDescent="0.25">
      <c r="A4173">
        <v>668000000</v>
      </c>
      <c r="B4173">
        <v>6.4996</v>
      </c>
      <c r="E4173">
        <v>25900000</v>
      </c>
      <c r="F4173">
        <v>6.4828999999999999</v>
      </c>
    </row>
    <row r="4174" spans="1:6" x14ac:dyDescent="0.25">
      <c r="A4174">
        <v>858000000</v>
      </c>
      <c r="B4174">
        <v>6.4996999999999998</v>
      </c>
      <c r="E4174">
        <v>26100000</v>
      </c>
      <c r="F4174">
        <v>6.4829999999999997</v>
      </c>
    </row>
    <row r="4175" spans="1:6" x14ac:dyDescent="0.25">
      <c r="A4175">
        <v>1201000000</v>
      </c>
      <c r="B4175">
        <v>6.4997999999999996</v>
      </c>
      <c r="E4175">
        <v>26200000</v>
      </c>
      <c r="F4175">
        <v>6.4831000000000003</v>
      </c>
    </row>
    <row r="4176" spans="1:6" x14ac:dyDescent="0.25">
      <c r="A4176">
        <v>2002000000</v>
      </c>
      <c r="B4176">
        <v>6.4999000000000002</v>
      </c>
      <c r="E4176">
        <v>26400000</v>
      </c>
      <c r="F4176">
        <v>6.4832000000000001</v>
      </c>
    </row>
    <row r="4177" spans="1:6" x14ac:dyDescent="0.25">
      <c r="A4177">
        <v>6004000000</v>
      </c>
      <c r="B4177">
        <v>6.5</v>
      </c>
      <c r="E4177">
        <v>26600000</v>
      </c>
      <c r="F4177">
        <v>6.4832999999999998</v>
      </c>
    </row>
    <row r="4178" spans="1:6" x14ac:dyDescent="0.25">
      <c r="E4178">
        <v>26700000</v>
      </c>
      <c r="F4178">
        <v>6.4833999999999996</v>
      </c>
    </row>
    <row r="4179" spans="1:6" x14ac:dyDescent="0.25">
      <c r="E4179">
        <v>26900000</v>
      </c>
      <c r="F4179">
        <v>6.4835000000000003</v>
      </c>
    </row>
    <row r="4180" spans="1:6" x14ac:dyDescent="0.25">
      <c r="E4180">
        <v>27000000</v>
      </c>
      <c r="F4180">
        <v>6.4836</v>
      </c>
    </row>
    <row r="4181" spans="1:6" x14ac:dyDescent="0.25">
      <c r="E4181">
        <v>27200000</v>
      </c>
      <c r="F4181">
        <v>6.4836999999999998</v>
      </c>
    </row>
    <row r="4182" spans="1:6" x14ac:dyDescent="0.25">
      <c r="E4182">
        <v>27400000</v>
      </c>
      <c r="F4182">
        <v>6.4837999999999996</v>
      </c>
    </row>
    <row r="4183" spans="1:6" x14ac:dyDescent="0.25">
      <c r="E4183">
        <v>27500000</v>
      </c>
      <c r="F4183">
        <v>6.4839000000000002</v>
      </c>
    </row>
    <row r="4184" spans="1:6" x14ac:dyDescent="0.25">
      <c r="E4184">
        <v>27700000</v>
      </c>
      <c r="F4184">
        <v>6.484</v>
      </c>
    </row>
    <row r="4185" spans="1:6" x14ac:dyDescent="0.25">
      <c r="E4185">
        <v>27900000</v>
      </c>
      <c r="F4185">
        <v>6.4840999999999998</v>
      </c>
    </row>
    <row r="4186" spans="1:6" x14ac:dyDescent="0.25">
      <c r="E4186">
        <v>28100000</v>
      </c>
      <c r="F4186">
        <v>6.4842000000000004</v>
      </c>
    </row>
    <row r="4187" spans="1:6" x14ac:dyDescent="0.25">
      <c r="E4187">
        <v>28200000</v>
      </c>
      <c r="F4187">
        <v>6.4843000000000002</v>
      </c>
    </row>
    <row r="4188" spans="1:6" x14ac:dyDescent="0.25">
      <c r="E4188">
        <v>28400000</v>
      </c>
      <c r="F4188">
        <v>6.4843999999999999</v>
      </c>
    </row>
    <row r="4189" spans="1:6" x14ac:dyDescent="0.25">
      <c r="E4189">
        <v>28600000</v>
      </c>
      <c r="F4189">
        <v>6.4844999999999997</v>
      </c>
    </row>
    <row r="4190" spans="1:6" x14ac:dyDescent="0.25">
      <c r="E4190">
        <v>28800000</v>
      </c>
      <c r="F4190">
        <v>6.4846000000000004</v>
      </c>
    </row>
    <row r="4191" spans="1:6" x14ac:dyDescent="0.25">
      <c r="E4191">
        <v>29000000</v>
      </c>
      <c r="F4191">
        <v>6.4847000000000001</v>
      </c>
    </row>
    <row r="4192" spans="1:6" x14ac:dyDescent="0.25">
      <c r="E4192">
        <v>29200000</v>
      </c>
      <c r="F4192">
        <v>6.4847999999999999</v>
      </c>
    </row>
    <row r="4193" spans="5:6" x14ac:dyDescent="0.25">
      <c r="E4193">
        <v>29400000</v>
      </c>
      <c r="F4193">
        <v>6.4848999999999997</v>
      </c>
    </row>
    <row r="4194" spans="5:6" x14ac:dyDescent="0.25">
      <c r="E4194">
        <v>29500000</v>
      </c>
      <c r="F4194">
        <v>6.4850000000000003</v>
      </c>
    </row>
    <row r="4195" spans="5:6" x14ac:dyDescent="0.25">
      <c r="E4195">
        <v>29700000</v>
      </c>
      <c r="F4195">
        <v>6.4851000000000001</v>
      </c>
    </row>
    <row r="4196" spans="5:6" x14ac:dyDescent="0.25">
      <c r="E4196">
        <v>29900000</v>
      </c>
      <c r="F4196">
        <v>6.4851999999999999</v>
      </c>
    </row>
    <row r="4197" spans="5:6" x14ac:dyDescent="0.25">
      <c r="E4197">
        <v>30100000</v>
      </c>
      <c r="F4197">
        <v>6.4852999999999996</v>
      </c>
    </row>
    <row r="4198" spans="5:6" x14ac:dyDescent="0.25">
      <c r="E4198">
        <v>30400000</v>
      </c>
      <c r="F4198">
        <v>6.4854000000000003</v>
      </c>
    </row>
    <row r="4199" spans="5:6" x14ac:dyDescent="0.25">
      <c r="E4199">
        <v>30600000</v>
      </c>
      <c r="F4199">
        <v>6.4855</v>
      </c>
    </row>
    <row r="4200" spans="5:6" x14ac:dyDescent="0.25">
      <c r="E4200">
        <v>30800000</v>
      </c>
      <c r="F4200">
        <v>6.4855999999999998</v>
      </c>
    </row>
    <row r="4201" spans="5:6" x14ac:dyDescent="0.25">
      <c r="E4201">
        <v>31000000</v>
      </c>
      <c r="F4201">
        <v>6.4856999999999996</v>
      </c>
    </row>
    <row r="4202" spans="5:6" x14ac:dyDescent="0.25">
      <c r="E4202">
        <v>31200000</v>
      </c>
      <c r="F4202">
        <v>6.4858000000000002</v>
      </c>
    </row>
    <row r="4203" spans="5:6" x14ac:dyDescent="0.25">
      <c r="E4203">
        <v>31400000</v>
      </c>
      <c r="F4203">
        <v>6.4859</v>
      </c>
    </row>
    <row r="4204" spans="5:6" x14ac:dyDescent="0.25">
      <c r="E4204">
        <v>31600000</v>
      </c>
      <c r="F4204">
        <v>6.4859999999999998</v>
      </c>
    </row>
    <row r="4205" spans="5:6" x14ac:dyDescent="0.25">
      <c r="E4205">
        <v>31900000</v>
      </c>
      <c r="F4205">
        <v>6.4861000000000004</v>
      </c>
    </row>
    <row r="4206" spans="5:6" x14ac:dyDescent="0.25">
      <c r="E4206">
        <v>32100000</v>
      </c>
      <c r="F4206">
        <v>6.4862000000000002</v>
      </c>
    </row>
    <row r="4207" spans="5:6" x14ac:dyDescent="0.25">
      <c r="E4207">
        <v>32300000</v>
      </c>
      <c r="F4207">
        <v>6.4863</v>
      </c>
    </row>
    <row r="4208" spans="5:6" x14ac:dyDescent="0.25">
      <c r="E4208">
        <v>32600000</v>
      </c>
      <c r="F4208">
        <v>6.4863999999999997</v>
      </c>
    </row>
    <row r="4209" spans="5:6" x14ac:dyDescent="0.25">
      <c r="E4209">
        <v>32800000</v>
      </c>
      <c r="F4209">
        <v>6.4865000000000004</v>
      </c>
    </row>
    <row r="4210" spans="5:6" x14ac:dyDescent="0.25">
      <c r="E4210">
        <v>33100000</v>
      </c>
      <c r="F4210">
        <v>6.4866000000000001</v>
      </c>
    </row>
    <row r="4211" spans="5:6" x14ac:dyDescent="0.25">
      <c r="E4211">
        <v>33300000</v>
      </c>
      <c r="F4211">
        <v>6.4866999999999999</v>
      </c>
    </row>
    <row r="4212" spans="5:6" x14ac:dyDescent="0.25">
      <c r="E4212">
        <v>33600000</v>
      </c>
      <c r="F4212">
        <v>6.4867999999999997</v>
      </c>
    </row>
    <row r="4213" spans="5:6" x14ac:dyDescent="0.25">
      <c r="E4213">
        <v>33800000</v>
      </c>
      <c r="F4213">
        <v>6.4869000000000003</v>
      </c>
    </row>
    <row r="4214" spans="5:6" x14ac:dyDescent="0.25">
      <c r="E4214">
        <v>34100000</v>
      </c>
      <c r="F4214">
        <v>6.4870000000000001</v>
      </c>
    </row>
    <row r="4215" spans="5:6" x14ac:dyDescent="0.25">
      <c r="E4215">
        <v>34300000</v>
      </c>
      <c r="F4215">
        <v>6.4870999999999999</v>
      </c>
    </row>
    <row r="4216" spans="5:6" x14ac:dyDescent="0.25">
      <c r="E4216">
        <v>34600000</v>
      </c>
      <c r="F4216">
        <v>6.4871999999999996</v>
      </c>
    </row>
    <row r="4217" spans="5:6" x14ac:dyDescent="0.25">
      <c r="E4217">
        <v>34900000</v>
      </c>
      <c r="F4217">
        <v>6.4873000000000003</v>
      </c>
    </row>
    <row r="4218" spans="5:6" x14ac:dyDescent="0.25">
      <c r="E4218">
        <v>35100000</v>
      </c>
      <c r="F4218">
        <v>6.4874000000000001</v>
      </c>
    </row>
    <row r="4219" spans="5:6" x14ac:dyDescent="0.25">
      <c r="E4219">
        <v>35400000</v>
      </c>
      <c r="F4219">
        <v>6.4874999999999998</v>
      </c>
    </row>
    <row r="4220" spans="5:6" x14ac:dyDescent="0.25">
      <c r="E4220">
        <v>35700000</v>
      </c>
      <c r="F4220">
        <v>6.4875999999999996</v>
      </c>
    </row>
    <row r="4221" spans="5:6" x14ac:dyDescent="0.25">
      <c r="E4221">
        <v>36000000</v>
      </c>
      <c r="F4221">
        <v>6.4877000000000002</v>
      </c>
    </row>
    <row r="4222" spans="5:6" x14ac:dyDescent="0.25">
      <c r="E4222">
        <v>36300000</v>
      </c>
      <c r="F4222">
        <v>6.4878</v>
      </c>
    </row>
    <row r="4223" spans="5:6" x14ac:dyDescent="0.25">
      <c r="E4223">
        <v>36600000</v>
      </c>
      <c r="F4223">
        <v>6.4878999999999998</v>
      </c>
    </row>
    <row r="4224" spans="5:6" x14ac:dyDescent="0.25">
      <c r="E4224">
        <v>36900000</v>
      </c>
      <c r="F4224">
        <v>6.4880000000000004</v>
      </c>
    </row>
    <row r="4225" spans="5:6" x14ac:dyDescent="0.25">
      <c r="E4225">
        <v>37200000</v>
      </c>
      <c r="F4225">
        <v>6.4881000000000002</v>
      </c>
    </row>
    <row r="4226" spans="5:6" x14ac:dyDescent="0.25">
      <c r="E4226">
        <v>37500000</v>
      </c>
      <c r="F4226">
        <v>6.4882</v>
      </c>
    </row>
    <row r="4227" spans="5:6" x14ac:dyDescent="0.25">
      <c r="E4227">
        <v>37800000</v>
      </c>
      <c r="F4227">
        <v>6.4882999999999997</v>
      </c>
    </row>
    <row r="4228" spans="5:6" x14ac:dyDescent="0.25">
      <c r="E4228">
        <v>38200000</v>
      </c>
      <c r="F4228">
        <v>6.4884000000000004</v>
      </c>
    </row>
    <row r="4229" spans="5:6" x14ac:dyDescent="0.25">
      <c r="E4229">
        <v>38500000</v>
      </c>
      <c r="F4229">
        <v>6.4885000000000002</v>
      </c>
    </row>
    <row r="4230" spans="5:6" x14ac:dyDescent="0.25">
      <c r="E4230">
        <v>38800000</v>
      </c>
      <c r="F4230">
        <v>6.4885999999999999</v>
      </c>
    </row>
    <row r="4231" spans="5:6" x14ac:dyDescent="0.25">
      <c r="E4231">
        <v>39200000</v>
      </c>
      <c r="F4231">
        <v>6.4886999999999997</v>
      </c>
    </row>
    <row r="4232" spans="5:6" x14ac:dyDescent="0.25">
      <c r="E4232">
        <v>39500000</v>
      </c>
      <c r="F4232">
        <v>6.4888000000000003</v>
      </c>
    </row>
    <row r="4233" spans="5:6" x14ac:dyDescent="0.25">
      <c r="E4233">
        <v>39900000</v>
      </c>
      <c r="F4233">
        <v>6.4889000000000001</v>
      </c>
    </row>
    <row r="4234" spans="5:6" x14ac:dyDescent="0.25">
      <c r="E4234">
        <v>40200000</v>
      </c>
      <c r="F4234">
        <v>6.4889999999999999</v>
      </c>
    </row>
    <row r="4235" spans="5:6" x14ac:dyDescent="0.25">
      <c r="E4235">
        <v>40600000</v>
      </c>
      <c r="F4235">
        <v>6.4890999999999996</v>
      </c>
    </row>
    <row r="4236" spans="5:6" x14ac:dyDescent="0.25">
      <c r="E4236">
        <v>41000000</v>
      </c>
      <c r="F4236">
        <v>6.4892000000000003</v>
      </c>
    </row>
    <row r="4237" spans="5:6" x14ac:dyDescent="0.25">
      <c r="E4237">
        <v>41300000</v>
      </c>
      <c r="F4237">
        <v>6.4893000000000001</v>
      </c>
    </row>
    <row r="4238" spans="5:6" x14ac:dyDescent="0.25">
      <c r="E4238">
        <v>41700000</v>
      </c>
      <c r="F4238">
        <v>6.4893999999999998</v>
      </c>
    </row>
    <row r="4239" spans="5:6" x14ac:dyDescent="0.25">
      <c r="E4239">
        <v>42100000</v>
      </c>
      <c r="F4239">
        <v>6.4894999999999996</v>
      </c>
    </row>
    <row r="4240" spans="5:6" x14ac:dyDescent="0.25">
      <c r="E4240">
        <v>42500000</v>
      </c>
      <c r="F4240">
        <v>6.4896000000000003</v>
      </c>
    </row>
    <row r="4241" spans="5:6" x14ac:dyDescent="0.25">
      <c r="E4241">
        <v>42900000</v>
      </c>
      <c r="F4241">
        <v>6.4897</v>
      </c>
    </row>
    <row r="4242" spans="5:6" x14ac:dyDescent="0.25">
      <c r="E4242">
        <v>43400000</v>
      </c>
      <c r="F4242">
        <v>6.4897999999999998</v>
      </c>
    </row>
    <row r="4243" spans="5:6" x14ac:dyDescent="0.25">
      <c r="E4243">
        <v>43800000</v>
      </c>
      <c r="F4243">
        <v>6.4898999999999996</v>
      </c>
    </row>
    <row r="4244" spans="5:6" x14ac:dyDescent="0.25">
      <c r="E4244">
        <v>44200000</v>
      </c>
      <c r="F4244">
        <v>6.49</v>
      </c>
    </row>
    <row r="4245" spans="5:6" x14ac:dyDescent="0.25">
      <c r="E4245">
        <v>44700000</v>
      </c>
      <c r="F4245">
        <v>6.4901</v>
      </c>
    </row>
    <row r="4246" spans="5:6" x14ac:dyDescent="0.25">
      <c r="E4246">
        <v>45100000</v>
      </c>
      <c r="F4246">
        <v>6.4901999999999997</v>
      </c>
    </row>
    <row r="4247" spans="5:6" x14ac:dyDescent="0.25">
      <c r="E4247">
        <v>45600000</v>
      </c>
      <c r="F4247">
        <v>6.4903000000000004</v>
      </c>
    </row>
    <row r="4248" spans="5:6" x14ac:dyDescent="0.25">
      <c r="E4248">
        <v>46100000</v>
      </c>
      <c r="F4248">
        <v>6.4904000000000002</v>
      </c>
    </row>
    <row r="4249" spans="5:6" x14ac:dyDescent="0.25">
      <c r="E4249">
        <v>46500000</v>
      </c>
      <c r="F4249">
        <v>6.4904999999999999</v>
      </c>
    </row>
    <row r="4250" spans="5:6" x14ac:dyDescent="0.25">
      <c r="E4250">
        <v>47000000</v>
      </c>
      <c r="F4250">
        <v>6.4905999999999997</v>
      </c>
    </row>
    <row r="4251" spans="5:6" x14ac:dyDescent="0.25">
      <c r="E4251">
        <v>47500000</v>
      </c>
      <c r="F4251">
        <v>6.4907000000000004</v>
      </c>
    </row>
    <row r="4252" spans="5:6" x14ac:dyDescent="0.25">
      <c r="E4252">
        <v>48000000</v>
      </c>
      <c r="F4252">
        <v>6.4908000000000001</v>
      </c>
    </row>
    <row r="4253" spans="5:6" x14ac:dyDescent="0.25">
      <c r="E4253">
        <v>48600000</v>
      </c>
      <c r="F4253">
        <v>6.4908999999999999</v>
      </c>
    </row>
    <row r="4254" spans="5:6" x14ac:dyDescent="0.25">
      <c r="E4254">
        <v>49100000</v>
      </c>
      <c r="F4254">
        <v>6.4909999999999997</v>
      </c>
    </row>
    <row r="4255" spans="5:6" x14ac:dyDescent="0.25">
      <c r="E4255">
        <v>49600000</v>
      </c>
      <c r="F4255">
        <v>6.4911000000000003</v>
      </c>
    </row>
    <row r="4256" spans="5:6" x14ac:dyDescent="0.25">
      <c r="E4256">
        <v>50200000</v>
      </c>
      <c r="F4256">
        <v>6.4912000000000001</v>
      </c>
    </row>
    <row r="4257" spans="5:6" x14ac:dyDescent="0.25">
      <c r="E4257">
        <v>50800000</v>
      </c>
      <c r="F4257">
        <v>6.4912999999999998</v>
      </c>
    </row>
    <row r="4258" spans="5:6" x14ac:dyDescent="0.25">
      <c r="E4258">
        <v>51400000</v>
      </c>
      <c r="F4258">
        <v>6.4913999999999996</v>
      </c>
    </row>
    <row r="4259" spans="5:6" x14ac:dyDescent="0.25">
      <c r="E4259">
        <v>52000000</v>
      </c>
      <c r="F4259">
        <v>6.4915000000000003</v>
      </c>
    </row>
    <row r="4260" spans="5:6" x14ac:dyDescent="0.25">
      <c r="E4260">
        <v>52600000</v>
      </c>
      <c r="F4260">
        <v>6.4916</v>
      </c>
    </row>
    <row r="4261" spans="5:6" x14ac:dyDescent="0.25">
      <c r="E4261">
        <v>53200000</v>
      </c>
      <c r="F4261">
        <v>6.4916999999999998</v>
      </c>
    </row>
    <row r="4262" spans="5:6" x14ac:dyDescent="0.25">
      <c r="E4262">
        <v>53900000</v>
      </c>
      <c r="F4262">
        <v>6.4917999999999996</v>
      </c>
    </row>
    <row r="4263" spans="5:6" x14ac:dyDescent="0.25">
      <c r="E4263">
        <v>54500000</v>
      </c>
      <c r="F4263">
        <v>6.4919000000000002</v>
      </c>
    </row>
    <row r="4264" spans="5:6" x14ac:dyDescent="0.25">
      <c r="E4264">
        <v>55200000</v>
      </c>
      <c r="F4264">
        <v>6.492</v>
      </c>
    </row>
    <row r="4265" spans="5:6" x14ac:dyDescent="0.25">
      <c r="E4265">
        <v>55900000</v>
      </c>
      <c r="F4265">
        <v>6.4920999999999998</v>
      </c>
    </row>
    <row r="4266" spans="5:6" x14ac:dyDescent="0.25">
      <c r="E4266">
        <v>56600000</v>
      </c>
      <c r="F4266">
        <v>6.4922000000000004</v>
      </c>
    </row>
    <row r="4267" spans="5:6" x14ac:dyDescent="0.25">
      <c r="E4267">
        <v>57300000</v>
      </c>
      <c r="F4267">
        <v>6.4923000000000002</v>
      </c>
    </row>
    <row r="4268" spans="5:6" x14ac:dyDescent="0.25">
      <c r="E4268">
        <v>58100000</v>
      </c>
      <c r="F4268">
        <v>6.4923999999999999</v>
      </c>
    </row>
    <row r="4269" spans="5:6" x14ac:dyDescent="0.25">
      <c r="E4269">
        <v>58800000</v>
      </c>
      <c r="F4269">
        <v>6.4924999999999997</v>
      </c>
    </row>
    <row r="4270" spans="5:6" x14ac:dyDescent="0.25">
      <c r="E4270">
        <v>59600000</v>
      </c>
      <c r="F4270">
        <v>6.4926000000000004</v>
      </c>
    </row>
    <row r="4271" spans="5:6" x14ac:dyDescent="0.25">
      <c r="E4271">
        <v>60400000</v>
      </c>
      <c r="F4271">
        <v>6.4927000000000001</v>
      </c>
    </row>
    <row r="4272" spans="5:6" x14ac:dyDescent="0.25">
      <c r="E4272">
        <v>61300000</v>
      </c>
      <c r="F4272">
        <v>6.4927999999999999</v>
      </c>
    </row>
    <row r="4273" spans="5:6" x14ac:dyDescent="0.25">
      <c r="E4273">
        <v>62100000</v>
      </c>
      <c r="F4273">
        <v>6.4928999999999997</v>
      </c>
    </row>
    <row r="4274" spans="5:6" x14ac:dyDescent="0.25">
      <c r="E4274">
        <v>63000000</v>
      </c>
      <c r="F4274">
        <v>6.4930000000000003</v>
      </c>
    </row>
    <row r="4275" spans="5:6" x14ac:dyDescent="0.25">
      <c r="E4275">
        <v>63900000</v>
      </c>
      <c r="F4275">
        <v>6.4931000000000001</v>
      </c>
    </row>
    <row r="4276" spans="5:6" x14ac:dyDescent="0.25">
      <c r="E4276">
        <v>64900000</v>
      </c>
      <c r="F4276">
        <v>6.4931999999999999</v>
      </c>
    </row>
    <row r="4277" spans="5:6" x14ac:dyDescent="0.25">
      <c r="E4277">
        <v>65800000</v>
      </c>
      <c r="F4277">
        <v>6.4932999999999996</v>
      </c>
    </row>
    <row r="4278" spans="5:6" x14ac:dyDescent="0.25">
      <c r="E4278">
        <v>66800000</v>
      </c>
      <c r="F4278">
        <v>6.4934000000000003</v>
      </c>
    </row>
    <row r="4279" spans="5:6" x14ac:dyDescent="0.25">
      <c r="E4279">
        <v>67800000</v>
      </c>
      <c r="F4279">
        <v>6.4935</v>
      </c>
    </row>
    <row r="4280" spans="5:6" x14ac:dyDescent="0.25">
      <c r="E4280">
        <v>68900000</v>
      </c>
      <c r="F4280">
        <v>6.4935999999999998</v>
      </c>
    </row>
    <row r="4281" spans="5:6" x14ac:dyDescent="0.25">
      <c r="E4281">
        <v>70000000</v>
      </c>
      <c r="F4281">
        <v>6.4936999999999996</v>
      </c>
    </row>
    <row r="4282" spans="5:6" x14ac:dyDescent="0.25">
      <c r="E4282">
        <v>71100000</v>
      </c>
      <c r="F4282">
        <v>6.4938000000000002</v>
      </c>
    </row>
    <row r="4283" spans="5:6" x14ac:dyDescent="0.25">
      <c r="E4283">
        <v>72200000</v>
      </c>
      <c r="F4283">
        <v>6.4939</v>
      </c>
    </row>
    <row r="4284" spans="5:6" x14ac:dyDescent="0.25">
      <c r="E4284">
        <v>73400000</v>
      </c>
      <c r="F4284">
        <v>6.4939999999999998</v>
      </c>
    </row>
    <row r="4285" spans="5:6" x14ac:dyDescent="0.25">
      <c r="E4285">
        <v>74700000</v>
      </c>
      <c r="F4285">
        <v>6.4941000000000004</v>
      </c>
    </row>
    <row r="4286" spans="5:6" x14ac:dyDescent="0.25">
      <c r="E4286">
        <v>75900000</v>
      </c>
      <c r="F4286">
        <v>6.4942000000000002</v>
      </c>
    </row>
    <row r="4287" spans="5:6" x14ac:dyDescent="0.25">
      <c r="E4287">
        <v>77300000</v>
      </c>
      <c r="F4287">
        <v>6.4943</v>
      </c>
    </row>
    <row r="4288" spans="5:6" x14ac:dyDescent="0.25">
      <c r="E4288">
        <v>78600000</v>
      </c>
      <c r="F4288">
        <v>6.4943999999999997</v>
      </c>
    </row>
    <row r="4289" spans="5:6" x14ac:dyDescent="0.25">
      <c r="E4289">
        <v>80000000</v>
      </c>
      <c r="F4289">
        <v>6.4945000000000004</v>
      </c>
    </row>
    <row r="4290" spans="5:6" x14ac:dyDescent="0.25">
      <c r="E4290">
        <v>81500000</v>
      </c>
      <c r="F4290">
        <v>6.4946000000000002</v>
      </c>
    </row>
    <row r="4291" spans="5:6" x14ac:dyDescent="0.25">
      <c r="E4291">
        <v>83000000</v>
      </c>
      <c r="F4291">
        <v>6.4946999999999999</v>
      </c>
    </row>
    <row r="4292" spans="5:6" x14ac:dyDescent="0.25">
      <c r="E4292">
        <v>84600000</v>
      </c>
      <c r="F4292">
        <v>6.4947999999999997</v>
      </c>
    </row>
    <row r="4293" spans="5:6" x14ac:dyDescent="0.25">
      <c r="E4293">
        <v>86200000</v>
      </c>
      <c r="F4293">
        <v>6.4949000000000003</v>
      </c>
    </row>
    <row r="4294" spans="5:6" x14ac:dyDescent="0.25">
      <c r="E4294">
        <v>88000000</v>
      </c>
      <c r="F4294">
        <v>6.4950000000000001</v>
      </c>
    </row>
    <row r="4295" spans="5:6" x14ac:dyDescent="0.25">
      <c r="E4295">
        <v>89700000</v>
      </c>
      <c r="F4295">
        <v>6.4950999999999999</v>
      </c>
    </row>
    <row r="4296" spans="5:6" x14ac:dyDescent="0.25">
      <c r="E4296">
        <v>91600000</v>
      </c>
      <c r="F4296">
        <v>6.4951999999999996</v>
      </c>
    </row>
    <row r="4297" spans="5:6" x14ac:dyDescent="0.25">
      <c r="E4297">
        <v>93500000</v>
      </c>
      <c r="F4297">
        <v>6.4953000000000003</v>
      </c>
    </row>
    <row r="4298" spans="5:6" x14ac:dyDescent="0.25">
      <c r="E4298">
        <v>95500000</v>
      </c>
      <c r="F4298">
        <v>6.4954000000000001</v>
      </c>
    </row>
    <row r="4299" spans="5:6" x14ac:dyDescent="0.25">
      <c r="E4299">
        <v>97600000</v>
      </c>
      <c r="F4299">
        <v>6.4954999999999998</v>
      </c>
    </row>
    <row r="4300" spans="5:6" x14ac:dyDescent="0.25">
      <c r="E4300">
        <v>99800000</v>
      </c>
      <c r="F4300">
        <v>6.4955999999999996</v>
      </c>
    </row>
    <row r="4301" spans="5:6" x14ac:dyDescent="0.25">
      <c r="E4301">
        <v>103000000</v>
      </c>
      <c r="F4301">
        <v>6.4957000000000003</v>
      </c>
    </row>
    <row r="4302" spans="5:6" x14ac:dyDescent="0.25">
      <c r="E4302">
        <v>105000000</v>
      </c>
      <c r="F4302">
        <v>6.4958</v>
      </c>
    </row>
    <row r="4303" spans="5:6" x14ac:dyDescent="0.25">
      <c r="E4303">
        <v>107000000</v>
      </c>
      <c r="F4303">
        <v>6.4958999999999998</v>
      </c>
    </row>
    <row r="4304" spans="5:6" x14ac:dyDescent="0.25">
      <c r="E4304">
        <v>110000000</v>
      </c>
      <c r="F4304">
        <v>6.4960000000000004</v>
      </c>
    </row>
    <row r="4305" spans="5:6" x14ac:dyDescent="0.25">
      <c r="E4305">
        <v>113000000</v>
      </c>
      <c r="F4305">
        <v>6.4961000000000002</v>
      </c>
    </row>
    <row r="4306" spans="5:6" x14ac:dyDescent="0.25">
      <c r="E4306">
        <v>116000000</v>
      </c>
      <c r="F4306">
        <v>6.4962</v>
      </c>
    </row>
    <row r="4307" spans="5:6" x14ac:dyDescent="0.25">
      <c r="E4307">
        <v>119000000</v>
      </c>
      <c r="F4307">
        <v>6.4962999999999997</v>
      </c>
    </row>
    <row r="4308" spans="5:6" x14ac:dyDescent="0.25">
      <c r="E4308">
        <v>122000000</v>
      </c>
      <c r="F4308">
        <v>6.4964000000000004</v>
      </c>
    </row>
    <row r="4309" spans="5:6" x14ac:dyDescent="0.25">
      <c r="E4309">
        <v>126000000</v>
      </c>
      <c r="F4309">
        <v>6.4965000000000002</v>
      </c>
    </row>
    <row r="4310" spans="5:6" x14ac:dyDescent="0.25">
      <c r="E4310">
        <v>129000000</v>
      </c>
      <c r="F4310">
        <v>6.4965999999999999</v>
      </c>
    </row>
    <row r="4311" spans="5:6" x14ac:dyDescent="0.25">
      <c r="E4311">
        <v>133000000</v>
      </c>
      <c r="F4311">
        <v>6.4966999999999997</v>
      </c>
    </row>
    <row r="4312" spans="5:6" x14ac:dyDescent="0.25">
      <c r="E4312">
        <v>137000000</v>
      </c>
      <c r="F4312">
        <v>6.4968000000000004</v>
      </c>
    </row>
    <row r="4313" spans="5:6" x14ac:dyDescent="0.25">
      <c r="E4313">
        <v>141000000</v>
      </c>
      <c r="F4313">
        <v>6.4969000000000001</v>
      </c>
    </row>
    <row r="4314" spans="5:6" x14ac:dyDescent="0.25">
      <c r="E4314">
        <v>146000000</v>
      </c>
      <c r="F4314">
        <v>6.4969999999999999</v>
      </c>
    </row>
    <row r="4315" spans="5:6" x14ac:dyDescent="0.25">
      <c r="E4315">
        <v>151000000</v>
      </c>
      <c r="F4315">
        <v>6.4970999999999997</v>
      </c>
    </row>
    <row r="4316" spans="5:6" x14ac:dyDescent="0.25">
      <c r="E4316">
        <v>156000000</v>
      </c>
      <c r="F4316">
        <v>6.4972000000000003</v>
      </c>
    </row>
    <row r="4317" spans="5:6" x14ac:dyDescent="0.25">
      <c r="E4317">
        <v>162000000</v>
      </c>
      <c r="F4317">
        <v>6.4973000000000001</v>
      </c>
    </row>
    <row r="4318" spans="5:6" x14ac:dyDescent="0.25">
      <c r="E4318">
        <v>168000000</v>
      </c>
      <c r="F4318">
        <v>6.4973999999999998</v>
      </c>
    </row>
    <row r="4319" spans="5:6" x14ac:dyDescent="0.25">
      <c r="E4319">
        <v>175000000</v>
      </c>
      <c r="F4319">
        <v>6.4974999999999996</v>
      </c>
    </row>
    <row r="4320" spans="5:6" x14ac:dyDescent="0.25">
      <c r="E4320">
        <v>182000000</v>
      </c>
      <c r="F4320">
        <v>6.4976000000000003</v>
      </c>
    </row>
    <row r="4321" spans="5:6" x14ac:dyDescent="0.25">
      <c r="E4321">
        <v>189000000</v>
      </c>
      <c r="F4321">
        <v>6.4977</v>
      </c>
    </row>
    <row r="4322" spans="5:6" x14ac:dyDescent="0.25">
      <c r="E4322">
        <v>198000000</v>
      </c>
      <c r="F4322">
        <v>6.4977999999999998</v>
      </c>
    </row>
    <row r="4323" spans="5:6" x14ac:dyDescent="0.25">
      <c r="E4323">
        <v>207000000</v>
      </c>
      <c r="F4323">
        <v>6.4978999999999996</v>
      </c>
    </row>
    <row r="4324" spans="5:6" x14ac:dyDescent="0.25">
      <c r="E4324">
        <v>217000000</v>
      </c>
      <c r="F4324">
        <v>6.4980000000000002</v>
      </c>
    </row>
    <row r="4325" spans="5:6" x14ac:dyDescent="0.25">
      <c r="E4325">
        <v>228000000</v>
      </c>
      <c r="F4325">
        <v>6.4981</v>
      </c>
    </row>
    <row r="4326" spans="5:6" x14ac:dyDescent="0.25">
      <c r="E4326">
        <v>240000000</v>
      </c>
      <c r="F4326">
        <v>6.4981999999999998</v>
      </c>
    </row>
    <row r="4327" spans="5:6" x14ac:dyDescent="0.25">
      <c r="E4327">
        <v>254000000</v>
      </c>
      <c r="F4327">
        <v>6.4983000000000004</v>
      </c>
    </row>
    <row r="4328" spans="5:6" x14ac:dyDescent="0.25">
      <c r="E4328">
        <v>270000000</v>
      </c>
      <c r="F4328">
        <v>6.4984000000000002</v>
      </c>
    </row>
    <row r="4329" spans="5:6" x14ac:dyDescent="0.25">
      <c r="E4329">
        <v>287000000</v>
      </c>
      <c r="F4329">
        <v>6.4984999999999999</v>
      </c>
    </row>
    <row r="4330" spans="5:6" x14ac:dyDescent="0.25">
      <c r="E4330">
        <v>307000000</v>
      </c>
      <c r="F4330">
        <v>6.4985999999999997</v>
      </c>
    </row>
    <row r="4331" spans="5:6" x14ac:dyDescent="0.25">
      <c r="E4331">
        <v>329000000</v>
      </c>
      <c r="F4331">
        <v>6.4987000000000004</v>
      </c>
    </row>
    <row r="4332" spans="5:6" x14ac:dyDescent="0.25">
      <c r="E4332">
        <v>356000000</v>
      </c>
      <c r="F4332">
        <v>6.4988000000000001</v>
      </c>
    </row>
    <row r="4333" spans="5:6" x14ac:dyDescent="0.25">
      <c r="E4333">
        <v>387000000</v>
      </c>
      <c r="F4333">
        <v>6.4988999999999999</v>
      </c>
    </row>
    <row r="4334" spans="5:6" x14ac:dyDescent="0.25">
      <c r="E4334">
        <v>423000000</v>
      </c>
      <c r="F4334">
        <v>6.4989999999999997</v>
      </c>
    </row>
    <row r="4335" spans="5:6" x14ac:dyDescent="0.25">
      <c r="E4335">
        <v>468000000</v>
      </c>
      <c r="F4335">
        <v>6.4991000000000003</v>
      </c>
    </row>
    <row r="4336" spans="5:6" x14ac:dyDescent="0.25">
      <c r="E4336">
        <v>523000000</v>
      </c>
      <c r="F4336">
        <v>6.4992000000000001</v>
      </c>
    </row>
    <row r="4337" spans="5:6" x14ac:dyDescent="0.25">
      <c r="E4337">
        <v>592000000</v>
      </c>
      <c r="F4337">
        <v>6.4992999999999999</v>
      </c>
    </row>
    <row r="4338" spans="5:6" x14ac:dyDescent="0.25">
      <c r="E4338">
        <v>683000000</v>
      </c>
      <c r="F4338">
        <v>6.4993999999999996</v>
      </c>
    </row>
    <row r="4339" spans="5:6" x14ac:dyDescent="0.25">
      <c r="E4339">
        <v>808000000</v>
      </c>
      <c r="F4339">
        <v>6.4995000000000003</v>
      </c>
    </row>
    <row r="4340" spans="5:6" x14ac:dyDescent="0.25">
      <c r="E4340">
        <v>987000000</v>
      </c>
      <c r="F4340">
        <v>6.4996</v>
      </c>
    </row>
    <row r="4341" spans="5:6" x14ac:dyDescent="0.25">
      <c r="E4341">
        <v>1269000000</v>
      </c>
      <c r="F4341">
        <v>6.4996999999999998</v>
      </c>
    </row>
    <row r="4342" spans="5:6" x14ac:dyDescent="0.25">
      <c r="E4342">
        <v>1776000000</v>
      </c>
      <c r="F4342">
        <v>6.4997999999999996</v>
      </c>
    </row>
    <row r="4343" spans="5:6" x14ac:dyDescent="0.25">
      <c r="E4343">
        <v>2960000000</v>
      </c>
      <c r="F4343">
        <v>6.4999000000000002</v>
      </c>
    </row>
  </sheetData>
  <dataValidations disablePrompts="1" count="1">
    <dataValidation type="list" allowBlank="1" showInputMessage="1" showErrorMessage="1" sqref="B5:C5" xr:uid="{488ECBFF-B60D-4073-823B-481C5AB87DDC}">
      <formula1>"Alleinstehend,Verheiratet"</formula1>
    </dataValidation>
  </dataValidations>
  <hyperlinks>
    <hyperlink ref="B9" r:id="rId1" display="https://www.taxinfo.sv.fin.be.ch/taxinfo/display/taxinfo/Tarif+Einkommenssteuer" xr:uid="{AE21703F-9F42-48E5-8B55-29509B3CFCD0}"/>
    <hyperlink ref="B8" r:id="rId2" display="https://www.estv.admin.ch/estv/de/home/direkte-bundessteuer/dbst-steuertarife.html" xr:uid="{4E04A3FC-B352-48CF-BEB0-DB387FE9D7C8}"/>
    <hyperlink ref="B10" r:id="rId3" display="https://www.fedlex.admin.ch/eli/cc/1991/1184_1184_1184/de" xr:uid="{FCD24272-5D38-470E-A41F-059E53DF3F0D}"/>
    <hyperlink ref="B11" r:id="rId4" display="https://www.belex.sites.be.ch/app/de/texts_of_law/661.11" xr:uid="{F4DB3267-8ADB-4678-80AD-4331E79FDBE9}"/>
  </hyperlinks>
  <pageMargins left="0.9055118110236221" right="0.70866141732283472" top="0.78740157480314965" bottom="0.78740157480314965" header="0.31496062992125984" footer="0.31496062992125984"/>
  <pageSetup paperSize="9" orientation="portrait" r:id="rId5"/>
  <customProperties>
    <customPr name="EpmWorksheetKeyString_GUID" r:id="rId6"/>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BF53C-82B1-4459-8463-EF9C3FD65232}">
  <sheetPr codeName="Tabelle1">
    <tabColor theme="0" tint="-0.34998626667073579"/>
  </sheetPr>
  <dimension ref="A1:B11"/>
  <sheetViews>
    <sheetView workbookViewId="0">
      <selection activeCell="B4" sqref="B4"/>
    </sheetView>
  </sheetViews>
  <sheetFormatPr baseColWidth="10" defaultRowHeight="15" x14ac:dyDescent="0.25"/>
  <cols>
    <col min="1" max="1" width="12.85546875" bestFit="1" customWidth="1"/>
  </cols>
  <sheetData>
    <row r="1" spans="1:2" x14ac:dyDescent="0.25">
      <c r="A1" t="s">
        <v>40</v>
      </c>
      <c r="B1" s="1" t="s">
        <v>323</v>
      </c>
    </row>
    <row r="2" spans="1:2" x14ac:dyDescent="0.25">
      <c r="A2" t="s">
        <v>41</v>
      </c>
      <c r="B2" s="1" t="s">
        <v>324</v>
      </c>
    </row>
    <row r="3" spans="1:2" x14ac:dyDescent="0.25">
      <c r="A3" t="s">
        <v>64</v>
      </c>
      <c r="B3" s="1" t="s">
        <v>324</v>
      </c>
    </row>
    <row r="4" spans="1:2" x14ac:dyDescent="0.25">
      <c r="A4" t="s">
        <v>44</v>
      </c>
      <c r="B4" s="1">
        <v>1966</v>
      </c>
    </row>
    <row r="6" spans="1:2" x14ac:dyDescent="0.25">
      <c r="A6" t="s">
        <v>42</v>
      </c>
      <c r="B6" s="1" t="s">
        <v>325</v>
      </c>
    </row>
    <row r="7" spans="1:2" x14ac:dyDescent="0.25">
      <c r="A7" t="s">
        <v>43</v>
      </c>
      <c r="B7" s="1" t="s">
        <v>326</v>
      </c>
    </row>
    <row r="8" spans="1:2" x14ac:dyDescent="0.25">
      <c r="A8" t="s">
        <v>65</v>
      </c>
      <c r="B8" s="1" t="s">
        <v>326</v>
      </c>
    </row>
    <row r="9" spans="1:2" x14ac:dyDescent="0.25">
      <c r="A9" t="s">
        <v>45</v>
      </c>
      <c r="B9" s="1">
        <v>1963</v>
      </c>
    </row>
    <row r="11" spans="1:2" x14ac:dyDescent="0.25">
      <c r="A11" t="s">
        <v>46</v>
      </c>
      <c r="B11" s="1" t="s">
        <v>327</v>
      </c>
    </row>
  </sheetData>
  <pageMargins left="0.9055118110236221" right="0.70866141732283472" top="0.78740157480314965" bottom="0.78740157480314965" header="0.31496062992125984" footer="0.31496062992125984"/>
  <pageSetup paperSize="9" orientation="portrait" r:id="rId1"/>
  <customProperties>
    <customPr name="EpmWorksheetKeyString_GUID" r:id="rId2"/>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DEE7E-E742-495D-952C-D3F192D1F7D5}">
  <sheetPr codeName="Tabelle3">
    <tabColor theme="0" tint="-0.34998626667073579"/>
  </sheetPr>
  <dimension ref="A1:AX16"/>
  <sheetViews>
    <sheetView workbookViewId="0">
      <selection activeCell="E3" sqref="E3"/>
    </sheetView>
  </sheetViews>
  <sheetFormatPr baseColWidth="10" defaultRowHeight="15" x14ac:dyDescent="0.25"/>
  <cols>
    <col min="2" max="2" width="30.42578125" bestFit="1" customWidth="1"/>
    <col min="4" max="4" width="15.5703125" bestFit="1" customWidth="1"/>
    <col min="5" max="6" width="15.42578125" customWidth="1"/>
    <col min="9" max="9" width="31.7109375" bestFit="1" customWidth="1"/>
    <col min="13" max="14" width="15.42578125" customWidth="1"/>
    <col min="17" max="17" width="20.28515625" bestFit="1" customWidth="1"/>
    <col min="19" max="20" width="15.42578125" customWidth="1"/>
    <col min="23" max="23" width="21.28515625" bestFit="1" customWidth="1"/>
    <col min="24" max="24" width="12.5703125" bestFit="1" customWidth="1"/>
    <col min="25" max="29" width="13.140625" customWidth="1"/>
    <col min="32" max="32" width="13.42578125" bestFit="1" customWidth="1"/>
    <col min="33" max="33" width="11.7109375" bestFit="1" customWidth="1"/>
    <col min="36" max="37" width="15.42578125" customWidth="1"/>
    <col min="40" max="40" width="26" bestFit="1" customWidth="1"/>
    <col min="41" max="42" width="16.85546875" customWidth="1"/>
    <col min="43" max="44" width="15.42578125" customWidth="1"/>
    <col min="47" max="47" width="43.28515625" bestFit="1" customWidth="1"/>
  </cols>
  <sheetData>
    <row r="1" spans="1:50" x14ac:dyDescent="0.25">
      <c r="A1" t="s">
        <v>220</v>
      </c>
      <c r="H1" t="s">
        <v>84</v>
      </c>
      <c r="P1" t="s">
        <v>59</v>
      </c>
      <c r="V1" t="s">
        <v>60</v>
      </c>
      <c r="AE1" t="s">
        <v>62</v>
      </c>
      <c r="AM1" t="s">
        <v>91</v>
      </c>
      <c r="AT1" t="s">
        <v>105</v>
      </c>
    </row>
    <row r="2" spans="1:50" x14ac:dyDescent="0.25">
      <c r="A2" t="s">
        <v>55</v>
      </c>
      <c r="B2" t="s">
        <v>56</v>
      </c>
      <c r="C2" t="s">
        <v>57</v>
      </c>
      <c r="D2" t="s">
        <v>96</v>
      </c>
      <c r="E2" t="s">
        <v>58</v>
      </c>
      <c r="F2" t="s">
        <v>66</v>
      </c>
      <c r="H2" t="s">
        <v>55</v>
      </c>
      <c r="I2" t="s">
        <v>56</v>
      </c>
      <c r="J2" t="s">
        <v>57</v>
      </c>
      <c r="K2" t="s">
        <v>96</v>
      </c>
      <c r="L2" t="s">
        <v>255</v>
      </c>
      <c r="M2" t="s">
        <v>58</v>
      </c>
      <c r="N2" t="s">
        <v>66</v>
      </c>
      <c r="P2" t="s">
        <v>55</v>
      </c>
      <c r="Q2" t="s">
        <v>56</v>
      </c>
      <c r="R2" t="s">
        <v>57</v>
      </c>
      <c r="S2" t="s">
        <v>58</v>
      </c>
      <c r="T2" t="s">
        <v>66</v>
      </c>
      <c r="V2" t="s">
        <v>55</v>
      </c>
      <c r="W2" t="s">
        <v>56</v>
      </c>
      <c r="X2" t="s">
        <v>57</v>
      </c>
      <c r="Y2" t="s">
        <v>61</v>
      </c>
      <c r="Z2" t="s">
        <v>96</v>
      </c>
      <c r="AA2" t="s">
        <v>138</v>
      </c>
      <c r="AB2" t="s">
        <v>58</v>
      </c>
      <c r="AC2" t="s">
        <v>66</v>
      </c>
      <c r="AE2" t="s">
        <v>55</v>
      </c>
      <c r="AF2" t="s">
        <v>56</v>
      </c>
      <c r="AG2" t="s">
        <v>57</v>
      </c>
      <c r="AH2" t="s">
        <v>63</v>
      </c>
      <c r="AI2" t="s">
        <v>96</v>
      </c>
      <c r="AJ2" t="s">
        <v>58</v>
      </c>
      <c r="AK2" t="s">
        <v>66</v>
      </c>
      <c r="AM2" t="s">
        <v>55</v>
      </c>
      <c r="AN2" t="s">
        <v>56</v>
      </c>
      <c r="AO2" t="s">
        <v>57</v>
      </c>
      <c r="AP2" t="s">
        <v>96</v>
      </c>
      <c r="AQ2" t="s">
        <v>58</v>
      </c>
      <c r="AR2" t="s">
        <v>66</v>
      </c>
      <c r="AT2" t="s">
        <v>55</v>
      </c>
      <c r="AU2" t="s">
        <v>56</v>
      </c>
      <c r="AV2" t="s">
        <v>57</v>
      </c>
      <c r="AW2" t="s">
        <v>58</v>
      </c>
      <c r="AX2" t="s">
        <v>66</v>
      </c>
    </row>
    <row r="3" spans="1:50" x14ac:dyDescent="0.25">
      <c r="A3">
        <v>2</v>
      </c>
      <c r="B3" t="s">
        <v>54</v>
      </c>
      <c r="C3" s="7">
        <v>110000</v>
      </c>
      <c r="D3" s="7"/>
      <c r="E3">
        <v>2</v>
      </c>
      <c r="F3" t="str" cm="1">
        <f t="array" aca="1" ref="F3" ca="1">IFERROR(INDIRECT("PD_Bez"&amp;E_Erwerb[[#This Row],[Zugehörigkeit]]),"-")</f>
        <v>Amy</v>
      </c>
      <c r="H3">
        <v>4</v>
      </c>
      <c r="I3" t="s">
        <v>328</v>
      </c>
      <c r="J3">
        <v>-12000</v>
      </c>
      <c r="K3" s="101">
        <v>0</v>
      </c>
      <c r="L3">
        <v>1</v>
      </c>
      <c r="M3">
        <v>2</v>
      </c>
      <c r="N3" t="str" cm="1">
        <f t="array" aca="1" ref="N3" ca="1">IFERROR(INDIRECT("PD_Bez"&amp;A_Allg[[#This Row],[Zugehörigkeit]]),"-")</f>
        <v>Amy</v>
      </c>
      <c r="P3">
        <v>1</v>
      </c>
      <c r="Q3" t="s">
        <v>222</v>
      </c>
      <c r="R3" s="7">
        <v>15000</v>
      </c>
      <c r="S3">
        <v>2</v>
      </c>
      <c r="T3" t="str" cm="1">
        <f t="array" aca="1" ref="T3" ca="1">IFERROR(INDIRECT("PD_Bez"&amp;V_Frei[[#This Row],[Zugehörigkeit]]),"-")</f>
        <v>Amy</v>
      </c>
      <c r="V3">
        <v>2</v>
      </c>
      <c r="W3" t="s">
        <v>347</v>
      </c>
      <c r="X3" s="7">
        <v>700000</v>
      </c>
      <c r="Y3" s="7">
        <v>500000</v>
      </c>
      <c r="Z3" s="7"/>
      <c r="AA3" s="103">
        <v>1.0576852328746966E-3</v>
      </c>
      <c r="AB3">
        <v>2</v>
      </c>
      <c r="AC3" t="str" cm="1">
        <f t="array" aca="1" ref="AC3" ca="1">IFERROR(INDIRECT("PD_Bez"&amp;V_Liegensch[[#This Row],[Zugehörigkeit]]),"-")</f>
        <v>Amy</v>
      </c>
      <c r="AE3">
        <v>1</v>
      </c>
      <c r="AF3" t="s">
        <v>228</v>
      </c>
      <c r="AG3" s="7">
        <v>-180000</v>
      </c>
      <c r="AH3" s="23">
        <v>47118</v>
      </c>
      <c r="AI3" s="102">
        <v>0.02</v>
      </c>
      <c r="AJ3">
        <v>2</v>
      </c>
      <c r="AK3" t="str" cm="1">
        <f t="array" aca="1" ref="AK3" ca="1">IFERROR(INDIRECT("PD_Bez"&amp;V_Hypo[[#This Row],[Zugehörigkeit]]),"-")</f>
        <v>Amy</v>
      </c>
      <c r="AM3">
        <v>2</v>
      </c>
      <c r="AN3" t="s">
        <v>330</v>
      </c>
      <c r="AO3" s="7">
        <v>800000</v>
      </c>
      <c r="AP3" s="45">
        <v>0.02</v>
      </c>
      <c r="AQ3">
        <v>2</v>
      </c>
      <c r="AR3" t="str" cm="1">
        <f t="array" aca="1" ref="AR3" ca="1">IFERROR(INDIRECT("PD_Bez"&amp;V_Vorsorg[[#This Row],[Zugehörigkeit]]),"-")</f>
        <v>Amy</v>
      </c>
      <c r="AT3">
        <v>2</v>
      </c>
      <c r="AU3" t="s">
        <v>332</v>
      </c>
      <c r="AV3">
        <v>11700</v>
      </c>
      <c r="AW3">
        <v>1</v>
      </c>
      <c r="AX3" t="str" cm="1">
        <f t="array" aca="1" ref="AX3" ca="1">IFERROR(INDIRECT("PD_Bez"&amp;ST_Abz[[#This Row],[Zugehörigkeit]]),"-")</f>
        <v>Sheldon</v>
      </c>
    </row>
    <row r="4" spans="1:50" x14ac:dyDescent="0.25">
      <c r="A4">
        <v>3</v>
      </c>
      <c r="B4" t="s">
        <v>234</v>
      </c>
      <c r="C4" s="7"/>
      <c r="D4" s="7"/>
      <c r="E4">
        <v>2</v>
      </c>
      <c r="F4" t="str" cm="1">
        <f t="array" aca="1" ref="F4" ca="1">IFERROR(INDIRECT("PD_Bez"&amp;E_Erwerb[[#This Row],[Zugehörigkeit]]),"-")</f>
        <v>Amy</v>
      </c>
      <c r="H4">
        <v>6</v>
      </c>
      <c r="I4" t="s">
        <v>232</v>
      </c>
      <c r="J4">
        <v>-7056</v>
      </c>
      <c r="K4" s="101">
        <v>0</v>
      </c>
      <c r="L4">
        <v>1</v>
      </c>
      <c r="M4">
        <v>2</v>
      </c>
      <c r="N4" t="str" cm="1">
        <f t="array" aca="1" ref="N4" ca="1">IFERROR(INDIRECT("PD_Bez"&amp;A_Allg[[#This Row],[Zugehörigkeit]]),"-")</f>
        <v>Amy</v>
      </c>
      <c r="P4">
        <v>2</v>
      </c>
      <c r="Q4" t="s">
        <v>221</v>
      </c>
      <c r="R4" s="7">
        <v>1700</v>
      </c>
      <c r="S4">
        <v>2</v>
      </c>
      <c r="T4" t="str" cm="1">
        <f t="array" aca="1" ref="T4" ca="1">IFERROR(INDIRECT("PD_Bez"&amp;V_Frei[[#This Row],[Zugehörigkeit]]),"-")</f>
        <v>Amy</v>
      </c>
      <c r="V4">
        <v>1</v>
      </c>
      <c r="W4" t="s">
        <v>329</v>
      </c>
      <c r="X4" s="7">
        <v>650000</v>
      </c>
      <c r="Y4" s="7">
        <v>250000</v>
      </c>
      <c r="Z4" s="7"/>
      <c r="AA4" s="103">
        <v>1.1999999999999999E-3</v>
      </c>
      <c r="AB4">
        <v>1</v>
      </c>
      <c r="AC4" t="str" cm="1">
        <f t="array" aca="1" ref="AC4" ca="1">IFERROR(INDIRECT("PD_Bez"&amp;V_Liegensch[[#This Row],[Zugehörigkeit]]),"-")</f>
        <v>Sheldon</v>
      </c>
      <c r="AE4">
        <v>2</v>
      </c>
      <c r="AF4" t="s">
        <v>229</v>
      </c>
      <c r="AG4" s="7">
        <v>-200000</v>
      </c>
      <c r="AH4" s="23">
        <v>46507</v>
      </c>
      <c r="AI4" s="102">
        <v>1.2500000000000001E-2</v>
      </c>
      <c r="AJ4">
        <v>2</v>
      </c>
      <c r="AK4" t="str" cm="1">
        <f t="array" aca="1" ref="AK4" ca="1">IFERROR(INDIRECT("PD_Bez"&amp;V_Hypo[[#This Row],[Zugehörigkeit]]),"-")</f>
        <v>Amy</v>
      </c>
      <c r="AM4">
        <v>5</v>
      </c>
      <c r="AN4" t="s">
        <v>248</v>
      </c>
      <c r="AO4" s="7">
        <v>50000</v>
      </c>
      <c r="AP4" s="46">
        <v>3.5000000000000003E-2</v>
      </c>
      <c r="AQ4">
        <v>2</v>
      </c>
      <c r="AR4" t="str" cm="1">
        <f t="array" aca="1" ref="AR4" ca="1">IFERROR(INDIRECT("PD_Bez"&amp;V_Vorsorg[[#This Row],[Zugehörigkeit]]),"-")</f>
        <v>Amy</v>
      </c>
      <c r="AT4">
        <v>3</v>
      </c>
      <c r="AU4" t="s">
        <v>333</v>
      </c>
      <c r="AV4">
        <f>-11700*0.2</f>
        <v>-2340</v>
      </c>
      <c r="AW4">
        <v>1</v>
      </c>
      <c r="AX4" t="str" cm="1">
        <f t="array" aca="1" ref="AX4" ca="1">IFERROR(INDIRECT("PD_Bez"&amp;ST_Abz[[#This Row],[Zugehörigkeit]]),"-")</f>
        <v>Sheldon</v>
      </c>
    </row>
    <row r="5" spans="1:50" x14ac:dyDescent="0.25">
      <c r="A5">
        <v>4</v>
      </c>
      <c r="B5" t="s">
        <v>340</v>
      </c>
      <c r="C5" s="7">
        <v>15000</v>
      </c>
      <c r="D5" s="7"/>
      <c r="E5">
        <v>2</v>
      </c>
      <c r="F5" t="str" cm="1">
        <f t="array" aca="1" ref="F5" ca="1">IFERROR(INDIRECT("PD_Bez"&amp;E_Erwerb[[#This Row],[Zugehörigkeit]]),"-")</f>
        <v>Amy</v>
      </c>
      <c r="H5">
        <v>7</v>
      </c>
      <c r="I5" t="s">
        <v>233</v>
      </c>
      <c r="J5">
        <v>-2868</v>
      </c>
      <c r="K5" s="101">
        <v>0</v>
      </c>
      <c r="L5">
        <v>0</v>
      </c>
      <c r="M5">
        <v>2</v>
      </c>
      <c r="N5" t="str" cm="1">
        <f t="array" aca="1" ref="N5" ca="1">IFERROR(INDIRECT("PD_Bez"&amp;A_Allg[[#This Row],[Zugehörigkeit]]),"-")</f>
        <v>Amy</v>
      </c>
      <c r="P5">
        <v>4</v>
      </c>
      <c r="Q5" t="s">
        <v>223</v>
      </c>
      <c r="R5" s="7">
        <v>80000</v>
      </c>
      <c r="S5">
        <v>2</v>
      </c>
      <c r="T5" t="str" cm="1">
        <f t="array" aca="1" ref="T5" ca="1">IFERROR(INDIRECT("PD_Bez"&amp;V_Frei[[#This Row],[Zugehörigkeit]]),"-")</f>
        <v>Amy</v>
      </c>
      <c r="AE5">
        <v>3</v>
      </c>
      <c r="AF5" t="s">
        <v>230</v>
      </c>
      <c r="AG5" s="7">
        <v>-200000</v>
      </c>
      <c r="AH5" s="23">
        <v>47238</v>
      </c>
      <c r="AI5" s="102">
        <v>1.1900000000000001E-2</v>
      </c>
      <c r="AJ5">
        <v>2</v>
      </c>
      <c r="AK5" t="str" cm="1">
        <f t="array" aca="1" ref="AK5" ca="1">IFERROR(INDIRECT("PD_Bez"&amp;V_Hypo[[#This Row],[Zugehörigkeit]]),"-")</f>
        <v>Amy</v>
      </c>
      <c r="AM5">
        <v>6</v>
      </c>
      <c r="AN5" t="s">
        <v>226</v>
      </c>
      <c r="AO5" s="7">
        <v>7500</v>
      </c>
      <c r="AP5" s="46">
        <v>3.5000000000000003E-2</v>
      </c>
      <c r="AQ5">
        <v>2</v>
      </c>
      <c r="AR5" t="str" cm="1">
        <f t="array" aca="1" ref="AR5" ca="1">IFERROR(INDIRECT("PD_Bez"&amp;V_Vorsorg[[#This Row],[Zugehörigkeit]]),"-")</f>
        <v>Amy</v>
      </c>
      <c r="AT5">
        <v>5</v>
      </c>
      <c r="AU5" t="s">
        <v>335</v>
      </c>
      <c r="AV5">
        <v>-281</v>
      </c>
      <c r="AW5">
        <v>1</v>
      </c>
      <c r="AX5" t="str" cm="1">
        <f t="array" aca="1" ref="AX5" ca="1">IFERROR(INDIRECT("PD_Bez"&amp;ST_Abz[[#This Row],[Zugehörigkeit]]),"-")</f>
        <v>Sheldon</v>
      </c>
    </row>
    <row r="6" spans="1:50" x14ac:dyDescent="0.25">
      <c r="A6">
        <v>5</v>
      </c>
      <c r="B6" t="s">
        <v>92</v>
      </c>
      <c r="C6" s="7"/>
      <c r="D6" s="7"/>
      <c r="E6">
        <v>2</v>
      </c>
      <c r="F6" t="str" cm="1">
        <f t="array" aca="1" ref="F6" ca="1">IFERROR(INDIRECT("PD_Bez"&amp;E_Erwerb[[#This Row],[Zugehörigkeit]]),"-")</f>
        <v>Amy</v>
      </c>
      <c r="H6">
        <v>5</v>
      </c>
      <c r="I6" t="s">
        <v>232</v>
      </c>
      <c r="J6">
        <f>-7056</f>
        <v>-7056</v>
      </c>
      <c r="K6" s="101">
        <v>0</v>
      </c>
      <c r="L6">
        <v>1</v>
      </c>
      <c r="M6">
        <v>1</v>
      </c>
      <c r="N6" t="str" cm="1">
        <f t="array" aca="1" ref="N6" ca="1">IFERROR(INDIRECT("PD_Bez"&amp;A_Allg[[#This Row],[Zugehörigkeit]]),"-")</f>
        <v>Sheldon</v>
      </c>
      <c r="P6">
        <v>5</v>
      </c>
      <c r="Q6" t="s">
        <v>224</v>
      </c>
      <c r="R6" s="7">
        <v>30000</v>
      </c>
      <c r="S6">
        <v>2</v>
      </c>
      <c r="T6" t="str" cm="1">
        <f t="array" aca="1" ref="T6" ca="1">IFERROR(INDIRECT("PD_Bez"&amp;V_Frei[[#This Row],[Zugehörigkeit]]),"-")</f>
        <v>Amy</v>
      </c>
      <c r="AE6">
        <v>4</v>
      </c>
      <c r="AF6" t="s">
        <v>344</v>
      </c>
      <c r="AG6" s="7">
        <v>-300000</v>
      </c>
      <c r="AH6" s="23">
        <v>47149</v>
      </c>
      <c r="AI6" s="102">
        <v>1.9699999999999999E-2</v>
      </c>
      <c r="AJ6">
        <v>1</v>
      </c>
      <c r="AK6" t="str" cm="1">
        <f t="array" aca="1" ref="AK6" ca="1">IFERROR(INDIRECT("PD_Bez"&amp;V_Hypo[[#This Row],[Zugehörigkeit]]),"-")</f>
        <v>Sheldon</v>
      </c>
      <c r="AM6">
        <v>7</v>
      </c>
      <c r="AN6" t="s">
        <v>227</v>
      </c>
      <c r="AO6" s="7">
        <v>7500</v>
      </c>
      <c r="AP6" s="45">
        <v>0.01</v>
      </c>
      <c r="AQ6">
        <v>2</v>
      </c>
      <c r="AR6" t="str" cm="1">
        <f t="array" aca="1" ref="AR6" ca="1">IFERROR(INDIRECT("PD_Bez"&amp;V_Vorsorg[[#This Row],[Zugehörigkeit]]),"-")</f>
        <v>Amy</v>
      </c>
      <c r="AT6">
        <v>6</v>
      </c>
      <c r="AU6" t="s">
        <v>256</v>
      </c>
      <c r="AV6">
        <v>-1972</v>
      </c>
      <c r="AW6">
        <v>1</v>
      </c>
      <c r="AX6" t="str" cm="1">
        <f t="array" aca="1" ref="AX6" ca="1">IFERROR(INDIRECT("PD_Bez"&amp;ST_Abz[[#This Row],[Zugehörigkeit]]),"-")</f>
        <v>Sheldon</v>
      </c>
    </row>
    <row r="7" spans="1:50" x14ac:dyDescent="0.25">
      <c r="A7">
        <v>6</v>
      </c>
      <c r="B7" t="s">
        <v>246</v>
      </c>
      <c r="C7" s="7"/>
      <c r="D7" s="7"/>
      <c r="E7">
        <v>2</v>
      </c>
      <c r="F7" t="str" cm="1">
        <f t="array" aca="1" ref="F7" ca="1">IFERROR(INDIRECT("PD_Bez"&amp;E_Erwerb[[#This Row],[Zugehörigkeit]]),"-")</f>
        <v>Amy</v>
      </c>
      <c r="H7">
        <v>1</v>
      </c>
      <c r="I7" t="s">
        <v>83</v>
      </c>
      <c r="J7">
        <v>-75000</v>
      </c>
      <c r="K7" s="101">
        <v>1.4999999999999999E-2</v>
      </c>
      <c r="L7">
        <v>0</v>
      </c>
      <c r="M7">
        <v>0</v>
      </c>
      <c r="N7" t="str" cm="1">
        <f t="array" aca="1" ref="N7" ca="1">IFERROR(INDIRECT("PD_Bez"&amp;A_Allg[[#This Row],[Zugehörigkeit]]),"-")</f>
        <v>-</v>
      </c>
      <c r="P7">
        <v>6</v>
      </c>
      <c r="Q7" t="s">
        <v>341</v>
      </c>
      <c r="R7" s="7">
        <v>3000</v>
      </c>
      <c r="S7">
        <v>1</v>
      </c>
      <c r="T7" t="str" cm="1">
        <f t="array" aca="1" ref="T7" ca="1">IFERROR(INDIRECT("PD_Bez"&amp;V_Frei[[#This Row],[Zugehörigkeit]]),"-")</f>
        <v>Sheldon</v>
      </c>
      <c r="AE7">
        <v>5</v>
      </c>
      <c r="AF7" t="s">
        <v>93</v>
      </c>
      <c r="AG7" s="7"/>
      <c r="AH7" s="23"/>
      <c r="AI7" s="102">
        <v>0.02</v>
      </c>
      <c r="AJ7">
        <v>0</v>
      </c>
      <c r="AK7" t="str" cm="1">
        <f t="array" aca="1" ref="AK7" ca="1">IFERROR(INDIRECT("PD_Bez"&amp;V_Hypo[[#This Row],[Zugehörigkeit]]),"-")</f>
        <v>-</v>
      </c>
      <c r="AM7">
        <v>8</v>
      </c>
      <c r="AN7" t="s">
        <v>231</v>
      </c>
      <c r="AO7" s="7">
        <v>100000</v>
      </c>
      <c r="AP7" s="45">
        <v>0</v>
      </c>
      <c r="AQ7">
        <v>2</v>
      </c>
      <c r="AR7" t="str" cm="1">
        <f t="array" aca="1" ref="AR7" ca="1">IFERROR(INDIRECT("PD_Bez"&amp;V_Vorsorg[[#This Row],[Zugehörigkeit]]),"-")</f>
        <v>Amy</v>
      </c>
      <c r="AT7">
        <v>7</v>
      </c>
      <c r="AU7" t="s">
        <v>257</v>
      </c>
      <c r="AV7">
        <v>-1200</v>
      </c>
      <c r="AW7">
        <v>1</v>
      </c>
      <c r="AX7" t="str" cm="1">
        <f t="array" aca="1" ref="AX7" ca="1">IFERROR(INDIRECT("PD_Bez"&amp;ST_Abz[[#This Row],[Zugehörigkeit]]),"-")</f>
        <v>Sheldon</v>
      </c>
    </row>
    <row r="8" spans="1:50" x14ac:dyDescent="0.25">
      <c r="A8">
        <v>1</v>
      </c>
      <c r="B8" t="s">
        <v>54</v>
      </c>
      <c r="C8" s="7">
        <v>75000</v>
      </c>
      <c r="D8" s="7"/>
      <c r="E8">
        <v>1</v>
      </c>
      <c r="F8" t="str" cm="1">
        <f t="array" aca="1" ref="F8" ca="1">IFERROR(INDIRECT("PD_Bez"&amp;E_Erwerb[[#This Row],[Zugehörigkeit]]),"-")</f>
        <v>Sheldon</v>
      </c>
      <c r="P8">
        <v>7</v>
      </c>
      <c r="Q8" t="s">
        <v>342</v>
      </c>
      <c r="R8" s="7">
        <v>30000</v>
      </c>
      <c r="S8">
        <v>1</v>
      </c>
      <c r="T8" t="str" cm="1">
        <f t="array" aca="1" ref="T8" ca="1">IFERROR(INDIRECT("PD_Bez"&amp;V_Frei[[#This Row],[Zugehörigkeit]]),"-")</f>
        <v>Sheldon</v>
      </c>
      <c r="AM8">
        <v>9</v>
      </c>
      <c r="AN8" t="s">
        <v>253</v>
      </c>
      <c r="AO8" s="7">
        <v>0</v>
      </c>
      <c r="AP8" s="45">
        <v>0.01</v>
      </c>
      <c r="AQ8">
        <v>2</v>
      </c>
      <c r="AR8" t="str" cm="1">
        <f t="array" aca="1" ref="AR8" ca="1">IFERROR(INDIRECT("PD_Bez"&amp;V_Vorsorg[[#This Row],[Zugehörigkeit]]),"-")</f>
        <v>Amy</v>
      </c>
      <c r="AT8">
        <v>8</v>
      </c>
      <c r="AU8" t="s">
        <v>258</v>
      </c>
      <c r="AV8">
        <v>-2000</v>
      </c>
      <c r="AW8">
        <v>1</v>
      </c>
      <c r="AX8" t="str" cm="1">
        <f t="array" aca="1" ref="AX8" ca="1">IFERROR(INDIRECT("PD_Bez"&amp;ST_Abz[[#This Row],[Zugehörigkeit]]),"-")</f>
        <v>Sheldon</v>
      </c>
    </row>
    <row r="9" spans="1:50" x14ac:dyDescent="0.25">
      <c r="A9">
        <v>8</v>
      </c>
      <c r="B9" t="s">
        <v>92</v>
      </c>
      <c r="C9" s="7"/>
      <c r="D9" s="7"/>
      <c r="E9">
        <v>1</v>
      </c>
      <c r="F9" t="str" cm="1">
        <f t="array" aca="1" ref="F9" ca="1">IFERROR(INDIRECT("PD_Bez"&amp;E_Erwerb[[#This Row],[Zugehörigkeit]]),"-")</f>
        <v>Sheldon</v>
      </c>
      <c r="P9">
        <v>8</v>
      </c>
      <c r="Q9" t="s">
        <v>343</v>
      </c>
      <c r="R9" s="7">
        <v>15000</v>
      </c>
      <c r="S9">
        <v>1</v>
      </c>
      <c r="T9" t="str" cm="1">
        <f t="array" aca="1" ref="T9" ca="1">IFERROR(INDIRECT("PD_Bez"&amp;V_Frei[[#This Row],[Zugehörigkeit]]),"-")</f>
        <v>Sheldon</v>
      </c>
      <c r="AM9">
        <v>1</v>
      </c>
      <c r="AN9" t="s">
        <v>331</v>
      </c>
      <c r="AO9" s="7">
        <v>300000</v>
      </c>
      <c r="AP9" s="45">
        <v>0.01</v>
      </c>
      <c r="AQ9">
        <v>1</v>
      </c>
      <c r="AR9" t="str" cm="1">
        <f t="array" aca="1" ref="AR9" ca="1">IFERROR(INDIRECT("PD_Bez"&amp;V_Vorsorg[[#This Row],[Zugehörigkeit]]),"-")</f>
        <v>Sheldon</v>
      </c>
      <c r="AT9">
        <v>9</v>
      </c>
      <c r="AU9" t="s">
        <v>118</v>
      </c>
      <c r="AV9">
        <v>-2750</v>
      </c>
      <c r="AW9">
        <v>1</v>
      </c>
      <c r="AX9" t="str" cm="1">
        <f t="array" aca="1" ref="AX9" ca="1">IFERROR(INDIRECT("PD_Bez"&amp;ST_Abz[[#This Row],[Zugehörigkeit]]),"-")</f>
        <v>Sheldon</v>
      </c>
    </row>
    <row r="10" spans="1:50" x14ac:dyDescent="0.25">
      <c r="A10">
        <v>7</v>
      </c>
      <c r="B10" t="s">
        <v>247</v>
      </c>
      <c r="C10" s="7"/>
      <c r="D10" s="7"/>
      <c r="E10">
        <v>0</v>
      </c>
      <c r="F10" t="str" cm="1">
        <f t="array" aca="1" ref="F10" ca="1">IFERROR(INDIRECT("PD_Bez"&amp;E_Erwerb[[#This Row],[Zugehörigkeit]]),"-")</f>
        <v>-</v>
      </c>
      <c r="AM10">
        <v>3</v>
      </c>
      <c r="AN10" t="s">
        <v>345</v>
      </c>
      <c r="AO10" s="7">
        <v>40000</v>
      </c>
      <c r="AP10" s="46">
        <v>3.5000000000000003E-2</v>
      </c>
      <c r="AQ10">
        <v>1</v>
      </c>
      <c r="AR10" t="str" cm="1">
        <f t="array" aca="1" ref="AR10" ca="1">IFERROR(INDIRECT("PD_Bez"&amp;V_Vorsorg[[#This Row],[Zugehörigkeit]]),"-")</f>
        <v>Sheldon</v>
      </c>
      <c r="AT10">
        <v>10</v>
      </c>
      <c r="AU10" t="s">
        <v>336</v>
      </c>
      <c r="AV10">
        <f>-16860*0.2</f>
        <v>-3372</v>
      </c>
      <c r="AW10">
        <v>0</v>
      </c>
      <c r="AX10" t="str" cm="1">
        <f t="array" aca="1" ref="AX10" ca="1">IFERROR(INDIRECT("PD_Bez"&amp;ST_Abz[[#This Row],[Zugehörigkeit]]),"-")</f>
        <v>-</v>
      </c>
    </row>
    <row r="11" spans="1:50" x14ac:dyDescent="0.25">
      <c r="AM11">
        <v>4</v>
      </c>
      <c r="AN11" t="s">
        <v>346</v>
      </c>
      <c r="AO11" s="7">
        <v>20000</v>
      </c>
      <c r="AP11" s="46">
        <v>3.5000000000000003E-2</v>
      </c>
      <c r="AQ11">
        <v>1</v>
      </c>
      <c r="AR11" t="str" cm="1">
        <f t="array" aca="1" ref="AR11" ca="1">IFERROR(INDIRECT("PD_Bez"&amp;V_Vorsorg[[#This Row],[Zugehörigkeit]]),"-")</f>
        <v>Sheldon</v>
      </c>
      <c r="AT11">
        <v>11</v>
      </c>
      <c r="AU11" t="s">
        <v>337</v>
      </c>
      <c r="AV11">
        <v>-575</v>
      </c>
      <c r="AW11">
        <v>2</v>
      </c>
      <c r="AX11" t="str" cm="1">
        <f t="array" aca="1" ref="AX11" ca="1">IFERROR(INDIRECT("PD_Bez"&amp;ST_Abz[[#This Row],[Zugehörigkeit]]),"-")</f>
        <v>Amy</v>
      </c>
    </row>
    <row r="12" spans="1:50" x14ac:dyDescent="0.25">
      <c r="AM12">
        <v>10</v>
      </c>
      <c r="AN12" t="s">
        <v>251</v>
      </c>
      <c r="AO12" s="7">
        <v>35000</v>
      </c>
      <c r="AP12" s="45">
        <v>0.01</v>
      </c>
      <c r="AQ12">
        <v>1</v>
      </c>
      <c r="AR12" t="str" cm="1">
        <f t="array" aca="1" ref="AR12" ca="1">IFERROR(INDIRECT("PD_Bez"&amp;V_Vorsorg[[#This Row],[Zugehörigkeit]]),"-")</f>
        <v>Sheldon</v>
      </c>
      <c r="AT12">
        <v>12</v>
      </c>
      <c r="AU12" t="s">
        <v>338</v>
      </c>
      <c r="AV12">
        <v>780</v>
      </c>
      <c r="AW12">
        <v>2</v>
      </c>
      <c r="AX12" t="str" cm="1">
        <f t="array" aca="1" ref="AX12" ca="1">IFERROR(INDIRECT("PD_Bez"&amp;ST_Abz[[#This Row],[Zugehörigkeit]]),"-")</f>
        <v>Amy</v>
      </c>
    </row>
    <row r="13" spans="1:50" x14ac:dyDescent="0.25">
      <c r="AM13">
        <v>11</v>
      </c>
      <c r="AN13" t="s">
        <v>101</v>
      </c>
      <c r="AO13" s="7">
        <v>0</v>
      </c>
      <c r="AP13" s="45">
        <v>0.01</v>
      </c>
      <c r="AQ13">
        <v>1</v>
      </c>
      <c r="AR13" t="str" cm="1">
        <f t="array" aca="1" ref="AR13" ca="1">IFERROR(INDIRECT("PD_Bez"&amp;V_Vorsorg[[#This Row],[Zugehörigkeit]]),"-")</f>
        <v>Sheldon</v>
      </c>
      <c r="AT13">
        <v>13</v>
      </c>
      <c r="AU13" t="s">
        <v>339</v>
      </c>
      <c r="AV13">
        <f>-780*0.2</f>
        <v>-156</v>
      </c>
      <c r="AW13">
        <v>2</v>
      </c>
      <c r="AX13" t="str" cm="1">
        <f t="array" aca="1" ref="AX13" ca="1">IFERROR(INDIRECT("PD_Bez"&amp;ST_Abz[[#This Row],[Zugehörigkeit]]),"-")</f>
        <v>Amy</v>
      </c>
    </row>
    <row r="14" spans="1:50" x14ac:dyDescent="0.25">
      <c r="AM14">
        <v>12</v>
      </c>
      <c r="AN14" t="s">
        <v>102</v>
      </c>
      <c r="AO14" s="7"/>
      <c r="AP14" s="45">
        <v>0.01</v>
      </c>
      <c r="AQ14">
        <v>1</v>
      </c>
      <c r="AR14" t="str" cm="1">
        <f t="array" aca="1" ref="AR14" ca="1">IFERROR(INDIRECT("PD_Bez"&amp;V_Vorsorg[[#This Row],[Zugehörigkeit]]),"-")</f>
        <v>Sheldon</v>
      </c>
      <c r="AT14">
        <v>14</v>
      </c>
      <c r="AU14" t="s">
        <v>260</v>
      </c>
      <c r="AV14">
        <v>-20400</v>
      </c>
      <c r="AW14">
        <v>2</v>
      </c>
      <c r="AX14" t="str" cm="1">
        <f t="array" aca="1" ref="AX14" ca="1">IFERROR(INDIRECT("PD_Bez"&amp;ST_Abz[[#This Row],[Zugehörigkeit]]),"-")</f>
        <v>Amy</v>
      </c>
    </row>
    <row r="15" spans="1:50" x14ac:dyDescent="0.25">
      <c r="AM15">
        <v>13</v>
      </c>
      <c r="AN15" t="s">
        <v>295</v>
      </c>
      <c r="AO15" s="7">
        <v>0</v>
      </c>
      <c r="AP15" s="45">
        <v>0.01</v>
      </c>
      <c r="AQ15">
        <v>1</v>
      </c>
      <c r="AR15" t="str" cm="1">
        <f t="array" aca="1" ref="AR15" ca="1">IFERROR(INDIRECT("PD_Bez"&amp;V_Vorsorg[[#This Row],[Zugehörigkeit]]),"-")</f>
        <v>Sheldon</v>
      </c>
      <c r="AT15">
        <v>15</v>
      </c>
      <c r="AU15" t="s">
        <v>261</v>
      </c>
      <c r="AV15">
        <v>-2652</v>
      </c>
      <c r="AW15">
        <v>2</v>
      </c>
      <c r="AX15" t="str" cm="1">
        <f t="array" aca="1" ref="AX15" ca="1">IFERROR(INDIRECT("PD_Bez"&amp;ST_Abz[[#This Row],[Zugehörigkeit]]),"-")</f>
        <v>Amy</v>
      </c>
    </row>
    <row r="16" spans="1:50" x14ac:dyDescent="0.25">
      <c r="AT16">
        <v>16</v>
      </c>
      <c r="AU16" t="s">
        <v>259</v>
      </c>
      <c r="AV16">
        <v>-5200</v>
      </c>
      <c r="AW16">
        <v>2</v>
      </c>
      <c r="AX16" t="str" cm="1">
        <f t="array" aca="1" ref="AX16" ca="1">IFERROR(INDIRECT("PD_Bez"&amp;ST_Abz[[#This Row],[Zugehörigkeit]]),"-")</f>
        <v>Amy</v>
      </c>
    </row>
  </sheetData>
  <pageMargins left="0.9055118110236221" right="0.70866141732283472" top="0.78740157480314965" bottom="0.78740157480314965" header="0.31496062992125984" footer="0.31496062992125984"/>
  <pageSetup paperSize="9" orientation="portrait" r:id="rId1"/>
  <customProperties>
    <customPr name="EpmWorksheetKeyString_GUID" r:id="rId2"/>
  </customProperties>
  <tableParts count="7">
    <tablePart r:id="rId3"/>
    <tablePart r:id="rId4"/>
    <tablePart r:id="rId5"/>
    <tablePart r:id="rId6"/>
    <tablePart r:id="rId7"/>
    <tablePart r:id="rId8"/>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12BBF-3BDE-4AB9-81A0-ABB310D9B0D2}">
  <sheetPr codeName="Tabelle6"/>
  <dimension ref="A8:H22"/>
  <sheetViews>
    <sheetView zoomScaleNormal="100" workbookViewId="0">
      <selection activeCell="B3" sqref="B3"/>
    </sheetView>
  </sheetViews>
  <sheetFormatPr baseColWidth="10" defaultRowHeight="15" x14ac:dyDescent="0.25"/>
  <sheetData>
    <row r="8" spans="1:8" ht="15" customHeight="1" x14ac:dyDescent="0.5">
      <c r="B8" s="30"/>
      <c r="C8" s="30"/>
      <c r="D8" s="30"/>
      <c r="E8" s="30"/>
      <c r="F8" s="30"/>
      <c r="G8" s="30"/>
      <c r="H8" s="30"/>
    </row>
    <row r="9" spans="1:8" ht="15" customHeight="1" x14ac:dyDescent="0.5">
      <c r="A9" s="30"/>
      <c r="B9" s="30"/>
      <c r="C9" s="30"/>
      <c r="D9" s="30"/>
      <c r="E9" s="30"/>
      <c r="F9" s="30"/>
      <c r="G9" s="30"/>
      <c r="H9" s="30"/>
    </row>
    <row r="10" spans="1:8" ht="15" customHeight="1" x14ac:dyDescent="0.5">
      <c r="A10" s="30"/>
      <c r="B10" s="30"/>
      <c r="C10" s="30"/>
      <c r="D10" s="30"/>
      <c r="E10" s="30"/>
      <c r="F10" s="30"/>
      <c r="G10" s="30"/>
      <c r="H10" s="30"/>
    </row>
    <row r="11" spans="1:8" ht="15" customHeight="1" x14ac:dyDescent="0.5">
      <c r="A11" s="30"/>
      <c r="B11" s="30"/>
      <c r="C11" s="30"/>
      <c r="D11" s="30"/>
      <c r="E11" s="30"/>
      <c r="F11" s="30"/>
      <c r="G11" s="30"/>
      <c r="H11" s="30"/>
    </row>
    <row r="12" spans="1:8" ht="15" customHeight="1" x14ac:dyDescent="0.5">
      <c r="A12" s="30"/>
      <c r="B12" s="30"/>
      <c r="C12" s="30"/>
      <c r="D12" s="30"/>
      <c r="E12" s="30"/>
      <c r="F12" s="30"/>
      <c r="G12" s="30"/>
      <c r="H12" s="30"/>
    </row>
    <row r="13" spans="1:8" ht="15" customHeight="1" x14ac:dyDescent="0.5">
      <c r="A13" s="30"/>
      <c r="B13" s="30"/>
      <c r="C13" s="30"/>
      <c r="D13" s="30"/>
      <c r="E13" s="30"/>
      <c r="F13" s="30"/>
      <c r="G13" s="30"/>
      <c r="H13" s="30"/>
    </row>
    <row r="14" spans="1:8" ht="15" customHeight="1" x14ac:dyDescent="0.5">
      <c r="A14" s="30"/>
      <c r="B14" s="30"/>
      <c r="C14" s="30"/>
      <c r="D14" s="30"/>
      <c r="E14" s="30"/>
      <c r="F14" s="30"/>
      <c r="G14" s="30"/>
      <c r="H14" s="30"/>
    </row>
    <row r="15" spans="1:8" ht="15" customHeight="1" x14ac:dyDescent="0.5">
      <c r="A15" s="30"/>
      <c r="B15" s="30"/>
      <c r="C15" s="30"/>
      <c r="D15" s="30"/>
      <c r="E15" s="30"/>
      <c r="F15" s="30"/>
      <c r="G15" s="30"/>
      <c r="H15" s="30"/>
    </row>
    <row r="16" spans="1:8" ht="38.25" customHeight="1" x14ac:dyDescent="0.5">
      <c r="A16" s="30" t="s">
        <v>47</v>
      </c>
      <c r="B16" s="30"/>
      <c r="C16" s="30"/>
      <c r="D16" s="30"/>
      <c r="E16" s="30"/>
      <c r="F16" s="30"/>
      <c r="G16" s="30"/>
      <c r="H16" s="30"/>
    </row>
    <row r="17" spans="1:1" x14ac:dyDescent="0.25">
      <c r="A17" s="10" t="str">
        <f>"von "&amp;PD_Name1&amp;" "&amp;PD_VName1&amp;", "&amp;PD_Geb1&amp;" und "&amp;PD_Name2&amp;" "&amp;PD_VName2&amp;", "&amp;PD_Geb2&amp;", "&amp;PD_Ort</f>
        <v>von Cooper Sheldon, 1966 und Farrah Fowler Amy, 1963, Pasadena</v>
      </c>
    </row>
    <row r="18" spans="1:1" x14ac:dyDescent="0.25">
      <c r="A18" s="25" t="s">
        <v>53</v>
      </c>
    </row>
    <row r="19" spans="1:1" x14ac:dyDescent="0.25">
      <c r="A19" s="10" t="str">
        <f ca="1">"per "&amp;TEXT(TODAY(),"TT.MM.JJJJ")</f>
        <v>per 05.02.2025</v>
      </c>
    </row>
    <row r="22" spans="1:1" x14ac:dyDescent="0.25">
      <c r="A22" s="24"/>
    </row>
  </sheetData>
  <pageMargins left="0.9055118110236221" right="0.70866141732283472" top="0.78740157480314965" bottom="0.78740157480314965" header="0.31496062992125984" footer="0.31496062992125984"/>
  <pageSetup paperSize="9" orientation="landscape" r:id="rId1"/>
  <customProperties>
    <customPr name="EpmWorksheetKeyString_GUID" r:id="rId2"/>
  </customPropertie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CDFAC-F27E-440B-B0E1-27BAA0D48918}">
  <sheetPr codeName="Tabelle7"/>
  <dimension ref="A1:L110"/>
  <sheetViews>
    <sheetView workbookViewId="0">
      <selection activeCell="B3" sqref="B3"/>
    </sheetView>
  </sheetViews>
  <sheetFormatPr baseColWidth="10" defaultRowHeight="15" x14ac:dyDescent="0.25"/>
  <cols>
    <col min="1" max="1" width="33.5703125" customWidth="1"/>
    <col min="2" max="2" width="21.28515625" style="29" customWidth="1"/>
    <col min="3" max="3" width="12" style="12" bestFit="1" customWidth="1"/>
  </cols>
  <sheetData>
    <row r="1" spans="1:3" s="5" customFormat="1" ht="30" customHeight="1" x14ac:dyDescent="0.25">
      <c r="A1" s="26" t="s">
        <v>52</v>
      </c>
      <c r="B1" s="28"/>
      <c r="C1" s="27"/>
    </row>
    <row r="2" spans="1:3" ht="23.45" customHeight="1" x14ac:dyDescent="0.25">
      <c r="A2" s="31" t="s">
        <v>4</v>
      </c>
      <c r="B2" s="133"/>
      <c r="C2" s="33">
        <f>SUM(_xlfn.ANCHORARRAY(C3))</f>
        <v>200000</v>
      </c>
    </row>
    <row r="3" spans="1:3" x14ac:dyDescent="0.25">
      <c r="A3" s="34" t="str" cm="1">
        <f t="array" ref="A3:A5">_xlfn._xlws.FILTER(E_Erwerb[Titel],E_Erwerb[Betrag]&lt;&gt;0,"")</f>
        <v>Einkommen aus Erwerbstätigkeit</v>
      </c>
      <c r="B3" s="134" t="str" cm="1">
        <f t="array" aca="1" ref="B3:B5" ca="1">_xlfn._xlws.FILTER(E_Erwerb[Zugehörigkeit Bezeichnung],E_Erwerb[Betrag]&lt;&gt;0,"")</f>
        <v>Amy</v>
      </c>
      <c r="C3" s="35" cm="1">
        <f t="array" ref="C3:C5">_xlfn._xlws.FILTER(E_Erwerb[Betrag],E_Erwerb[Betrag]&lt;&gt;0,"")</f>
        <v>110000</v>
      </c>
    </row>
    <row r="4" spans="1:3" x14ac:dyDescent="0.25">
      <c r="A4" s="34" t="str">
        <v>Mietertrag New York</v>
      </c>
      <c r="B4" s="134" t="str">
        <f ca="1"/>
        <v>Amy</v>
      </c>
      <c r="C4" s="35">
        <v>15000</v>
      </c>
    </row>
    <row r="5" spans="1:3" x14ac:dyDescent="0.25">
      <c r="A5" s="34" t="str">
        <v>Einkommen aus Erwerbstätigkeit</v>
      </c>
      <c r="B5" s="134" t="str">
        <f ca="1"/>
        <v>Sheldon</v>
      </c>
      <c r="C5" s="35">
        <v>75000</v>
      </c>
    </row>
    <row r="6" spans="1:3" hidden="1" x14ac:dyDescent="0.25">
      <c r="A6" s="34"/>
      <c r="B6" s="134"/>
      <c r="C6" s="35"/>
    </row>
    <row r="7" spans="1:3" hidden="1" x14ac:dyDescent="0.25">
      <c r="A7" s="34"/>
      <c r="B7" s="134"/>
      <c r="C7" s="35"/>
    </row>
    <row r="8" spans="1:3" hidden="1" x14ac:dyDescent="0.25">
      <c r="A8" s="34"/>
      <c r="B8" s="134"/>
      <c r="C8" s="35"/>
    </row>
    <row r="9" spans="1:3" hidden="1" x14ac:dyDescent="0.25">
      <c r="A9" s="34"/>
      <c r="B9" s="134"/>
      <c r="C9" s="35"/>
    </row>
    <row r="10" spans="1:3" hidden="1" x14ac:dyDescent="0.25">
      <c r="A10" s="34"/>
      <c r="B10" s="134"/>
      <c r="C10" s="35"/>
    </row>
    <row r="11" spans="1:3" hidden="1" x14ac:dyDescent="0.25">
      <c r="A11" s="34"/>
      <c r="B11" s="134"/>
      <c r="C11" s="35"/>
    </row>
    <row r="12" spans="1:3" hidden="1" x14ac:dyDescent="0.25">
      <c r="A12" s="34"/>
      <c r="B12" s="134"/>
      <c r="C12" s="35"/>
    </row>
    <row r="13" spans="1:3" hidden="1" x14ac:dyDescent="0.25">
      <c r="A13" s="34"/>
      <c r="B13" s="134"/>
      <c r="C13" s="35"/>
    </row>
    <row r="14" spans="1:3" hidden="1" x14ac:dyDescent="0.25">
      <c r="A14" s="34"/>
      <c r="B14" s="134"/>
      <c r="C14" s="35"/>
    </row>
    <row r="15" spans="1:3" hidden="1" x14ac:dyDescent="0.25">
      <c r="A15" s="34"/>
      <c r="B15" s="134"/>
      <c r="C15" s="35"/>
    </row>
    <row r="16" spans="1:3" hidden="1" x14ac:dyDescent="0.25">
      <c r="A16" s="34"/>
      <c r="B16" s="134"/>
      <c r="C16" s="35"/>
    </row>
    <row r="17" spans="1:3" hidden="1" x14ac:dyDescent="0.25">
      <c r="A17" s="34"/>
      <c r="B17" s="134"/>
      <c r="C17" s="35"/>
    </row>
    <row r="18" spans="1:3" hidden="1" x14ac:dyDescent="0.25">
      <c r="A18" s="34"/>
      <c r="B18" s="134"/>
      <c r="C18" s="35"/>
    </row>
    <row r="19" spans="1:3" hidden="1" x14ac:dyDescent="0.25">
      <c r="A19" s="34"/>
      <c r="B19" s="134"/>
      <c r="C19" s="35"/>
    </row>
    <row r="20" spans="1:3" hidden="1" x14ac:dyDescent="0.25">
      <c r="A20" s="34"/>
      <c r="B20" s="134"/>
      <c r="C20" s="35"/>
    </row>
    <row r="21" spans="1:3" hidden="1" x14ac:dyDescent="0.25">
      <c r="A21" s="34"/>
      <c r="B21" s="134"/>
      <c r="C21" s="35"/>
    </row>
    <row r="22" spans="1:3" hidden="1" x14ac:dyDescent="0.25">
      <c r="A22" s="34"/>
      <c r="B22" s="134"/>
      <c r="C22" s="35"/>
    </row>
    <row r="23" spans="1:3" hidden="1" x14ac:dyDescent="0.25">
      <c r="A23" s="34"/>
      <c r="B23" s="134"/>
      <c r="C23" s="35"/>
    </row>
    <row r="24" spans="1:3" hidden="1" x14ac:dyDescent="0.25">
      <c r="A24" s="34"/>
      <c r="B24" s="134"/>
      <c r="C24" s="35"/>
    </row>
    <row r="25" spans="1:3" hidden="1" x14ac:dyDescent="0.25">
      <c r="A25" s="34"/>
      <c r="B25" s="134"/>
      <c r="C25" s="35"/>
    </row>
    <row r="26" spans="1:3" hidden="1" x14ac:dyDescent="0.25">
      <c r="A26" s="34"/>
      <c r="B26" s="134"/>
      <c r="C26" s="35"/>
    </row>
    <row r="27" spans="1:3" hidden="1" x14ac:dyDescent="0.25">
      <c r="A27" s="34"/>
      <c r="B27" s="134"/>
      <c r="C27" s="35"/>
    </row>
    <row r="28" spans="1:3" hidden="1" x14ac:dyDescent="0.25">
      <c r="A28" s="34"/>
      <c r="B28" s="134"/>
      <c r="C28" s="35"/>
    </row>
    <row r="29" spans="1:3" hidden="1" x14ac:dyDescent="0.25">
      <c r="A29" s="34"/>
      <c r="B29" s="134"/>
      <c r="C29" s="35"/>
    </row>
    <row r="30" spans="1:3" hidden="1" x14ac:dyDescent="0.25">
      <c r="A30" s="34"/>
      <c r="B30" s="134"/>
      <c r="C30" s="35"/>
    </row>
    <row r="31" spans="1:3" ht="27" hidden="1" x14ac:dyDescent="0.25">
      <c r="A31" s="34"/>
      <c r="B31" s="134"/>
      <c r="C31" s="35"/>
    </row>
    <row r="32" spans="1:3" ht="23.45" customHeight="1" x14ac:dyDescent="0.25">
      <c r="A32" s="36" t="s">
        <v>59</v>
      </c>
      <c r="B32" s="134"/>
      <c r="C32" s="37">
        <f>SUM(_xlfn.ANCHORARRAY(C33))</f>
        <v>174700</v>
      </c>
    </row>
    <row r="33" spans="1:12" x14ac:dyDescent="0.25">
      <c r="A33" s="34" t="str" cm="1">
        <f t="array" ref="A33:A39">V_Frei[Titel]</f>
        <v>MigrosBank Sparkonto</v>
      </c>
      <c r="B33" s="134" t="str" cm="1">
        <f t="array" aca="1" ref="B33:B39" ca="1">V_Frei[Zugehörigkeit Bezeichnung]</f>
        <v>Amy</v>
      </c>
      <c r="C33" s="35" cm="1">
        <f t="array" ref="C33:C39">V_Frei[Betrag]</f>
        <v>15000</v>
      </c>
      <c r="L33" s="79"/>
    </row>
    <row r="34" spans="1:12" x14ac:dyDescent="0.25">
      <c r="A34" s="34" t="str">
        <v>MigrosBank Liegenschaft</v>
      </c>
      <c r="B34" s="134" t="str">
        <f ca="1"/>
        <v>Amy</v>
      </c>
      <c r="C34" s="35">
        <v>1700</v>
      </c>
      <c r="L34" s="79"/>
    </row>
    <row r="35" spans="1:12" x14ac:dyDescent="0.25">
      <c r="A35" s="34" t="str">
        <v>MigrosBank Depot I</v>
      </c>
      <c r="B35" s="134" t="str">
        <f ca="1"/>
        <v>Amy</v>
      </c>
      <c r="C35" s="35">
        <v>80000</v>
      </c>
      <c r="L35" s="79"/>
    </row>
    <row r="36" spans="1:12" x14ac:dyDescent="0.25">
      <c r="A36" s="34" t="str">
        <v>MigrosBank Depot II</v>
      </c>
      <c r="B36" s="134" t="str">
        <f ca="1"/>
        <v>Amy</v>
      </c>
      <c r="C36" s="35">
        <v>30000</v>
      </c>
    </row>
    <row r="37" spans="1:12" x14ac:dyDescent="0.25">
      <c r="A37" s="34" t="str">
        <v>PostFinance Liegenschaftskonto</v>
      </c>
      <c r="B37" s="134" t="str">
        <f ca="1"/>
        <v>Sheldon</v>
      </c>
      <c r="C37" s="35">
        <v>3000</v>
      </c>
    </row>
    <row r="38" spans="1:12" x14ac:dyDescent="0.25">
      <c r="A38" s="34" t="str">
        <v>PostFinance Privatkonto</v>
      </c>
      <c r="B38" s="134" t="str">
        <f ca="1"/>
        <v>Sheldon</v>
      </c>
      <c r="C38" s="35">
        <v>30000</v>
      </c>
    </row>
    <row r="39" spans="1:12" x14ac:dyDescent="0.25">
      <c r="A39" s="34" t="str">
        <v>PostFinance Sparkonto</v>
      </c>
      <c r="B39" s="134" t="str">
        <f ca="1"/>
        <v>Sheldon</v>
      </c>
      <c r="C39" s="35">
        <v>15000</v>
      </c>
    </row>
    <row r="40" spans="1:12" hidden="1" x14ac:dyDescent="0.25">
      <c r="A40" s="34"/>
      <c r="B40" s="134"/>
      <c r="C40" s="35"/>
    </row>
    <row r="41" spans="1:12" hidden="1" x14ac:dyDescent="0.25">
      <c r="A41" s="34"/>
      <c r="B41" s="134"/>
      <c r="C41" s="35"/>
    </row>
    <row r="42" spans="1:12" hidden="1" x14ac:dyDescent="0.25">
      <c r="A42" s="34"/>
      <c r="B42" s="134"/>
      <c r="C42" s="35"/>
    </row>
    <row r="43" spans="1:12" hidden="1" x14ac:dyDescent="0.25">
      <c r="A43" s="34"/>
      <c r="B43" s="134"/>
      <c r="C43" s="35"/>
    </row>
    <row r="44" spans="1:12" hidden="1" x14ac:dyDescent="0.25">
      <c r="A44" s="34"/>
      <c r="B44" s="134"/>
      <c r="C44" s="35"/>
    </row>
    <row r="45" spans="1:12" hidden="1" x14ac:dyDescent="0.25">
      <c r="A45" s="34"/>
      <c r="B45" s="134"/>
      <c r="C45" s="35"/>
    </row>
    <row r="46" spans="1:12" hidden="1" x14ac:dyDescent="0.25">
      <c r="A46" s="34"/>
      <c r="B46" s="134"/>
      <c r="C46" s="35"/>
    </row>
    <row r="47" spans="1:12" hidden="1" x14ac:dyDescent="0.25">
      <c r="A47" s="34"/>
      <c r="B47" s="134"/>
      <c r="C47" s="35"/>
    </row>
    <row r="48" spans="1:12" hidden="1" x14ac:dyDescent="0.25">
      <c r="A48" s="34"/>
      <c r="B48" s="134"/>
      <c r="C48" s="35"/>
    </row>
    <row r="49" spans="1:3" ht="23.45" customHeight="1" x14ac:dyDescent="0.25">
      <c r="A49" s="36" t="s">
        <v>91</v>
      </c>
      <c r="B49" s="134"/>
      <c r="C49" s="37">
        <f>SUM(_xlfn.ANCHORARRAY(C50))</f>
        <v>1360000</v>
      </c>
    </row>
    <row r="50" spans="1:3" x14ac:dyDescent="0.25">
      <c r="A50" s="34" t="str" cm="1">
        <f t="array" ref="A50:A58">_xlfn._xlws.FILTER(V_Vorsorg[Titel],V_Vorsorg[Betrag]&lt;&gt;0,"")</f>
        <v>Pensionskasse McDonalds</v>
      </c>
      <c r="B50" s="134" t="str" cm="1">
        <f t="array" aca="1" ref="B50:B58" ca="1">_xlfn._xlws.FILTER(V_Vorsorg[Zugehörigkeit Bezeichnung],V_Vorsorg[Betrag]&lt;&gt;0,"")</f>
        <v>Amy</v>
      </c>
      <c r="C50" s="35" cm="1">
        <f t="array" ref="C50:C58">_xlfn._xlws.FILTER(V_Vorsorg[Betrag],V_Vorsorg[Betrag]&lt;&gt;0,"")</f>
        <v>800000</v>
      </c>
    </row>
    <row r="51" spans="1:3" x14ac:dyDescent="0.25">
      <c r="A51" s="34" t="str">
        <v>MigrosBank Säule 3a Depot</v>
      </c>
      <c r="B51" s="134" t="str">
        <f ca="1"/>
        <v>Amy</v>
      </c>
      <c r="C51" s="35">
        <v>50000</v>
      </c>
    </row>
    <row r="52" spans="1:3" x14ac:dyDescent="0.25">
      <c r="A52" s="34" t="str">
        <v>Pictet Säule 3a Depot</v>
      </c>
      <c r="B52" s="134" t="str">
        <f ca="1"/>
        <v>Amy</v>
      </c>
      <c r="C52" s="35">
        <v>7500</v>
      </c>
    </row>
    <row r="53" spans="1:3" x14ac:dyDescent="0.25">
      <c r="A53" s="34" t="str">
        <v>SLM Säule 3a Konto</v>
      </c>
      <c r="B53" s="134" t="str">
        <f ca="1"/>
        <v>Amy</v>
      </c>
      <c r="C53" s="35">
        <v>7500</v>
      </c>
    </row>
    <row r="54" spans="1:3" x14ac:dyDescent="0.25">
      <c r="A54" s="34" t="str">
        <v>AXA Säule 3b</v>
      </c>
      <c r="B54" s="134" t="str">
        <f ca="1"/>
        <v>Amy</v>
      </c>
      <c r="C54" s="35">
        <v>100000</v>
      </c>
    </row>
    <row r="55" spans="1:3" x14ac:dyDescent="0.25">
      <c r="A55" s="34" t="str">
        <v>Pensionskasse Caltec</v>
      </c>
      <c r="B55" s="134" t="str">
        <f ca="1"/>
        <v>Sheldon</v>
      </c>
      <c r="C55" s="35">
        <v>300000</v>
      </c>
    </row>
    <row r="56" spans="1:3" x14ac:dyDescent="0.25">
      <c r="A56" s="34" t="str">
        <v>PostFinance Säule 3a Depot I</v>
      </c>
      <c r="B56" s="134" t="str">
        <f ca="1"/>
        <v>Sheldon</v>
      </c>
      <c r="C56" s="35">
        <v>40000</v>
      </c>
    </row>
    <row r="57" spans="1:3" x14ac:dyDescent="0.25">
      <c r="A57" s="34" t="str">
        <v>PostFinance Säule 3a Depot II</v>
      </c>
      <c r="B57" s="134" t="str">
        <f ca="1"/>
        <v>Sheldon</v>
      </c>
      <c r="C57" s="35">
        <v>20000</v>
      </c>
    </row>
    <row r="58" spans="1:3" x14ac:dyDescent="0.25">
      <c r="A58" s="34" t="str">
        <v>MigrosBank Säule 3a Konto</v>
      </c>
      <c r="B58" s="134" t="str">
        <f ca="1"/>
        <v>Sheldon</v>
      </c>
      <c r="C58" s="35">
        <v>35000</v>
      </c>
    </row>
    <row r="59" spans="1:3" hidden="1" x14ac:dyDescent="0.25">
      <c r="A59" s="34"/>
      <c r="B59" s="134"/>
      <c r="C59" s="35"/>
    </row>
    <row r="60" spans="1:3" hidden="1" x14ac:dyDescent="0.25">
      <c r="A60" s="34"/>
      <c r="B60" s="134"/>
      <c r="C60" s="35"/>
    </row>
    <row r="61" spans="1:3" hidden="1" x14ac:dyDescent="0.25">
      <c r="A61" s="34"/>
      <c r="B61" s="134"/>
      <c r="C61" s="35"/>
    </row>
    <row r="62" spans="1:3" hidden="1" x14ac:dyDescent="0.25">
      <c r="A62" s="34"/>
      <c r="B62" s="134"/>
      <c r="C62" s="35"/>
    </row>
    <row r="63" spans="1:3" hidden="1" x14ac:dyDescent="0.25">
      <c r="A63" s="34"/>
      <c r="B63" s="134"/>
      <c r="C63" s="35"/>
    </row>
    <row r="64" spans="1:3" hidden="1" x14ac:dyDescent="0.25">
      <c r="A64" s="34"/>
      <c r="B64" s="134"/>
      <c r="C64" s="35"/>
    </row>
    <row r="65" spans="1:3" hidden="1" x14ac:dyDescent="0.25">
      <c r="A65" s="34"/>
      <c r="B65" s="134"/>
      <c r="C65" s="35"/>
    </row>
    <row r="66" spans="1:3" hidden="1" x14ac:dyDescent="0.25">
      <c r="A66" s="34"/>
      <c r="B66" s="134"/>
      <c r="C66" s="35"/>
    </row>
    <row r="67" spans="1:3" hidden="1" x14ac:dyDescent="0.25">
      <c r="A67" s="34"/>
      <c r="B67" s="134"/>
      <c r="C67" s="35"/>
    </row>
    <row r="68" spans="1:3" hidden="1" x14ac:dyDescent="0.25">
      <c r="A68" s="34"/>
      <c r="B68" s="134"/>
      <c r="C68" s="35"/>
    </row>
    <row r="69" spans="1:3" hidden="1" x14ac:dyDescent="0.25">
      <c r="A69" s="34"/>
      <c r="B69" s="134"/>
      <c r="C69" s="35"/>
    </row>
    <row r="70" spans="1:3" hidden="1" x14ac:dyDescent="0.25">
      <c r="A70" s="34"/>
      <c r="B70" s="134"/>
      <c r="C70" s="35"/>
    </row>
    <row r="71" spans="1:3" hidden="1" x14ac:dyDescent="0.25">
      <c r="A71" s="34"/>
      <c r="B71" s="134"/>
      <c r="C71" s="35"/>
    </row>
    <row r="72" spans="1:3" hidden="1" x14ac:dyDescent="0.25">
      <c r="A72" s="34"/>
      <c r="B72" s="134"/>
      <c r="C72" s="35"/>
    </row>
    <row r="73" spans="1:3" hidden="1" x14ac:dyDescent="0.25">
      <c r="A73" s="34"/>
      <c r="B73" s="134"/>
      <c r="C73" s="35"/>
    </row>
    <row r="74" spans="1:3" ht="23.45" customHeight="1" x14ac:dyDescent="0.25">
      <c r="A74" s="36" t="s">
        <v>60</v>
      </c>
      <c r="B74" s="134"/>
      <c r="C74" s="37">
        <f>SUM(_xlfn.ANCHORARRAY(C75))</f>
        <v>1350000</v>
      </c>
    </row>
    <row r="75" spans="1:3" x14ac:dyDescent="0.25">
      <c r="A75" s="34" t="str" cm="1">
        <f t="array" ref="A75:A76">_xlfn._xlws.FILTER(V_Liegensch[Titel],V_Liegensch[Betrag]&lt;&gt;0,"")</f>
        <v>Liegenschaft in New York</v>
      </c>
      <c r="B75" s="134" t="str" cm="1">
        <f t="array" aca="1" ref="B75:B76" ca="1">_xlfn._xlws.FILTER(V_Liegensch[Zugehörigkeit Bezeichnung],V_Liegensch[Betrag]&lt;&gt;0,"")</f>
        <v>Amy</v>
      </c>
      <c r="C75" s="35" cm="1">
        <f t="array" ref="C75:C76">_xlfn._xlws.FILTER(V_Liegensch[Betrag],V_Liegensch[Betrag]&lt;&gt;0,"")</f>
        <v>700000</v>
      </c>
    </row>
    <row r="76" spans="1:3" x14ac:dyDescent="0.25">
      <c r="A76" s="34" t="str">
        <v>Liegenschaft Pasadena</v>
      </c>
      <c r="B76" s="134" t="str">
        <f ca="1"/>
        <v>Sheldon</v>
      </c>
      <c r="C76" s="35">
        <v>650000</v>
      </c>
    </row>
    <row r="77" spans="1:3" hidden="1" x14ac:dyDescent="0.25">
      <c r="A77" s="34"/>
      <c r="B77" s="134"/>
      <c r="C77" s="35"/>
    </row>
    <row r="78" spans="1:3" hidden="1" x14ac:dyDescent="0.25">
      <c r="A78" s="34"/>
      <c r="B78" s="134"/>
      <c r="C78" s="35"/>
    </row>
    <row r="79" spans="1:3" hidden="1" x14ac:dyDescent="0.25">
      <c r="A79" s="34"/>
      <c r="B79" s="134"/>
      <c r="C79" s="35"/>
    </row>
    <row r="80" spans="1:3" hidden="1" x14ac:dyDescent="0.25">
      <c r="A80" s="34"/>
      <c r="B80" s="134"/>
      <c r="C80" s="35"/>
    </row>
    <row r="81" spans="1:3" hidden="1" x14ac:dyDescent="0.25">
      <c r="A81" s="34"/>
      <c r="B81" s="134"/>
      <c r="C81" s="35"/>
    </row>
    <row r="82" spans="1:3" hidden="1" x14ac:dyDescent="0.25">
      <c r="A82" s="34"/>
      <c r="B82" s="134"/>
      <c r="C82" s="35"/>
    </row>
    <row r="83" spans="1:3" hidden="1" x14ac:dyDescent="0.25">
      <c r="A83" s="34"/>
      <c r="B83" s="134"/>
      <c r="C83" s="35"/>
    </row>
    <row r="84" spans="1:3" hidden="1" x14ac:dyDescent="0.25">
      <c r="A84" s="34"/>
      <c r="B84" s="134"/>
      <c r="C84" s="35"/>
    </row>
    <row r="85" spans="1:3" hidden="1" x14ac:dyDescent="0.25">
      <c r="A85" s="34"/>
      <c r="B85" s="134"/>
      <c r="C85" s="35"/>
    </row>
    <row r="86" spans="1:3" hidden="1" x14ac:dyDescent="0.25">
      <c r="A86" s="34"/>
      <c r="B86" s="134"/>
      <c r="C86" s="35"/>
    </row>
    <row r="87" spans="1:3" hidden="1" x14ac:dyDescent="0.25">
      <c r="A87" s="34"/>
      <c r="B87" s="134"/>
      <c r="C87" s="35"/>
    </row>
    <row r="88" spans="1:3" hidden="1" x14ac:dyDescent="0.25">
      <c r="A88" s="34"/>
      <c r="B88" s="134"/>
      <c r="C88" s="35"/>
    </row>
    <row r="89" spans="1:3" hidden="1" x14ac:dyDescent="0.25">
      <c r="A89" s="34"/>
      <c r="B89" s="134"/>
      <c r="C89" s="35"/>
    </row>
    <row r="90" spans="1:3" ht="23.45" customHeight="1" x14ac:dyDescent="0.25">
      <c r="A90" s="36" t="s">
        <v>98</v>
      </c>
      <c r="B90" s="134"/>
      <c r="C90" s="37">
        <f>SUM(_xlfn.ANCHORARRAY(C91))</f>
        <v>-880000</v>
      </c>
    </row>
    <row r="91" spans="1:3" x14ac:dyDescent="0.25">
      <c r="A91" s="34" t="str" cm="1">
        <f t="array" ref="A91:A94">_xlfn._xlws.FILTER(V_Hypo[Titel],V_Hypo[Betrag]&lt;&gt;0,"")</f>
        <v>MigrosBank SARON</v>
      </c>
      <c r="B91" s="134" t="str" cm="1">
        <f t="array" aca="1" ref="B91:B94" ca="1">_xlfn._xlws.FILTER(V_Hypo[Zugehörigkeit Bezeichnung],V_Hypo[Betrag]&lt;&gt;0,"")</f>
        <v>Amy</v>
      </c>
      <c r="C91" s="35" cm="1">
        <f t="array" ref="C91:C94">_xlfn._xlws.FILTER(V_Hypo[Betrag],V_Hypo[Betrag]&lt;&gt;0,"")</f>
        <v>-180000</v>
      </c>
    </row>
    <row r="92" spans="1:3" x14ac:dyDescent="0.25">
      <c r="A92" s="34" t="str">
        <v>MigrosBank Festhypo</v>
      </c>
      <c r="B92" s="134" t="str">
        <f ca="1"/>
        <v>Amy</v>
      </c>
      <c r="C92" s="35">
        <v>-200000</v>
      </c>
    </row>
    <row r="93" spans="1:3" x14ac:dyDescent="0.25">
      <c r="A93" s="34" t="str">
        <v>MigrosBank Festhypo II</v>
      </c>
      <c r="B93" s="134" t="str">
        <f ca="1"/>
        <v>Amy</v>
      </c>
      <c r="C93" s="35">
        <v>-200000</v>
      </c>
    </row>
    <row r="94" spans="1:3" x14ac:dyDescent="0.25">
      <c r="A94" s="34" t="str">
        <v>PostFinance Festhypo</v>
      </c>
      <c r="B94" s="134" t="str">
        <f ca="1"/>
        <v>Sheldon</v>
      </c>
      <c r="C94" s="35">
        <v>-300000</v>
      </c>
    </row>
    <row r="95" spans="1:3" hidden="1" x14ac:dyDescent="0.25">
      <c r="A95" s="34"/>
      <c r="B95" s="134"/>
      <c r="C95" s="35"/>
    </row>
    <row r="96" spans="1:3" hidden="1" x14ac:dyDescent="0.25">
      <c r="A96" s="34"/>
      <c r="B96" s="134"/>
      <c r="C96" s="35"/>
    </row>
    <row r="97" spans="1:3" hidden="1" x14ac:dyDescent="0.25">
      <c r="A97" s="34"/>
      <c r="B97" s="134"/>
      <c r="C97" s="35"/>
    </row>
    <row r="98" spans="1:3" hidden="1" x14ac:dyDescent="0.25">
      <c r="A98" s="34"/>
      <c r="B98" s="134"/>
      <c r="C98" s="35"/>
    </row>
    <row r="99" spans="1:3" hidden="1" x14ac:dyDescent="0.25">
      <c r="A99" s="34"/>
      <c r="B99" s="134"/>
      <c r="C99" s="35"/>
    </row>
    <row r="100" spans="1:3" hidden="1" x14ac:dyDescent="0.25">
      <c r="A100" s="34"/>
      <c r="B100" s="134"/>
      <c r="C100" s="35"/>
    </row>
    <row r="101" spans="1:3" hidden="1" x14ac:dyDescent="0.25">
      <c r="A101" s="34"/>
      <c r="B101" s="134"/>
      <c r="C101" s="35"/>
    </row>
    <row r="102" spans="1:3" ht="23.45" customHeight="1" x14ac:dyDescent="0.25">
      <c r="A102" s="36" t="s">
        <v>68</v>
      </c>
      <c r="B102" s="134"/>
      <c r="C102" s="37">
        <f>C49+C90+C74+C32</f>
        <v>2004700</v>
      </c>
    </row>
    <row r="103" spans="1:3" x14ac:dyDescent="0.25">
      <c r="A103" s="38" t="s">
        <v>69</v>
      </c>
      <c r="B103" s="135"/>
      <c r="C103" s="39">
        <f>+C49+C32</f>
        <v>1534700</v>
      </c>
    </row>
    <row r="104" spans="1:3" hidden="1" x14ac:dyDescent="0.25">
      <c r="B104" s="136"/>
    </row>
    <row r="105" spans="1:3" hidden="1" x14ac:dyDescent="0.25">
      <c r="B105" s="136"/>
    </row>
    <row r="106" spans="1:3" hidden="1" x14ac:dyDescent="0.25">
      <c r="B106" s="136"/>
    </row>
    <row r="107" spans="1:3" hidden="1" x14ac:dyDescent="0.25">
      <c r="A107" s="129"/>
      <c r="C107" s="130"/>
    </row>
    <row r="108" spans="1:3" hidden="1" x14ac:dyDescent="0.25">
      <c r="A108" s="129"/>
      <c r="C108" s="130"/>
    </row>
    <row r="109" spans="1:3" hidden="1" x14ac:dyDescent="0.25">
      <c r="A109" s="99"/>
      <c r="B109" s="131"/>
      <c r="C109" s="132"/>
    </row>
    <row r="110" spans="1:3" hidden="1" x14ac:dyDescent="0.25">
      <c r="A110" s="99"/>
      <c r="B110" s="131"/>
      <c r="C110" s="132"/>
    </row>
  </sheetData>
  <pageMargins left="0.9055118110236221" right="0.70866141732283472" top="0.78740157480314965" bottom="0.78740157480314965" header="0.31496062992125984" footer="0.31496062992125984"/>
  <pageSetup paperSize="9" orientation="landscape" r:id="rId1"/>
  <customProperties>
    <customPr name="EpmWorksheetKeyString_GU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hideEmptyRows">
                <anchor moveWithCells="1" sizeWithCells="1">
                  <from>
                    <xdr:col>8</xdr:col>
                    <xdr:colOff>428625</xdr:colOff>
                    <xdr:row>2</xdr:row>
                    <xdr:rowOff>28575</xdr:rowOff>
                  </from>
                  <to>
                    <xdr:col>10</xdr:col>
                    <xdr:colOff>733425</xdr:colOff>
                    <xdr:row>6</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FEE7D-717E-4190-B076-83C175918AFA}">
  <sheetPr codeName="Tabelle2"/>
  <dimension ref="A1:G127"/>
  <sheetViews>
    <sheetView zoomScaleNormal="100" zoomScaleSheetLayoutView="130" workbookViewId="0">
      <selection activeCell="B3" sqref="B3"/>
    </sheetView>
  </sheetViews>
  <sheetFormatPr baseColWidth="10" defaultColWidth="10.7109375" defaultRowHeight="15" x14ac:dyDescent="0.25"/>
  <cols>
    <col min="1" max="1" width="13" bestFit="1" customWidth="1"/>
    <col min="2" max="2" width="22.42578125" bestFit="1" customWidth="1"/>
    <col min="3" max="3" width="15.5703125" bestFit="1" customWidth="1"/>
  </cols>
  <sheetData>
    <row r="1" spans="1:2" s="5" customFormat="1" ht="30" customHeight="1" x14ac:dyDescent="0.25">
      <c r="A1" s="26" t="str">
        <f>"Steuerbetrachtung "&amp;PD_Ort</f>
        <v>Steuerbetrachtung Pasadena</v>
      </c>
    </row>
    <row r="3" spans="1:2" x14ac:dyDescent="0.25">
      <c r="B3" t="str" cm="1">
        <f t="array" aca="1" ref="B3:B5" ca="1">_xlfn._xlws.FILTER(E_Erwerb[Zugehörigkeit Bezeichnung],E_Erwerb[Betrag]&lt;&gt;0,"")</f>
        <v>Amy</v>
      </c>
    </row>
    <row r="4" spans="1:2" x14ac:dyDescent="0.25">
      <c r="B4" t="str">
        <f ca="1"/>
        <v>Amy</v>
      </c>
    </row>
    <row r="5" spans="1:2" x14ac:dyDescent="0.25">
      <c r="B5" t="str">
        <f ca="1"/>
        <v>Sheldon</v>
      </c>
    </row>
    <row r="30" spans="1:1" ht="11.25" customHeight="1" x14ac:dyDescent="0.25"/>
    <row r="31" spans="1:1" ht="11.25" customHeight="1" x14ac:dyDescent="0.25">
      <c r="A31" s="108" t="str">
        <f>"1) Berücksichtigter Zivilstand: "&amp;Ziv</f>
        <v>1) Berücksichtigter Zivilstand: Verheiratet</v>
      </c>
    </row>
    <row r="32" spans="1:1" ht="11.25" customHeight="1" x14ac:dyDescent="0.25">
      <c r="A32" s="108" t="str">
        <f>"2) Grenzsteuersatz berechnet mit Schrittweiweite "&amp;$B$38</f>
        <v>2) Grenzsteuersatz berechnet mit Schrittweiweite 1000</v>
      </c>
    </row>
    <row r="33" spans="1:7" ht="11.25" customHeight="1" x14ac:dyDescent="0.25">
      <c r="A33" s="108" t="str">
        <f>"3) Grenzsteuersatz berechnet mit Schrittweiweite "&amp;$F$38</f>
        <v>3) Grenzsteuersatz berechnet mit Schrittweiweite 5000</v>
      </c>
    </row>
    <row r="37" spans="1:7" x14ac:dyDescent="0.25">
      <c r="A37" t="s">
        <v>48</v>
      </c>
      <c r="B37" s="1">
        <v>90000</v>
      </c>
      <c r="E37" t="s">
        <v>48</v>
      </c>
      <c r="F37" s="1">
        <v>20000</v>
      </c>
    </row>
    <row r="38" spans="1:7" x14ac:dyDescent="0.25">
      <c r="A38" t="s">
        <v>49</v>
      </c>
      <c r="B38" s="139">
        <v>1000</v>
      </c>
      <c r="E38" t="s">
        <v>49</v>
      </c>
      <c r="F38" s="1">
        <v>5000</v>
      </c>
    </row>
    <row r="40" spans="1:7" x14ac:dyDescent="0.25">
      <c r="A40" t="s">
        <v>16</v>
      </c>
      <c r="B40" t="s">
        <v>50</v>
      </c>
      <c r="C40" t="s">
        <v>51</v>
      </c>
      <c r="E40" t="s">
        <v>16</v>
      </c>
      <c r="F40" t="s">
        <v>50</v>
      </c>
      <c r="G40" t="s">
        <v>51</v>
      </c>
    </row>
    <row r="41" spans="1:7" x14ac:dyDescent="0.25">
      <c r="A41" s="12">
        <f>B37</f>
        <v>90000</v>
      </c>
      <c r="B41" s="9" cm="1">
        <f t="array" ref="B41">EinkommenSteuerGesamt(A41,Ziv)/A41*100</f>
        <v>20.166752388888888</v>
      </c>
      <c r="C41" s="9" cm="1">
        <f t="array" ref="C41">(EinkommenSteuerGesamt(A41,Ziv)-EinkommenSteuerGesamt(A41-$B$38,Ziv))/$B$38*100</f>
        <v>28.219256500000117</v>
      </c>
      <c r="E41" s="12">
        <f>F37</f>
        <v>20000</v>
      </c>
      <c r="F41" s="9" cm="1">
        <f t="array" ref="F41">KapitalAuszSteuer(E41,Ziv)/E41*100</f>
        <v>3.2467500000000005</v>
      </c>
      <c r="G41" s="9" cm="1">
        <f t="array" ref="G41">(KapitalAuszSteuer(E41,Ziv)-KapitalAuszSteuer(E41-$F$38,Ziv))/$F$38*100</f>
        <v>3.2467500000000009</v>
      </c>
    </row>
    <row r="42" spans="1:7" x14ac:dyDescent="0.25">
      <c r="A42" s="12">
        <f>A41+$B$38</f>
        <v>91000</v>
      </c>
      <c r="B42" s="9" cm="1">
        <f t="array" ref="B42">EinkommenSteuerGesamt(A42,Ziv)/A42*100</f>
        <v>20.255625675824174</v>
      </c>
      <c r="C42" s="9" cm="1">
        <f t="array" ref="C42">(EinkommenSteuerGesamt(A42,Ziv)-EinkommenSteuerGesamt(A42-$B$38,Ziv))/$B$38*100</f>
        <v>28.254221499999765</v>
      </c>
      <c r="E42" s="12">
        <f>E41+$F$38</f>
        <v>25000</v>
      </c>
      <c r="F42" s="9" cm="1">
        <f t="array" ref="F42">KapitalAuszSteuer(E42,Ziv)/E42*100</f>
        <v>3.2467500000000005</v>
      </c>
      <c r="G42" s="9" cm="1">
        <f t="array" ref="G42">(KapitalAuszSteuer(E42,Ziv)-KapitalAuszSteuer(E42-$F$38,Ziv))/$F$38*100</f>
        <v>3.2467499999999996</v>
      </c>
    </row>
    <row r="43" spans="1:7" x14ac:dyDescent="0.25">
      <c r="A43" s="12">
        <f t="shared" ref="A43:A106" si="0">A42+$B$38</f>
        <v>92000</v>
      </c>
      <c r="B43" s="9" cm="1">
        <f t="array" ref="B43">EinkommenSteuerGesamt(A43,Ziv)/A43*100</f>
        <v>20.341915413043477</v>
      </c>
      <c r="C43" s="9" cm="1">
        <f t="array" ref="C43">(EinkommenSteuerGesamt(A43,Ziv)-EinkommenSteuerGesamt(A43-$B$38,Ziv))/$B$38*100</f>
        <v>28.194281499999853</v>
      </c>
      <c r="E43" s="12">
        <f t="shared" ref="E43:E106" si="1">E42+$F$38</f>
        <v>30000</v>
      </c>
      <c r="F43" s="9" cm="1">
        <f t="array" ref="F43">KapitalAuszSteuer(E43,Ziv)/E43*100</f>
        <v>3.2467499999999996</v>
      </c>
      <c r="G43" s="9" cm="1">
        <f t="array" ref="G43">(KapitalAuszSteuer(E43,Ziv)-KapitalAuszSteuer(E43-$F$38,Ziv))/$F$38*100</f>
        <v>3.2467499999999996</v>
      </c>
    </row>
    <row r="44" spans="1:7" x14ac:dyDescent="0.25">
      <c r="A44" s="12">
        <f t="shared" si="0"/>
        <v>93000</v>
      </c>
      <c r="B44" s="9" cm="1">
        <f t="array" ref="B44">EinkommenSteuerGesamt(A44,Ziv)/A44*100</f>
        <v>20.426639489247311</v>
      </c>
      <c r="C44" s="9" cm="1">
        <f t="array" ref="C44">(EinkommenSteuerGesamt(A44,Ziv)-EinkommenSteuerGesamt(A44-$B$38,Ziv))/$B$38*100</f>
        <v>28.221254500000214</v>
      </c>
      <c r="E44" s="12">
        <f t="shared" si="1"/>
        <v>35000</v>
      </c>
      <c r="F44" s="9" cm="1">
        <f t="array" ref="F44">KapitalAuszSteuer(E44,Ziv)/E44*100</f>
        <v>3.2793214285714285</v>
      </c>
      <c r="G44" s="9" cm="1">
        <f t="array" ref="G44">(KapitalAuszSteuer(E44,Ziv)-KapitalAuszSteuer(E44-$F$38,Ziv))/$F$38*100</f>
        <v>3.4747500000000016</v>
      </c>
    </row>
    <row r="45" spans="1:7" x14ac:dyDescent="0.25">
      <c r="A45" s="12">
        <f t="shared" si="0"/>
        <v>94000</v>
      </c>
      <c r="B45" s="9" cm="1">
        <f t="array" ref="B45">EinkommenSteuerGesamt(A45,Ziv)/A45*100</f>
        <v>20.514071308510641</v>
      </c>
      <c r="C45" s="9" cm="1">
        <f t="array" ref="C45">(EinkommenSteuerGesamt(A45,Ziv)-EinkommenSteuerGesamt(A45-$B$38,Ziv))/$B$38*100</f>
        <v>28.645230500000253</v>
      </c>
      <c r="E45" s="12">
        <f t="shared" si="1"/>
        <v>40000</v>
      </c>
      <c r="F45" s="9" cm="1">
        <f t="array" ref="F45">KapitalAuszSteuer(E45,Ziv)/E45*100</f>
        <v>3.3002500000000006</v>
      </c>
      <c r="G45" s="9" cm="1">
        <f t="array" ref="G45">(KapitalAuszSteuer(E45,Ziv)-KapitalAuszSteuer(E45-$F$38,Ziv))/$F$38*100</f>
        <v>3.446750000000002</v>
      </c>
    </row>
    <row r="46" spans="1:7" x14ac:dyDescent="0.25">
      <c r="A46" s="12">
        <f t="shared" si="0"/>
        <v>95000</v>
      </c>
      <c r="B46" s="9" cm="1">
        <f t="array" ref="B46">EinkommenSteuerGesamt(A46,Ziv)/A46*100</f>
        <v>20.605699578947366</v>
      </c>
      <c r="C46" s="9" cm="1">
        <f t="array" ref="C46">(EinkommenSteuerGesamt(A46,Ziv)-EinkommenSteuerGesamt(A46-$B$38,Ziv))/$B$38*100</f>
        <v>29.218756999999822</v>
      </c>
      <c r="E46" s="12">
        <f t="shared" si="1"/>
        <v>45000</v>
      </c>
      <c r="F46" s="9" cm="1">
        <f t="array" ref="F46">KapitalAuszSteuer(E46,Ziv)/E46*100</f>
        <v>3.316527777777778</v>
      </c>
      <c r="G46" s="9" cm="1">
        <f t="array" ref="G46">(KapitalAuszSteuer(E46,Ziv)-KapitalAuszSteuer(E46-$F$38,Ziv))/$F$38*100</f>
        <v>3.446750000000002</v>
      </c>
    </row>
    <row r="47" spans="1:7" x14ac:dyDescent="0.25">
      <c r="A47" s="12">
        <f t="shared" si="0"/>
        <v>96000</v>
      </c>
      <c r="B47" s="9" cm="1">
        <f t="array" ref="B47">EinkommenSteuerGesamt(A47,Ziv)/A47*100</f>
        <v>20.695595833333329</v>
      </c>
      <c r="C47" s="9" cm="1">
        <f t="array" ref="C47">(EinkommenSteuerGesamt(A47,Ziv)-EinkommenSteuerGesamt(A47-$B$38,Ziv))/$B$38*100</f>
        <v>29.235739999999716</v>
      </c>
      <c r="E47" s="12">
        <f t="shared" si="1"/>
        <v>50000</v>
      </c>
      <c r="F47" s="9" cm="1">
        <f t="array" ref="F47">KapitalAuszSteuer(E47,Ziv)/E47*100</f>
        <v>3.3295499999999998</v>
      </c>
      <c r="G47" s="9" cm="1">
        <f t="array" ref="G47">(KapitalAuszSteuer(E47,Ziv)-KapitalAuszSteuer(E47-$F$38,Ziv))/$F$38*100</f>
        <v>3.4467499999999971</v>
      </c>
    </row>
    <row r="48" spans="1:7" x14ac:dyDescent="0.25">
      <c r="A48" s="12">
        <f t="shared" si="0"/>
        <v>97000</v>
      </c>
      <c r="B48" s="9" cm="1">
        <f t="array" ref="B48">EinkommenSteuerGesamt(A48,Ziv)/A48*100</f>
        <v>20.783782742268041</v>
      </c>
      <c r="C48" s="9" cm="1">
        <f t="array" ref="C48">(EinkommenSteuerGesamt(A48,Ziv)-EinkommenSteuerGesamt(A48-$B$38,Ziv))/$B$38*100</f>
        <v>29.249726000000376</v>
      </c>
      <c r="E48" s="12">
        <f t="shared" si="1"/>
        <v>55000</v>
      </c>
      <c r="F48" s="9" cm="1">
        <f t="array" ref="F48">KapitalAuszSteuer(E48,Ziv)/E48*100</f>
        <v>3.3690022727272737</v>
      </c>
      <c r="G48" s="9" cm="1">
        <f t="array" ref="G48">(KapitalAuszSteuer(E48,Ziv)-KapitalAuszSteuer(E48-$F$38,Ziv))/$F$38*100</f>
        <v>3.7635250000000045</v>
      </c>
    </row>
    <row r="49" spans="1:7" x14ac:dyDescent="0.25">
      <c r="A49" s="12">
        <f t="shared" si="0"/>
        <v>98000</v>
      </c>
      <c r="B49" s="9" cm="1">
        <f t="array" ref="B49">EinkommenSteuerGesamt(A49,Ziv)/A49*100</f>
        <v>20.869782551020403</v>
      </c>
      <c r="C49" s="9" cm="1">
        <f t="array" ref="C49">(EinkommenSteuerGesamt(A49,Ziv)-EinkommenSteuerGesamt(A49-$B$38,Ziv))/$B$38*100</f>
        <v>29.211763999999675</v>
      </c>
      <c r="E49" s="12">
        <f t="shared" si="1"/>
        <v>60000</v>
      </c>
      <c r="F49" s="9" cm="1">
        <f t="array" ref="F49">KapitalAuszSteuer(E49,Ziv)/E49*100</f>
        <v>3.4962104166666674</v>
      </c>
      <c r="G49" s="9" cm="1">
        <f t="array" ref="G49">(KapitalAuszSteuer(E49,Ziv)-KapitalAuszSteuer(E49-$F$38,Ziv))/$F$38*100</f>
        <v>4.8955000000000064</v>
      </c>
    </row>
    <row r="50" spans="1:7" x14ac:dyDescent="0.25">
      <c r="A50" s="12">
        <f t="shared" si="0"/>
        <v>99000</v>
      </c>
      <c r="B50" s="9" cm="1">
        <f t="array" ref="B50">EinkommenSteuerGesamt(A50,Ziv)/A50*100</f>
        <v>20.954115626262627</v>
      </c>
      <c r="C50" s="9" cm="1">
        <f t="array" ref="C50">(EinkommenSteuerGesamt(A50,Ziv)-EinkommenSteuerGesamt(A50-$B$38,Ziv))/$B$38*100</f>
        <v>29.218757000000551</v>
      </c>
      <c r="E50" s="12">
        <f t="shared" si="1"/>
        <v>65000</v>
      </c>
      <c r="F50" s="9" cm="1">
        <f t="array" ref="F50">KapitalAuszSteuer(E50,Ziv)/E50*100</f>
        <v>3.6176942307692315</v>
      </c>
      <c r="G50" s="9" cm="1">
        <f t="array" ref="G50">(KapitalAuszSteuer(E50,Ziv)-KapitalAuszSteuer(E50-$F$38,Ziv))/$F$38*100</f>
        <v>5.0754999999999928</v>
      </c>
    </row>
    <row r="51" spans="1:7" x14ac:dyDescent="0.25">
      <c r="A51" s="12">
        <f t="shared" si="0"/>
        <v>100000</v>
      </c>
      <c r="B51" s="9" cm="1">
        <f t="array" ref="B51">EinkommenSteuerGesamt(A51,Ziv)/A51*100</f>
        <v>21.036801999999998</v>
      </c>
      <c r="C51" s="9" cm="1">
        <f t="array" ref="C51">(EinkommenSteuerGesamt(A51,Ziv)-EinkommenSteuerGesamt(A51-$B$38,Ziv))/$B$38*100</f>
        <v>29.222752999999646</v>
      </c>
      <c r="E51" s="12">
        <f t="shared" si="1"/>
        <v>70000</v>
      </c>
      <c r="F51" s="9" cm="1">
        <f t="array" ref="F51">KapitalAuszSteuer(E51,Ziv)/E51*100</f>
        <v>3.7232517857142864</v>
      </c>
      <c r="G51" s="9" cm="1">
        <f t="array" ref="G51">(KapitalAuszSteuer(E51,Ziv)-KapitalAuszSteuer(E51-$F$38,Ziv))/$F$38*100</f>
        <v>5.0955000000000021</v>
      </c>
    </row>
    <row r="52" spans="1:7" x14ac:dyDescent="0.25">
      <c r="A52" s="12">
        <f t="shared" si="0"/>
        <v>101000</v>
      </c>
      <c r="B52" s="9" cm="1">
        <f t="array" ref="B52">EinkommenSteuerGesamt(A52,Ziv)/A52*100</f>
        <v>21.117860910891086</v>
      </c>
      <c r="C52" s="9" cm="1">
        <f t="array" ref="C52">(EinkommenSteuerGesamt(A52,Ziv)-EinkommenSteuerGesamt(A52-$B$38,Ziv))/$B$38*100</f>
        <v>29.223751999999877</v>
      </c>
      <c r="E52" s="12">
        <f t="shared" si="1"/>
        <v>75000</v>
      </c>
      <c r="F52" s="9" cm="1">
        <f t="array" ref="F52">KapitalAuszSteuer(E52,Ziv)/E52*100</f>
        <v>3.8147349999999998</v>
      </c>
      <c r="G52" s="9" cm="1">
        <f t="array" ref="G52">(KapitalAuszSteuer(E52,Ziv)-KapitalAuszSteuer(E52-$F$38,Ziv))/$F$38*100</f>
        <v>5.0954999999999924</v>
      </c>
    </row>
    <row r="53" spans="1:7" x14ac:dyDescent="0.25">
      <c r="A53" s="12">
        <f t="shared" si="0"/>
        <v>102000</v>
      </c>
      <c r="B53" s="9" cm="1">
        <f t="array" ref="B53">EinkommenSteuerGesamt(A53,Ziv)/A53*100</f>
        <v>21.197310843137256</v>
      </c>
      <c r="C53" s="9" cm="1">
        <f t="array" ref="C53">(EinkommenSteuerGesamt(A53,Ziv)-EinkommenSteuerGesamt(A53-$B$38,Ziv))/$B$38*100</f>
        <v>29.221754000000143</v>
      </c>
      <c r="E53" s="12">
        <f t="shared" si="1"/>
        <v>80000</v>
      </c>
      <c r="F53" s="9" cm="1">
        <f t="array" ref="F53">KapitalAuszSteuer(E53,Ziv)/E53*100</f>
        <v>3.8995328125000004</v>
      </c>
      <c r="G53" s="9" cm="1">
        <f t="array" ref="G53">(KapitalAuszSteuer(E53,Ziv)-KapitalAuszSteuer(E53-$F$38,Ziv))/$F$38*100</f>
        <v>5.1715000000000053</v>
      </c>
    </row>
    <row r="54" spans="1:7" x14ac:dyDescent="0.25">
      <c r="A54" s="12">
        <f t="shared" si="0"/>
        <v>103000</v>
      </c>
      <c r="B54" s="9" cm="1">
        <f t="array" ref="B54">EinkommenSteuerGesamt(A54,Ziv)/A54*100</f>
        <v>21.275169563106797</v>
      </c>
      <c r="C54" s="9" cm="1">
        <f t="array" ref="C54">(EinkommenSteuerGesamt(A54,Ziv)-EinkommenSteuerGesamt(A54-$B$38,Ziv))/$B$38*100</f>
        <v>29.216759000000092</v>
      </c>
      <c r="E54" s="12">
        <f t="shared" si="1"/>
        <v>85000</v>
      </c>
      <c r="F54" s="9" cm="1">
        <f t="array" ref="F54">KapitalAuszSteuer(E54,Ziv)/E54*100</f>
        <v>3.9816485294117654</v>
      </c>
      <c r="G54" s="9" cm="1">
        <f t="array" ref="G54">(KapitalAuszSteuer(E54,Ziv)-KapitalAuszSteuer(E54-$F$38,Ziv))/$F$38*100</f>
        <v>5.2955000000000014</v>
      </c>
    </row>
    <row r="55" spans="1:7" x14ac:dyDescent="0.25">
      <c r="A55" s="12">
        <f t="shared" si="0"/>
        <v>104000</v>
      </c>
      <c r="B55" s="9" cm="1">
        <f t="array" ref="B55">EinkommenSteuerGesamt(A55,Ziv)/A55*100</f>
        <v>21.351953653846152</v>
      </c>
      <c r="C55" s="9" cm="1">
        <f t="array" ref="C55">(EinkommenSteuerGesamt(A55,Ziv)-EinkommenSteuerGesamt(A55-$B$38,Ziv))/$B$38*100</f>
        <v>29.260714999999983</v>
      </c>
      <c r="E55" s="12">
        <f t="shared" si="1"/>
        <v>90000</v>
      </c>
      <c r="F55" s="9" cm="1">
        <f t="array" ref="F55">KapitalAuszSteuer(E55,Ziv)/E55*100</f>
        <v>4.0546402777777786</v>
      </c>
      <c r="G55" s="9" cm="1">
        <f t="array" ref="G55">(KapitalAuszSteuer(E55,Ziv)-KapitalAuszSteuer(E55-$F$38,Ziv))/$F$38*100</f>
        <v>5.2955000000000014</v>
      </c>
    </row>
    <row r="56" spans="1:7" x14ac:dyDescent="0.25">
      <c r="A56" s="12">
        <f t="shared" si="0"/>
        <v>105000</v>
      </c>
      <c r="B56" s="9" cm="1">
        <f t="array" ref="B56">EinkommenSteuerGesamt(A56,Ziv)/A56*100</f>
        <v>21.42668054761905</v>
      </c>
      <c r="C56" s="9" cm="1">
        <f t="array" ref="C56">(EinkommenSteuerGesamt(A56,Ziv)-EinkommenSteuerGesamt(A56-$B$38,Ziv))/$B$38*100</f>
        <v>29.198277500000042</v>
      </c>
      <c r="E56" s="12">
        <f t="shared" si="1"/>
        <v>95000</v>
      </c>
      <c r="F56" s="9" cm="1">
        <f t="array" ref="F56">KapitalAuszSteuer(E56,Ziv)/E56*100</f>
        <v>4.1228960526315781</v>
      </c>
      <c r="G56" s="9" cm="1">
        <f t="array" ref="G56">(KapitalAuszSteuer(E56,Ziv)-KapitalAuszSteuer(E56-$F$38,Ziv))/$F$38*100</f>
        <v>5.3514999999999873</v>
      </c>
    </row>
    <row r="57" spans="1:7" x14ac:dyDescent="0.25">
      <c r="A57" s="12">
        <f t="shared" si="0"/>
        <v>106000</v>
      </c>
      <c r="B57" s="9" cm="1">
        <f t="array" ref="B57">EinkommenSteuerGesamt(A57,Ziv)/A57*100</f>
        <v>21.500365056603773</v>
      </c>
      <c r="C57" s="9" cm="1">
        <f t="array" ref="C57">(EinkommenSteuerGesamt(A57,Ziv)-EinkommenSteuerGesamt(A57-$B$38,Ziv))/$B$38*100</f>
        <v>29.237238499999872</v>
      </c>
      <c r="E57" s="12">
        <f t="shared" si="1"/>
        <v>100000</v>
      </c>
      <c r="F57" s="9" cm="1">
        <f t="array" ref="F57">KapitalAuszSteuer(E57,Ziv)/E57*100</f>
        <v>4.1915262499999999</v>
      </c>
      <c r="G57" s="9" cm="1">
        <f t="array" ref="G57">(KapitalAuszSteuer(E57,Ziv)-KapitalAuszSteuer(E57-$F$38,Ziv))/$F$38*100</f>
        <v>5.4955000000000016</v>
      </c>
    </row>
    <row r="58" spans="1:7" x14ac:dyDescent="0.25">
      <c r="A58" s="12">
        <f t="shared" si="0"/>
        <v>107000</v>
      </c>
      <c r="B58" s="9" cm="1">
        <f t="array" ref="B58">EinkommenSteuerGesamt(A58,Ziv)/A58*100</f>
        <v>21.57252290186916</v>
      </c>
      <c r="C58" s="9" cm="1">
        <f t="array" ref="C58">(EinkommenSteuerGesamt(A58,Ziv)-EinkommenSteuerGesamt(A58-$B$38,Ziv))/$B$38*100</f>
        <v>29.221254500000214</v>
      </c>
      <c r="E58" s="12">
        <f t="shared" si="1"/>
        <v>105000</v>
      </c>
      <c r="F58" s="9" cm="1">
        <f t="array" ref="F58">KapitalAuszSteuer(E58,Ziv)/E58*100</f>
        <v>4.2536202380952384</v>
      </c>
      <c r="G58" s="9" cm="1">
        <f t="array" ref="G58">(KapitalAuszSteuer(E58,Ziv)-KapitalAuszSteuer(E58-$F$38,Ziv))/$F$38*100</f>
        <v>5.4955000000000105</v>
      </c>
    </row>
    <row r="59" spans="1:7" x14ac:dyDescent="0.25">
      <c r="A59" s="12">
        <f t="shared" si="0"/>
        <v>108000</v>
      </c>
      <c r="B59" s="9" cm="1">
        <f t="array" ref="B59">EinkommenSteuerGesamt(A59,Ziv)/A59*100</f>
        <v>21.650576148148147</v>
      </c>
      <c r="C59" s="9" cm="1">
        <f t="array" ref="C59">(EinkommenSteuerGesamt(A59,Ziv)-EinkommenSteuerGesamt(A59-$B$38,Ziv))/$B$38*100</f>
        <v>30.0022734999995</v>
      </c>
      <c r="E59" s="12">
        <f t="shared" si="1"/>
        <v>110000</v>
      </c>
      <c r="F59" s="9" cm="1">
        <f t="array" ref="F59">KapitalAuszSteuer(E59,Ziv)/E59*100</f>
        <v>4.3355943181818191</v>
      </c>
      <c r="G59" s="9" cm="1">
        <f t="array" ref="G59">(KapitalAuszSteuer(E59,Ziv)-KapitalAuszSteuer(E59-$F$38,Ziv))/$F$38*100</f>
        <v>6.0570499999999994</v>
      </c>
    </row>
    <row r="60" spans="1:7" x14ac:dyDescent="0.25">
      <c r="A60" s="12">
        <f t="shared" si="0"/>
        <v>109000</v>
      </c>
      <c r="B60" s="9" cm="1">
        <f t="array" ref="B60">EinkommenSteuerGesamt(A60,Ziv)/A60*100</f>
        <v>21.729329954128438</v>
      </c>
      <c r="C60" s="9" cm="1">
        <f t="array" ref="C60">(EinkommenSteuerGesamt(A60,Ziv)-EinkommenSteuerGesamt(A60-$B$38,Ziv))/$B$38*100</f>
        <v>30.234741000000216</v>
      </c>
      <c r="E60" s="12">
        <f t="shared" si="1"/>
        <v>115000</v>
      </c>
      <c r="F60" s="9" cm="1">
        <f t="array" ref="F60">KapitalAuszSteuer(E60,Ziv)/E60*100</f>
        <v>4.449014130434783</v>
      </c>
      <c r="G60" s="9" cm="1">
        <f t="array" ref="G60">(KapitalAuszSteuer(E60,Ziv)-KapitalAuszSteuer(E60-$F$38,Ziv))/$F$38*100</f>
        <v>6.9442499999999923</v>
      </c>
    </row>
    <row r="61" spans="1:7" x14ac:dyDescent="0.25">
      <c r="A61" s="12">
        <f t="shared" si="0"/>
        <v>110000</v>
      </c>
      <c r="B61" s="9" cm="1">
        <f t="array" ref="B61">EinkommenSteuerGesamt(A61,Ziv)/A61*100</f>
        <v>21.806933409090906</v>
      </c>
      <c r="C61" s="9" cm="1">
        <f t="array" ref="C61">(EinkommenSteuerGesamt(A61,Ziv)-EinkommenSteuerGesamt(A61-$B$38,Ziv))/$B$38*100</f>
        <v>30.265709999999675</v>
      </c>
      <c r="E61" s="12">
        <f t="shared" si="1"/>
        <v>120000</v>
      </c>
      <c r="F61" s="9" cm="1">
        <f t="array" ref="F61">KapitalAuszSteuer(E61,Ziv)/E61*100</f>
        <v>4.5546489583333338</v>
      </c>
      <c r="G61" s="9" cm="1">
        <f t="array" ref="G61">(KapitalAuszSteuer(E61,Ziv)-KapitalAuszSteuer(E61-$F$38,Ziv))/$F$38*100</f>
        <v>6.9842500000000109</v>
      </c>
    </row>
    <row r="62" spans="1:7" x14ac:dyDescent="0.25">
      <c r="A62" s="12">
        <f t="shared" si="0"/>
        <v>111000</v>
      </c>
      <c r="B62" s="9" cm="1">
        <f t="array" ref="B62">EinkommenSteuerGesamt(A62,Ziv)/A62*100</f>
        <v>21.887400103603603</v>
      </c>
      <c r="C62" s="9" cm="1">
        <f t="array" ref="C62">(EinkommenSteuerGesamt(A62,Ziv)-EinkommenSteuerGesamt(A62-$B$38,Ziv))/$B$38*100</f>
        <v>30.738736500000229</v>
      </c>
      <c r="E62" s="12">
        <f t="shared" si="1"/>
        <v>125000</v>
      </c>
      <c r="F62" s="9" cm="1">
        <f t="array" ref="F62">KapitalAuszSteuer(E62,Ziv)/E62*100</f>
        <v>4.658233000000001</v>
      </c>
      <c r="G62" s="9" cm="1">
        <f t="array" ref="G62">(KapitalAuszSteuer(E62,Ziv)-KapitalAuszSteuer(E62-$F$38,Ziv))/$F$38*100</f>
        <v>7.1442499999999924</v>
      </c>
    </row>
    <row r="63" spans="1:7" x14ac:dyDescent="0.25">
      <c r="A63" s="12">
        <f t="shared" si="0"/>
        <v>112000</v>
      </c>
      <c r="B63" s="9" cm="1">
        <f t="array" ref="B63">EinkommenSteuerGesamt(A63,Ziv)/A63*100</f>
        <v>21.977240499999997</v>
      </c>
      <c r="C63" s="9" cm="1">
        <f t="array" ref="C63">(EinkommenSteuerGesamt(A63,Ziv)-EinkommenSteuerGesamt(A63-$B$38,Ziv))/$B$38*100</f>
        <v>31.949524499999825</v>
      </c>
      <c r="E63" s="12">
        <f t="shared" si="1"/>
        <v>130000</v>
      </c>
      <c r="F63" s="9" cm="1">
        <f t="array" ref="F63">KapitalAuszSteuer(E63,Ziv)/E63*100</f>
        <v>4.7556951923076927</v>
      </c>
      <c r="G63" s="9" cm="1">
        <f t="array" ref="G63">(KapitalAuszSteuer(E63,Ziv)-KapitalAuszSteuer(E63-$F$38,Ziv))/$F$38*100</f>
        <v>7.192250000000004</v>
      </c>
    </row>
    <row r="64" spans="1:7" x14ac:dyDescent="0.25">
      <c r="A64" s="12">
        <f t="shared" si="0"/>
        <v>113000</v>
      </c>
      <c r="B64" s="9" cm="1">
        <f t="array" ref="B64">EinkommenSteuerGesamt(A64,Ziv)/A64*100</f>
        <v>22.065981460176985</v>
      </c>
      <c r="C64" s="9" cm="1">
        <f t="array" ref="C64">(EinkommenSteuerGesamt(A64,Ziv)-EinkommenSteuerGesamt(A64-$B$38,Ziv))/$B$38*100</f>
        <v>32.004968999999981</v>
      </c>
      <c r="E64" s="12">
        <f t="shared" si="1"/>
        <v>135000</v>
      </c>
      <c r="F64" s="9" cm="1">
        <f t="array" ref="F64">KapitalAuszSteuer(E64,Ziv)/E64*100</f>
        <v>4.851567592592593</v>
      </c>
      <c r="G64" s="9" cm="1">
        <f t="array" ref="G64">(KapitalAuszSteuer(E64,Ziv)-KapitalAuszSteuer(E64-$F$38,Ziv))/$F$38*100</f>
        <v>7.3442499999999926</v>
      </c>
    </row>
    <row r="65" spans="1:7" x14ac:dyDescent="0.25">
      <c r="A65" s="12">
        <f t="shared" si="0"/>
        <v>114000</v>
      </c>
      <c r="B65" s="9" cm="1">
        <f t="array" ref="B65">EinkommenSteuerGesamt(A65,Ziv)/A65*100</f>
        <v>22.15263977192982</v>
      </c>
      <c r="C65" s="9" cm="1">
        <f t="array" ref="C65">(EinkommenSteuerGesamt(A65,Ziv)-EinkommenSteuerGesamt(A65-$B$38,Ziv))/$B$38*100</f>
        <v>31.945029000000069</v>
      </c>
      <c r="E65" s="12">
        <f t="shared" si="1"/>
        <v>140000</v>
      </c>
      <c r="F65" s="9" cm="1">
        <f t="array" ref="F65">KapitalAuszSteuer(E65,Ziv)/E65*100</f>
        <v>4.9454491071428563</v>
      </c>
      <c r="G65" s="9" cm="1">
        <f t="array" ref="G65">(KapitalAuszSteuer(E65,Ziv)-KapitalAuszSteuer(E65-$F$38,Ziv))/$F$38*100</f>
        <v>7.4802499999999963</v>
      </c>
    </row>
    <row r="66" spans="1:7" x14ac:dyDescent="0.25">
      <c r="A66" s="12">
        <f t="shared" si="0"/>
        <v>115000</v>
      </c>
      <c r="B66" s="9" cm="1">
        <f t="array" ref="B66">EinkommenSteuerGesamt(A66,Ziv)/A66*100</f>
        <v>22.238229673913043</v>
      </c>
      <c r="C66" s="9" cm="1">
        <f t="array" ref="C66">(EinkommenSteuerGesamt(A66,Ziv)-EinkommenSteuerGesamt(A66-$B$38,Ziv))/$B$38*100</f>
        <v>31.995478500000175</v>
      </c>
      <c r="E66" s="12">
        <f t="shared" si="1"/>
        <v>145000</v>
      </c>
      <c r="F66" s="9" cm="1">
        <f t="array" ref="F66">KapitalAuszSteuer(E66,Ziv)/E66*100</f>
        <v>5.0387870689655179</v>
      </c>
      <c r="G66" s="9" cm="1">
        <f t="array" ref="G66">(KapitalAuszSteuer(E66,Ziv)-KapitalAuszSteuer(E66-$F$38,Ziv))/$F$38*100</f>
        <v>7.6522500000000031</v>
      </c>
    </row>
    <row r="67" spans="1:7" x14ac:dyDescent="0.25">
      <c r="A67" s="12">
        <f t="shared" si="0"/>
        <v>116000</v>
      </c>
      <c r="B67" s="9" cm="1">
        <f t="array" ref="B67">EinkommenSteuerGesamt(A67,Ziv)/A67*100</f>
        <v>22.322266379310346</v>
      </c>
      <c r="C67" s="9" cm="1">
        <f t="array" ref="C67">(EinkommenSteuerGesamt(A67,Ziv)-EinkommenSteuerGesamt(A67-$B$38,Ziv))/$B$38*100</f>
        <v>31.986487500000294</v>
      </c>
      <c r="E67" s="12">
        <f t="shared" si="1"/>
        <v>150000</v>
      </c>
      <c r="F67" s="9" cm="1">
        <f t="array" ref="F67">KapitalAuszSteuer(E67,Ziv)/E67*100</f>
        <v>5.1361691666666678</v>
      </c>
      <c r="G67" s="9" cm="1">
        <f t="array" ref="G67">(KapitalAuszSteuer(E67,Ziv)-KapitalAuszSteuer(E67-$F$38,Ziv))/$F$38*100</f>
        <v>7.9602500000000145</v>
      </c>
    </row>
    <row r="68" spans="1:7" x14ac:dyDescent="0.25">
      <c r="A68" s="12">
        <f t="shared" si="0"/>
        <v>117000</v>
      </c>
      <c r="B68" s="9" cm="1">
        <f t="array" ref="B68">EinkommenSteuerGesamt(A68,Ziv)/A68*100</f>
        <v>22.404764098290599</v>
      </c>
      <c r="C68" s="9" cm="1">
        <f t="array" ref="C68">(EinkommenSteuerGesamt(A68,Ziv)-EinkommenSteuerGesamt(A68-$B$38,Ziv))/$B$38*100</f>
        <v>31.97449949999973</v>
      </c>
      <c r="E68" s="12">
        <f t="shared" si="1"/>
        <v>155000</v>
      </c>
      <c r="F68" s="9" cm="1">
        <f t="array" ref="F68">KapitalAuszSteuer(E68,Ziv)/E68*100</f>
        <v>5.2392685483870967</v>
      </c>
      <c r="G68" s="9" cm="1">
        <f t="array" ref="G68">(KapitalAuszSteuer(E68,Ziv)-KapitalAuszSteuer(E68-$F$38,Ziv))/$F$38*100</f>
        <v>8.3322499999999859</v>
      </c>
    </row>
    <row r="69" spans="1:7" x14ac:dyDescent="0.25">
      <c r="A69" s="12">
        <f t="shared" si="0"/>
        <v>118000</v>
      </c>
      <c r="B69" s="9" cm="1">
        <f t="array" ref="B69">EinkommenSteuerGesamt(A69,Ziv)/A69*100</f>
        <v>22.485736559322032</v>
      </c>
      <c r="C69" s="9" cm="1">
        <f t="array" ref="C69">(EinkommenSteuerGesamt(A69,Ziv)-EinkommenSteuerGesamt(A69-$B$38,Ziv))/$B$38*100</f>
        <v>31.95951449999993</v>
      </c>
      <c r="E69" s="12">
        <f t="shared" si="1"/>
        <v>160000</v>
      </c>
      <c r="F69" s="9" cm="1">
        <f t="array" ref="F69">KapitalAuszSteuer(E69,Ziv)/E69*100</f>
        <v>5.3362992187500007</v>
      </c>
      <c r="G69" s="9" cm="1">
        <f t="array" ref="G69">(KapitalAuszSteuer(E69,Ziv)-KapitalAuszSteuer(E69-$F$38,Ziv))/$F$38*100</f>
        <v>8.3442500000000113</v>
      </c>
    </row>
    <row r="70" spans="1:7" x14ac:dyDescent="0.25">
      <c r="A70" s="12">
        <f t="shared" si="0"/>
        <v>119000</v>
      </c>
      <c r="B70" s="9" cm="1">
        <f t="array" ref="B70">EinkommenSteuerGesamt(A70,Ziv)/A70*100</f>
        <v>22.565197029411767</v>
      </c>
      <c r="C70" s="9" cm="1">
        <f t="array" ref="C70">(EinkommenSteuerGesamt(A70,Ziv)-EinkommenSteuerGesamt(A70-$B$38,Ziv))/$B$38*100</f>
        <v>31.941532500000175</v>
      </c>
      <c r="E70" s="12">
        <f t="shared" si="1"/>
        <v>165000</v>
      </c>
      <c r="F70" s="9" cm="1">
        <f t="array" ref="F70">KapitalAuszSteuer(E70,Ziv)/E70*100</f>
        <v>5.4274492424242426</v>
      </c>
      <c r="G70" s="9" cm="1">
        <f t="array" ref="G70">(KapitalAuszSteuer(E70,Ziv)-KapitalAuszSteuer(E70-$F$38,Ziv))/$F$38*100</f>
        <v>8.3442499999999935</v>
      </c>
    </row>
    <row r="71" spans="1:7" x14ac:dyDescent="0.25">
      <c r="A71" s="12">
        <f t="shared" si="0"/>
        <v>120000</v>
      </c>
      <c r="B71" s="9" cm="1">
        <f t="array" ref="B71">EinkommenSteuerGesamt(A71,Ziv)/A71*100</f>
        <v>22.651991166666662</v>
      </c>
      <c r="C71" s="9" cm="1">
        <f t="array" ref="C71">(EinkommenSteuerGesamt(A71,Ziv)-EinkommenSteuerGesamt(A71-$B$38,Ziv))/$B$38*100</f>
        <v>32.980493499999646</v>
      </c>
      <c r="E71" s="12">
        <f t="shared" si="1"/>
        <v>170000</v>
      </c>
      <c r="F71" s="9" cm="1">
        <f t="array" ref="F71">KapitalAuszSteuer(E71,Ziv)/E71*100</f>
        <v>5.5132374999999998</v>
      </c>
      <c r="G71" s="9" cm="1">
        <f t="array" ref="G71">(KapitalAuszSteuer(E71,Ziv)-KapitalAuszSteuer(E71-$F$38,Ziv))/$F$38*100</f>
        <v>8.3442499999999935</v>
      </c>
    </row>
    <row r="72" spans="1:7" x14ac:dyDescent="0.25">
      <c r="A72" s="12">
        <f t="shared" si="0"/>
        <v>121000</v>
      </c>
      <c r="B72" s="9" cm="1">
        <f t="array" ref="B72">EinkommenSteuerGesamt(A72,Ziv)/A72*100</f>
        <v>22.737660297520659</v>
      </c>
      <c r="C72" s="9" cm="1">
        <f t="array" ref="C72">(EinkommenSteuerGesamt(A72,Ziv)-EinkommenSteuerGesamt(A72-$B$38,Ziv))/$B$38*100</f>
        <v>33.017956000000048</v>
      </c>
      <c r="E72" s="12">
        <f t="shared" si="1"/>
        <v>175000</v>
      </c>
      <c r="F72" s="9" cm="1">
        <f t="array" ref="F72">KapitalAuszSteuer(E72,Ziv)/E72*100</f>
        <v>5.5941235714285718</v>
      </c>
      <c r="G72" s="9" cm="1">
        <f t="array" ref="G72">(KapitalAuszSteuer(E72,Ziv)-KapitalAuszSteuer(E72-$F$38,Ziv))/$F$38*100</f>
        <v>8.344250000000029</v>
      </c>
    </row>
    <row r="73" spans="1:7" x14ac:dyDescent="0.25">
      <c r="A73" s="12">
        <f t="shared" si="0"/>
        <v>122000</v>
      </c>
      <c r="B73" s="9" cm="1">
        <f t="array" ref="B73">EinkommenSteuerGesamt(A73,Ziv)/A73*100</f>
        <v>22.821220803278688</v>
      </c>
      <c r="C73" s="9" cm="1">
        <f t="array" ref="C73">(EinkommenSteuerGesamt(A73,Ziv)-EinkommenSteuerGesamt(A73-$B$38,Ziv))/$B$38*100</f>
        <v>32.932042000000365</v>
      </c>
      <c r="E73" s="12">
        <f t="shared" si="1"/>
        <v>180000</v>
      </c>
      <c r="F73" s="9" cm="1">
        <f t="array" ref="F73">KapitalAuszSteuer(E73,Ziv)/E73*100</f>
        <v>5.6705159722222227</v>
      </c>
      <c r="G73" s="9" cm="1">
        <f t="array" ref="G73">(KapitalAuszSteuer(E73,Ziv)-KapitalAuszSteuer(E73-$F$38,Ziv))/$F$38*100</f>
        <v>8.3442499999999935</v>
      </c>
    </row>
    <row r="74" spans="1:7" x14ac:dyDescent="0.25">
      <c r="A74" s="12">
        <f t="shared" si="0"/>
        <v>123000</v>
      </c>
      <c r="B74" s="9" cm="1">
        <f t="array" ref="B74">EinkommenSteuerGesamt(A74,Ziv)/A74*100</f>
        <v>22.903686565040648</v>
      </c>
      <c r="C74" s="9" cm="1">
        <f t="array" ref="C74">(EinkommenSteuerGesamt(A74,Ziv)-EinkommenSteuerGesamt(A74-$B$38,Ziv))/$B$38*100</f>
        <v>32.964509499999622</v>
      </c>
      <c r="E74" s="12">
        <f t="shared" si="1"/>
        <v>185000</v>
      </c>
      <c r="F74" s="9" cm="1">
        <f t="array" ref="F74">KapitalAuszSteuer(E74,Ziv)/E74*100</f>
        <v>5.7427790540540542</v>
      </c>
      <c r="G74" s="9" cm="1">
        <f t="array" ref="G74">(KapitalAuszSteuer(E74,Ziv)-KapitalAuszSteuer(E74-$F$38,Ziv))/$F$38*100</f>
        <v>8.3442499999999935</v>
      </c>
    </row>
    <row r="75" spans="1:7" x14ac:dyDescent="0.25">
      <c r="A75" s="12">
        <f t="shared" si="0"/>
        <v>124000</v>
      </c>
      <c r="B75" s="9" cm="1">
        <f t="array" ref="B75">EinkommenSteuerGesamt(A75,Ziv)/A75*100</f>
        <v>22.98507198387097</v>
      </c>
      <c r="C75" s="9" cm="1">
        <f t="array" ref="C75">(EinkommenSteuerGesamt(A75,Ziv)-EinkommenSteuerGesamt(A75-$B$38,Ziv))/$B$38*100</f>
        <v>32.995478500000537</v>
      </c>
      <c r="E75" s="12">
        <f t="shared" si="1"/>
        <v>190000</v>
      </c>
      <c r="F75" s="9" cm="1">
        <f t="array" ref="F75">KapitalAuszSteuer(E75,Ziv)/E75*100</f>
        <v>5.8112388157894737</v>
      </c>
      <c r="G75" s="9" cm="1">
        <f t="array" ref="G75">(KapitalAuszSteuer(E75,Ziv)-KapitalAuszSteuer(E75-$F$38,Ziv))/$F$38*100</f>
        <v>8.3442499999999935</v>
      </c>
    </row>
    <row r="76" spans="1:7" x14ac:dyDescent="0.25">
      <c r="A76" s="12">
        <f t="shared" si="0"/>
        <v>125000</v>
      </c>
      <c r="B76" s="9" cm="1">
        <f t="array" ref="B76">EinkommenSteuerGesamt(A76,Ziv)/A76*100</f>
        <v>23.064891500000002</v>
      </c>
      <c r="C76" s="9" cm="1">
        <f t="array" ref="C76">(EinkommenSteuerGesamt(A76,Ziv)-EinkommenSteuerGesamt(A76-$B$38,Ziv))/$B$38*100</f>
        <v>32.962511499999891</v>
      </c>
      <c r="E76" s="12">
        <f t="shared" si="1"/>
        <v>195000</v>
      </c>
      <c r="F76" s="9" cm="1">
        <f t="array" ref="F76">KapitalAuszSteuer(E76,Ziv)/E76*100</f>
        <v>5.8761878205128202</v>
      </c>
      <c r="G76" s="9" cm="1">
        <f t="array" ref="G76">(KapitalAuszSteuer(E76,Ziv)-KapitalAuszSteuer(E76-$F$38,Ziv))/$F$38*100</f>
        <v>8.3442499999999935</v>
      </c>
    </row>
    <row r="77" spans="1:7" x14ac:dyDescent="0.25">
      <c r="A77" s="12">
        <f t="shared" si="0"/>
        <v>126000</v>
      </c>
      <c r="B77" s="9" cm="1">
        <f t="array" ref="B77">EinkommenSteuerGesamt(A77,Ziv)/A77*100</f>
        <v>23.143658111111112</v>
      </c>
      <c r="C77" s="9" cm="1">
        <f t="array" ref="C77">(EinkommenSteuerGesamt(A77,Ziv)-EinkommenSteuerGesamt(A77-$B$38,Ziv))/$B$38*100</f>
        <v>32.98948449999989</v>
      </c>
      <c r="E77" s="12">
        <f t="shared" si="1"/>
        <v>200000</v>
      </c>
      <c r="F77" s="9" cm="1">
        <f t="array" ref="F77">KapitalAuszSteuer(E77,Ziv)/E77*100</f>
        <v>5.9378893749999992</v>
      </c>
      <c r="G77" s="9" cm="1">
        <f t="array" ref="G77">(KapitalAuszSteuer(E77,Ziv)-KapitalAuszSteuer(E77-$F$38,Ziv))/$F$38*100</f>
        <v>8.3442499999999935</v>
      </c>
    </row>
    <row r="78" spans="1:7" x14ac:dyDescent="0.25">
      <c r="A78" s="12">
        <f t="shared" si="0"/>
        <v>127000</v>
      </c>
      <c r="B78" s="9" cm="1">
        <f t="array" ref="B78">EinkommenSteuerGesamt(A78,Ziv)/A78*100</f>
        <v>23.220885389763779</v>
      </c>
      <c r="C78" s="9" cm="1">
        <f t="array" ref="C78">(EinkommenSteuerGesamt(A78,Ziv)-EinkommenSteuerGesamt(A78-$B$38,Ziv))/$B$38*100</f>
        <v>32.951522499999918</v>
      </c>
      <c r="E78" s="12">
        <f t="shared" si="1"/>
        <v>205000</v>
      </c>
      <c r="F78" s="9" cm="1">
        <f t="array" ref="F78">KapitalAuszSteuer(E78,Ziv)/E78*100</f>
        <v>5.9965810975609761</v>
      </c>
      <c r="G78" s="9" cm="1">
        <f t="array" ref="G78">(KapitalAuszSteuer(E78,Ziv)-KapitalAuszSteuer(E78-$F$38,Ziv))/$F$38*100</f>
        <v>8.344250000000029</v>
      </c>
    </row>
    <row r="79" spans="1:7" x14ac:dyDescent="0.25">
      <c r="A79" s="12">
        <f t="shared" si="0"/>
        <v>128000</v>
      </c>
      <c r="B79" s="9" cm="1">
        <f t="array" ref="B79">EinkommenSteuerGesamt(A79,Ziv)/A79*100</f>
        <v>23.297085500000001</v>
      </c>
      <c r="C79" s="9" cm="1">
        <f t="array" ref="C79">(EinkommenSteuerGesamt(A79,Ziv)-EinkommenSteuerGesamt(A79-$B$38,Ziv))/$B$38*100</f>
        <v>32.974499500000093</v>
      </c>
      <c r="E79" s="12">
        <f t="shared" si="1"/>
        <v>210000</v>
      </c>
      <c r="F79" s="9" cm="1">
        <f t="array" ref="F79">KapitalAuszSteuer(E79,Ziv)/E79*100</f>
        <v>6.0524779761904766</v>
      </c>
      <c r="G79" s="9" cm="1">
        <f t="array" ref="G79">(KapitalAuszSteuer(E79,Ziv)-KapitalAuszSteuer(E79-$F$38,Ziv))/$F$38*100</f>
        <v>8.3442499999999935</v>
      </c>
    </row>
    <row r="80" spans="1:7" x14ac:dyDescent="0.25">
      <c r="A80" s="12">
        <f t="shared" si="0"/>
        <v>129000</v>
      </c>
      <c r="B80" s="9" cm="1">
        <f t="array" ref="B80">EinkommenSteuerGesamt(A80,Ziv)/A80*100</f>
        <v>23.373821100775192</v>
      </c>
      <c r="C80" s="9" cm="1">
        <f t="array" ref="C80">(EinkommenSteuerGesamt(A80,Ziv)-EinkommenSteuerGesamt(A80-$B$38,Ziv))/$B$38*100</f>
        <v>33.195977999999741</v>
      </c>
      <c r="E80" s="12">
        <f t="shared" si="1"/>
        <v>215000</v>
      </c>
      <c r="F80" s="9" cm="1">
        <f t="array" ref="F80">KapitalAuszSteuer(E80,Ziv)/E80*100</f>
        <v>6.1057750000000004</v>
      </c>
      <c r="G80" s="9" cm="1">
        <f t="array" ref="G80">(KapitalAuszSteuer(E80,Ziv)-KapitalAuszSteuer(E80-$F$38,Ziv))/$F$38*100</f>
        <v>8.3442499999999935</v>
      </c>
    </row>
    <row r="81" spans="1:7" x14ac:dyDescent="0.25">
      <c r="A81" s="12">
        <f t="shared" si="0"/>
        <v>130000</v>
      </c>
      <c r="B81" s="9" cm="1">
        <f t="array" ref="B81">EinkommenSteuerGesamt(A81,Ziv)/A81*100</f>
        <v>23.455184192307691</v>
      </c>
      <c r="C81" s="9" cm="1">
        <f t="array" ref="C81">(EinkommenSteuerGesamt(A81,Ziv)-EinkommenSteuerGesamt(A81-$B$38,Ziv))/$B$38*100</f>
        <v>33.951022999999985</v>
      </c>
      <c r="E81" s="12">
        <f t="shared" si="1"/>
        <v>220000</v>
      </c>
      <c r="F81" s="9" cm="1">
        <f t="array" ref="F81">KapitalAuszSteuer(E81,Ziv)/E81*100</f>
        <v>6.1685693181818184</v>
      </c>
      <c r="G81" s="9" cm="1">
        <f t="array" ref="G81">(KapitalAuszSteuer(E81,Ziv)-KapitalAuszSteuer(E81-$F$38,Ziv))/$F$38*100</f>
        <v>8.8687250000000137</v>
      </c>
    </row>
    <row r="82" spans="1:7" x14ac:dyDescent="0.25">
      <c r="A82" s="12">
        <f t="shared" si="0"/>
        <v>131000</v>
      </c>
      <c r="B82" s="9" cm="1">
        <f t="array" ref="B82">EinkommenSteuerGesamt(A82,Ziv)/A82*100</f>
        <v>23.535438553435117</v>
      </c>
      <c r="C82" s="9" cm="1">
        <f t="array" ref="C82">(EinkommenSteuerGesamt(A82,Ziv)-EinkommenSteuerGesamt(A82-$B$38,Ziv))/$B$38*100</f>
        <v>33.968505500000539</v>
      </c>
      <c r="E82" s="12">
        <f t="shared" si="1"/>
        <v>225000</v>
      </c>
      <c r="F82" s="9" cm="1">
        <f t="array" ref="F82">KapitalAuszSteuer(E82,Ziv)/E82*100</f>
        <v>6.233567777777778</v>
      </c>
      <c r="G82" s="9" cm="1">
        <f t="array" ref="G82">(KapitalAuszSteuer(E82,Ziv)-KapitalAuszSteuer(E82-$F$38,Ziv))/$F$38*100</f>
        <v>9.0934999999999846</v>
      </c>
    </row>
    <row r="83" spans="1:7" x14ac:dyDescent="0.25">
      <c r="A83" s="12">
        <f t="shared" si="0"/>
        <v>132000</v>
      </c>
      <c r="B83" s="9" cm="1">
        <f t="array" ref="B83">EinkommenSteuerGesamt(A83,Ziv)/A83*100</f>
        <v>23.614598030303029</v>
      </c>
      <c r="C83" s="9" cm="1">
        <f t="array" ref="C83">(EinkommenSteuerGesamt(A83,Ziv)-EinkommenSteuerGesamt(A83-$B$38,Ziv))/$B$38*100</f>
        <v>33.984489499999839</v>
      </c>
      <c r="E83" s="12">
        <f t="shared" si="1"/>
        <v>230000</v>
      </c>
      <c r="F83" s="9" cm="1">
        <f t="array" ref="F83">KapitalAuszSteuer(E83,Ziv)/E83*100</f>
        <v>6.2957402173913044</v>
      </c>
      <c r="G83" s="9" cm="1">
        <f t="array" ref="G83">(KapitalAuszSteuer(E83,Ziv)-KapitalAuszSteuer(E83-$F$38,Ziv))/$F$38*100</f>
        <v>9.0934999999999846</v>
      </c>
    </row>
    <row r="84" spans="1:7" x14ac:dyDescent="0.25">
      <c r="A84" s="12">
        <f t="shared" si="0"/>
        <v>133000</v>
      </c>
      <c r="B84" s="9" cm="1">
        <f t="array" ref="B84">EinkommenSteuerGesamt(A84,Ziv)/A84*100</f>
        <v>23.69267605263158</v>
      </c>
      <c r="C84" s="9" cm="1">
        <f t="array" ref="C84">(EinkommenSteuerGesamt(A84,Ziv)-EinkommenSteuerGesamt(A84-$B$38,Ziv))/$B$38*100</f>
        <v>33.998975000000065</v>
      </c>
      <c r="E84" s="12">
        <f t="shared" si="1"/>
        <v>235000</v>
      </c>
      <c r="F84" s="9" cm="1">
        <f t="array" ref="F84">KapitalAuszSteuer(E84,Ziv)/E84*100</f>
        <v>6.355267021276596</v>
      </c>
      <c r="G84" s="9" cm="1">
        <f t="array" ref="G84">(KapitalAuszSteuer(E84,Ziv)-KapitalAuszSteuer(E84-$F$38,Ziv))/$F$38*100</f>
        <v>9.0935000000000219</v>
      </c>
    </row>
    <row r="85" spans="1:7" x14ac:dyDescent="0.25">
      <c r="A85" s="12">
        <f t="shared" si="0"/>
        <v>134000</v>
      </c>
      <c r="B85" s="9" cm="1">
        <f t="array" ref="B85">EinkommenSteuerGesamt(A85,Ziv)/A85*100</f>
        <v>23.769186149253731</v>
      </c>
      <c r="C85" s="9" cm="1">
        <f t="array" ref="C85">(EinkommenSteuerGesamt(A85,Ziv)-EinkommenSteuerGesamt(A85-$B$38,Ziv))/$B$38*100</f>
        <v>33.945029000000062</v>
      </c>
      <c r="E85" s="12">
        <f t="shared" si="1"/>
        <v>240000</v>
      </c>
      <c r="F85" s="9" cm="1">
        <f t="array" ref="F85">KapitalAuszSteuer(E85,Ziv)/E85*100</f>
        <v>6.4123135416666672</v>
      </c>
      <c r="G85" s="9" cm="1">
        <f t="array" ref="G85">(KapitalAuszSteuer(E85,Ziv)-KapitalAuszSteuer(E85-$F$38,Ziv))/$F$38*100</f>
        <v>9.0934999999999846</v>
      </c>
    </row>
    <row r="86" spans="1:7" x14ac:dyDescent="0.25">
      <c r="A86" s="12">
        <f t="shared" si="0"/>
        <v>135000</v>
      </c>
      <c r="B86" s="9" cm="1">
        <f t="array" ref="B86">EinkommenSteuerGesamt(A86,Ziv)/A86*100</f>
        <v>23.845139962962964</v>
      </c>
      <c r="C86" s="9" cm="1">
        <f t="array" ref="C86">(EinkommenSteuerGesamt(A86,Ziv)-EinkommenSteuerGesamt(A86-$B$38,Ziv))/$B$38*100</f>
        <v>34.022950999999743</v>
      </c>
      <c r="E86" s="12">
        <f t="shared" si="1"/>
        <v>245000</v>
      </c>
      <c r="F86" s="9" cm="1">
        <f t="array" ref="F86">KapitalAuszSteuer(E86,Ziv)/E86*100</f>
        <v>6.467031632653061</v>
      </c>
      <c r="G86" s="9" cm="1">
        <f t="array" ref="G86">(KapitalAuszSteuer(E86,Ziv)-KapitalAuszSteuer(E86-$F$38,Ziv))/$F$38*100</f>
        <v>9.0935000000000219</v>
      </c>
    </row>
    <row r="87" spans="1:7" x14ac:dyDescent="0.25">
      <c r="A87" s="12">
        <f t="shared" si="0"/>
        <v>136000</v>
      </c>
      <c r="B87" s="9" cm="1">
        <f t="array" ref="B87">EinkommenSteuerGesamt(A87,Ziv)/A87*100</f>
        <v>23.919550764705882</v>
      </c>
      <c r="C87" s="9" cm="1">
        <f t="array" ref="C87">(EinkommenSteuerGesamt(A87,Ziv)-EinkommenSteuerGesamt(A87-$B$38,Ziv))/$B$38*100</f>
        <v>33.965008999999917</v>
      </c>
      <c r="E87" s="12">
        <f t="shared" si="1"/>
        <v>250000</v>
      </c>
      <c r="F87" s="9" cm="1">
        <f t="array" ref="F87">KapitalAuszSteuer(E87,Ziv)/E87*100</f>
        <v>6.5195610000000004</v>
      </c>
      <c r="G87" s="9" cm="1">
        <f t="array" ref="G87">(KapitalAuszSteuer(E87,Ziv)-KapitalAuszSteuer(E87-$F$38,Ziv))/$F$38*100</f>
        <v>9.0934999999999846</v>
      </c>
    </row>
    <row r="88" spans="1:7" x14ac:dyDescent="0.25">
      <c r="A88" s="12">
        <f t="shared" si="0"/>
        <v>137000</v>
      </c>
      <c r="B88" s="9" cm="1">
        <f t="array" ref="B88">EinkommenSteuerGesamt(A88,Ziv)/A88*100</f>
        <v>23.995849675182484</v>
      </c>
      <c r="C88" s="9" cm="1">
        <f t="array" ref="C88">(EinkommenSteuerGesamt(A88,Ziv)-EinkommenSteuerGesamt(A88-$B$38,Ziv))/$B$38*100</f>
        <v>34.372501500000361</v>
      </c>
      <c r="E88" s="12">
        <f t="shared" si="1"/>
        <v>255000</v>
      </c>
      <c r="F88" s="9" cm="1">
        <f t="array" ref="F88">KapitalAuszSteuer(E88,Ziv)/E88*100</f>
        <v>6.5700303921568626</v>
      </c>
      <c r="G88" s="9" cm="1">
        <f t="array" ref="G88">(KapitalAuszSteuer(E88,Ziv)-KapitalAuszSteuer(E88-$F$38,Ziv))/$F$38*100</f>
        <v>9.0934999999999846</v>
      </c>
    </row>
    <row r="89" spans="1:7" x14ac:dyDescent="0.25">
      <c r="A89" s="12">
        <f t="shared" si="0"/>
        <v>138000</v>
      </c>
      <c r="B89" s="9" cm="1">
        <f t="array" ref="B89">EinkommenSteuerGesamt(A89,Ziv)/A89*100</f>
        <v>24.093416065217394</v>
      </c>
      <c r="C89" s="9" cm="1">
        <f t="array" ref="C89">(EinkommenSteuerGesamt(A89,Ziv)-EinkommenSteuerGesamt(A89-$B$38,Ziv))/$B$38*100</f>
        <v>37.460011500000114</v>
      </c>
      <c r="E89" s="12">
        <f t="shared" si="1"/>
        <v>260000</v>
      </c>
      <c r="F89" s="9" cm="1">
        <f t="array" ref="F89">KapitalAuszSteuer(E89,Ziv)/E89*100</f>
        <v>6.6185586538461543</v>
      </c>
      <c r="G89" s="9" cm="1">
        <f t="array" ref="G89">(KapitalAuszSteuer(E89,Ziv)-KapitalAuszSteuer(E89-$F$38,Ziv))/$F$38*100</f>
        <v>9.0935000000000592</v>
      </c>
    </row>
    <row r="90" spans="1:7" x14ac:dyDescent="0.25">
      <c r="A90" s="12">
        <f t="shared" si="0"/>
        <v>139000</v>
      </c>
      <c r="B90" s="9" cm="1">
        <f t="array" ref="B90">EinkommenSteuerGesamt(A90,Ziv)/A90*100</f>
        <v>24.189370197841729</v>
      </c>
      <c r="C90" s="9" cm="1">
        <f t="array" ref="C90">(EinkommenSteuerGesamt(A90,Ziv)-EinkommenSteuerGesamt(A90-$B$38,Ziv))/$B$38*100</f>
        <v>37.431040499999654</v>
      </c>
      <c r="E90" s="12">
        <f t="shared" si="1"/>
        <v>265000</v>
      </c>
      <c r="F90" s="9" cm="1">
        <f t="array" ref="F90">KapitalAuszSteuer(E90,Ziv)/E90*100</f>
        <v>6.6652556603773592</v>
      </c>
      <c r="G90" s="9" cm="1">
        <f t="array" ref="G90">(KapitalAuszSteuer(E90,Ziv)-KapitalAuszSteuer(E90-$F$38,Ziv))/$F$38*100</f>
        <v>9.0934999999999846</v>
      </c>
    </row>
    <row r="91" spans="1:7" x14ac:dyDescent="0.25">
      <c r="A91" s="12">
        <f t="shared" si="0"/>
        <v>140000</v>
      </c>
      <c r="B91" s="9" cm="1">
        <f t="array" ref="B91">EinkommenSteuerGesamt(A91,Ziv)/A91*100</f>
        <v>24.28472421428571</v>
      </c>
      <c r="C91" s="9" cm="1">
        <f t="array" ref="C91">(EinkommenSteuerGesamt(A91,Ziv)-EinkommenSteuerGesamt(A91-$B$38,Ziv))/$B$38*100</f>
        <v>37.538932499999646</v>
      </c>
      <c r="E91" s="12">
        <f t="shared" si="1"/>
        <v>270000</v>
      </c>
      <c r="F91" s="9" cm="1">
        <f t="array" ref="F91">KapitalAuszSteuer(E91,Ziv)/E91*100</f>
        <v>6.710223148148148</v>
      </c>
      <c r="G91" s="9" cm="1">
        <f t="array" ref="G91">(KapitalAuszSteuer(E91,Ziv)-KapitalAuszSteuer(E91-$F$38,Ziv))/$F$38*100</f>
        <v>9.0934999999999846</v>
      </c>
    </row>
    <row r="92" spans="1:7" x14ac:dyDescent="0.25">
      <c r="A92" s="12">
        <f t="shared" si="0"/>
        <v>141000</v>
      </c>
      <c r="B92" s="9" cm="1">
        <f t="array" ref="B92">EinkommenSteuerGesamt(A92,Ziv)/A92*100</f>
        <v>24.377992382978722</v>
      </c>
      <c r="C92" s="9" cm="1">
        <f t="array" ref="C92">(EinkommenSteuerGesamt(A92,Ziv)-EinkommenSteuerGesamt(A92-$B$38,Ziv))/$B$38*100</f>
        <v>37.435536000000134</v>
      </c>
      <c r="E92" s="12">
        <f t="shared" si="1"/>
        <v>275000</v>
      </c>
      <c r="F92" s="9" cm="1">
        <f t="array" ref="F92">KapitalAuszSteuer(E92,Ziv)/E92*100</f>
        <v>6.7535554545454541</v>
      </c>
      <c r="G92" s="9" cm="1">
        <f t="array" ref="G92">(KapitalAuszSteuer(E92,Ziv)-KapitalAuszSteuer(E92-$F$38,Ziv))/$F$38*100</f>
        <v>9.0934999999999846</v>
      </c>
    </row>
    <row r="93" spans="1:7" x14ac:dyDescent="0.25">
      <c r="A93" s="12">
        <f t="shared" si="0"/>
        <v>142000</v>
      </c>
      <c r="B93" s="9" cm="1">
        <f t="array" ref="B93">EinkommenSteuerGesamt(A93,Ziv)/A93*100</f>
        <v>24.470186112676053</v>
      </c>
      <c r="C93" s="9" cm="1">
        <f t="array" ref="C93">(EinkommenSteuerGesamt(A93,Ziv)-EinkommenSteuerGesamt(A93-$B$38,Ziv))/$B$38*100</f>
        <v>37.46950199999992</v>
      </c>
      <c r="E93" s="12">
        <f t="shared" si="1"/>
        <v>280000</v>
      </c>
      <c r="F93" s="9" cm="1">
        <f t="array" ref="F93">KapitalAuszSteuer(E93,Ziv)/E93*100</f>
        <v>6.7953401785714282</v>
      </c>
      <c r="G93" s="9" cm="1">
        <f t="array" ref="G93">(KapitalAuszSteuer(E93,Ziv)-KapitalAuszSteuer(E93-$F$38,Ziv))/$F$38*100</f>
        <v>9.0934999999999846</v>
      </c>
    </row>
    <row r="94" spans="1:7" x14ac:dyDescent="0.25">
      <c r="A94" s="12">
        <f t="shared" si="0"/>
        <v>143000</v>
      </c>
      <c r="B94" s="9" cm="1">
        <f t="array" ref="B94">EinkommenSteuerGesamt(A94,Ziv)/A94*100</f>
        <v>24.56621256993007</v>
      </c>
      <c r="C94" s="9" cm="1">
        <f t="array" ref="C94">(EinkommenSteuerGesamt(A94,Ziv)-EinkommenSteuerGesamt(A94-$B$38,Ziv))/$B$38*100</f>
        <v>38.201969500000267</v>
      </c>
      <c r="E94" s="12">
        <f t="shared" si="1"/>
        <v>285000</v>
      </c>
      <c r="F94" s="9" cm="1">
        <f t="array" ref="F94">KapitalAuszSteuer(E94,Ziv)/E94*100</f>
        <v>6.8356587719298254</v>
      </c>
      <c r="G94" s="9" cm="1">
        <f t="array" ref="G94">(KapitalAuszSteuer(E94,Ziv)-KapitalAuszSteuer(E94-$F$38,Ziv))/$F$38*100</f>
        <v>9.0935000000000592</v>
      </c>
    </row>
    <row r="95" spans="1:7" x14ac:dyDescent="0.25">
      <c r="A95" s="12">
        <f t="shared" si="0"/>
        <v>144000</v>
      </c>
      <c r="B95" s="9" cm="1">
        <f t="array" ref="B95">EinkommenSteuerGesamt(A95,Ziv)/A95*100</f>
        <v>24.662704222222224</v>
      </c>
      <c r="C95" s="9" cm="1">
        <f t="array" ref="C95">(EinkommenSteuerGesamt(A95,Ziv)-EinkommenSteuerGesamt(A95-$B$38,Ziv))/$B$38*100</f>
        <v>38.461010499999979</v>
      </c>
      <c r="E95" s="12">
        <f t="shared" si="1"/>
        <v>290000</v>
      </c>
      <c r="F95" s="9" cm="1">
        <f t="array" ref="F95">KapitalAuszSteuer(E95,Ziv)/E95*100</f>
        <v>6.8745870689655177</v>
      </c>
      <c r="G95" s="9" cm="1">
        <f t="array" ref="G95">(KapitalAuszSteuer(E95,Ziv)-KapitalAuszSteuer(E95-$F$38,Ziv))/$F$38*100</f>
        <v>9.0934999999999846</v>
      </c>
    </row>
    <row r="96" spans="1:7" x14ac:dyDescent="0.25">
      <c r="A96" s="12">
        <f t="shared" si="0"/>
        <v>145000</v>
      </c>
      <c r="B96" s="9" cm="1">
        <f t="array" ref="B96">EinkommenSteuerGesamt(A96,Ziv)/A96*100</f>
        <v>24.758061310344829</v>
      </c>
      <c r="C96" s="9" cm="1">
        <f t="array" ref="C96">(EinkommenSteuerGesamt(A96,Ziv)-EinkommenSteuerGesamt(A96-$B$38,Ziv))/$B$38*100</f>
        <v>38.489482000000137</v>
      </c>
      <c r="E96" s="12">
        <f t="shared" si="1"/>
        <v>295000</v>
      </c>
      <c r="F96" s="9" cm="1">
        <f t="array" ref="F96">KapitalAuszSteuer(E96,Ziv)/E96*100</f>
        <v>6.9121957627118649</v>
      </c>
      <c r="G96" s="9" cm="1">
        <f t="array" ref="G96">(KapitalAuszSteuer(E96,Ziv)-KapitalAuszSteuer(E96-$F$38,Ziv))/$F$38*100</f>
        <v>9.0934999999999846</v>
      </c>
    </row>
    <row r="97" spans="1:7" x14ac:dyDescent="0.25">
      <c r="A97" s="12">
        <f t="shared" si="0"/>
        <v>146000</v>
      </c>
      <c r="B97" s="9" cm="1">
        <f t="array" ref="B97">EinkommenSteuerGesamt(A97,Ziv)/A97*100</f>
        <v>24.851797383561642</v>
      </c>
      <c r="C97" s="9" cm="1">
        <f t="array" ref="C97">(EinkommenSteuerGesamt(A97,Ziv)-EinkommenSteuerGesamt(A97-$B$38,Ziv))/$B$38*100</f>
        <v>38.443527999999787</v>
      </c>
      <c r="E97" s="12">
        <f t="shared" si="1"/>
        <v>300000</v>
      </c>
      <c r="F97" s="9" cm="1">
        <f t="array" ref="F97">KapitalAuszSteuer(E97,Ziv)/E97*100</f>
        <v>6.9485508333333339</v>
      </c>
      <c r="G97" s="9" cm="1">
        <f t="array" ref="G97">(KapitalAuszSteuer(E97,Ziv)-KapitalAuszSteuer(E97-$F$38,Ziv))/$F$38*100</f>
        <v>9.0934999999999846</v>
      </c>
    </row>
    <row r="98" spans="1:7" x14ac:dyDescent="0.25">
      <c r="A98" s="12">
        <f t="shared" si="0"/>
        <v>147000</v>
      </c>
      <c r="B98" s="9" cm="1">
        <f t="array" ref="B98">EinkommenSteuerGesamt(A98,Ziv)/A98*100</f>
        <v>24.949186540816328</v>
      </c>
      <c r="C98" s="9" cm="1">
        <f t="array" ref="C98">(EinkommenSteuerGesamt(A98,Ziv)-EinkommenSteuerGesamt(A98-$B$38,Ziv))/$B$38*100</f>
        <v>39.168003500000488</v>
      </c>
      <c r="E98" s="12">
        <f t="shared" si="1"/>
        <v>305000</v>
      </c>
      <c r="F98" s="9" cm="1">
        <f t="array" ref="F98">KapitalAuszSteuer(E98,Ziv)/E98*100</f>
        <v>6.9837139344262305</v>
      </c>
      <c r="G98" s="9" cm="1">
        <f t="array" ref="G98">(KapitalAuszSteuer(E98,Ziv)-KapitalAuszSteuer(E98-$F$38,Ziv))/$F$38*100</f>
        <v>9.0935000000000592</v>
      </c>
    </row>
    <row r="99" spans="1:7" x14ac:dyDescent="0.25">
      <c r="A99" s="12">
        <f t="shared" si="0"/>
        <v>148000</v>
      </c>
      <c r="B99" s="9" cm="1">
        <f t="array" ref="B99">EinkommenSteuerGesamt(A99,Ziv)/A99*100</f>
        <v>25.047441905405403</v>
      </c>
      <c r="C99" s="9" cm="1">
        <f t="array" ref="C99">(EinkommenSteuerGesamt(A99,Ziv)-EinkommenSteuerGesamt(A99-$B$38,Ziv))/$B$38*100</f>
        <v>39.490980499999566</v>
      </c>
      <c r="E99" s="12">
        <f t="shared" si="1"/>
        <v>310000</v>
      </c>
      <c r="F99" s="9" cm="1">
        <f t="array" ref="F99">KapitalAuszSteuer(E99,Ziv)/E99*100</f>
        <v>7.017742741935483</v>
      </c>
      <c r="G99" s="9" cm="1">
        <f t="array" ref="G99">(KapitalAuszSteuer(E99,Ziv)-KapitalAuszSteuer(E99-$F$38,Ziv))/$F$38*100</f>
        <v>9.0934999999999135</v>
      </c>
    </row>
    <row r="100" spans="1:7" x14ac:dyDescent="0.25">
      <c r="A100" s="12">
        <f t="shared" si="0"/>
        <v>149000</v>
      </c>
      <c r="B100" s="9" cm="1">
        <f t="array" ref="B100">EinkommenSteuerGesamt(A100,Ziv)/A100*100</f>
        <v>25.14872104362416</v>
      </c>
      <c r="C100" s="9" cm="1">
        <f t="array" ref="C100">(EinkommenSteuerGesamt(A100,Ziv)-EinkommenSteuerGesamt(A100-$B$38,Ziv))/$B$38*100</f>
        <v>40.138033500000162</v>
      </c>
      <c r="E100" s="12">
        <f t="shared" si="1"/>
        <v>315000</v>
      </c>
      <c r="F100" s="9" cm="1">
        <f t="array" ref="F100">KapitalAuszSteuer(E100,Ziv)/E100*100</f>
        <v>7.0506912698412707</v>
      </c>
      <c r="G100" s="9" cm="1">
        <f t="array" ref="G100">(KapitalAuszSteuer(E100,Ziv)-KapitalAuszSteuer(E100-$F$38,Ziv))/$F$38*100</f>
        <v>9.0935000000000592</v>
      </c>
    </row>
    <row r="101" spans="1:7" x14ac:dyDescent="0.25">
      <c r="A101" s="12">
        <f t="shared" si="0"/>
        <v>150000</v>
      </c>
      <c r="B101" s="9" cm="1">
        <f t="array" ref="B101">EinkommenSteuerGesamt(A101,Ziv)/A101*100</f>
        <v>25.250776333333331</v>
      </c>
      <c r="C101" s="9" cm="1">
        <f t="array" ref="C101">(EinkommenSteuerGesamt(A101,Ziv)-EinkommenSteuerGesamt(A101-$B$38,Ziv))/$B$38*100</f>
        <v>40.457014499999786</v>
      </c>
      <c r="E101" s="12">
        <f t="shared" si="1"/>
        <v>320000</v>
      </c>
      <c r="F101" s="9" cm="1">
        <f t="array" ref="F101">KapitalAuszSteuer(E101,Ziv)/E101*100</f>
        <v>7.0826101562500003</v>
      </c>
      <c r="G101" s="9" cm="1">
        <f t="array" ref="G101">(KapitalAuszSteuer(E101,Ziv)-KapitalAuszSteuer(E101-$F$38,Ziv))/$F$38*100</f>
        <v>9.0934999999999846</v>
      </c>
    </row>
    <row r="102" spans="1:7" x14ac:dyDescent="0.25">
      <c r="A102" s="12">
        <f t="shared" si="0"/>
        <v>151000</v>
      </c>
      <c r="B102" s="9" cm="1">
        <f t="array" ref="B102">EinkommenSteuerGesamt(A102,Ziv)/A102*100</f>
        <v>25.356231437086091</v>
      </c>
      <c r="C102" s="9" cm="1">
        <f t="array" ref="C102">(EinkommenSteuerGesamt(A102,Ziv)-EinkommenSteuerGesamt(A102-$B$38,Ziv))/$B$38*100</f>
        <v>41.174496999999974</v>
      </c>
      <c r="E102" s="12">
        <f t="shared" si="1"/>
        <v>325000</v>
      </c>
      <c r="F102" s="9" cm="1">
        <f t="array" ref="F102">KapitalAuszSteuer(E102,Ziv)/E102*100</f>
        <v>7.1141616923076922</v>
      </c>
      <c r="G102" s="9" cm="1">
        <f t="array" ref="G102">(KapitalAuszSteuer(E102,Ziv)-KapitalAuszSteuer(E102-$F$38,Ziv))/$F$38*100</f>
        <v>9.1334599999999782</v>
      </c>
    </row>
    <row r="103" spans="1:7" x14ac:dyDescent="0.25">
      <c r="A103" s="12">
        <f t="shared" si="0"/>
        <v>152000</v>
      </c>
      <c r="B103" s="9" cm="1">
        <f t="array" ref="B103">EinkommenSteuerGesamt(A103,Ziv)/A103*100</f>
        <v>25.462377815789473</v>
      </c>
      <c r="C103" s="9" cm="1">
        <f t="array" ref="C103">(EinkommenSteuerGesamt(A103,Ziv)-EinkommenSteuerGesamt(A103-$B$38,Ziv))/$B$38*100</f>
        <v>41.490481000000003</v>
      </c>
      <c r="E103" s="12">
        <f t="shared" si="1"/>
        <v>330000</v>
      </c>
      <c r="F103" s="9" cm="1">
        <f t="array" ref="F103">KapitalAuszSteuer(E103,Ziv)/E103*100</f>
        <v>7.1592880303030304</v>
      </c>
      <c r="G103" s="9" cm="1">
        <f t="array" ref="G103">(KapitalAuszSteuer(E103,Ziv)-KapitalAuszSteuer(E103-$F$38,Ziv))/$F$38*100</f>
        <v>10.092499999999999</v>
      </c>
    </row>
    <row r="104" spans="1:7" x14ac:dyDescent="0.25">
      <c r="A104" s="12">
        <f t="shared" si="0"/>
        <v>153000</v>
      </c>
      <c r="B104" s="9" cm="1">
        <f t="array" ref="B104">EinkommenSteuerGesamt(A104,Ziv)/A104*100</f>
        <v>25.56723133660131</v>
      </c>
      <c r="C104" s="9" cm="1">
        <f t="array" ref="C104">(EinkommenSteuerGesamt(A104,Ziv)-EinkommenSteuerGesamt(A104-$B$38,Ziv))/$B$38*100</f>
        <v>41.504966500000592</v>
      </c>
      <c r="E104" s="12">
        <f t="shared" si="1"/>
        <v>335000</v>
      </c>
      <c r="F104" s="9" cm="1">
        <f t="array" ref="F104">KapitalAuszSteuer(E104,Ziv)/E104*100</f>
        <v>7.203067313432836</v>
      </c>
      <c r="G104" s="9" cm="1">
        <f t="array" ref="G104">(KapitalAuszSteuer(E104,Ziv)-KapitalAuszSteuer(E104-$F$38,Ziv))/$F$38*100</f>
        <v>10.092499999999999</v>
      </c>
    </row>
    <row r="105" spans="1:7" x14ac:dyDescent="0.25">
      <c r="A105" s="12">
        <f t="shared" si="0"/>
        <v>154000</v>
      </c>
      <c r="B105" s="9" cm="1">
        <f t="array" ref="B105">EinkommenSteuerGesamt(A105,Ziv)/A105*100</f>
        <v>25.67030795454545</v>
      </c>
      <c r="C105" s="9" cm="1">
        <f t="array" ref="C105">(EinkommenSteuerGesamt(A105,Ziv)-EinkommenSteuerGesamt(A105-$B$38,Ziv))/$B$38*100</f>
        <v>41.44103049999903</v>
      </c>
      <c r="E105" s="12">
        <f t="shared" si="1"/>
        <v>340000</v>
      </c>
      <c r="F105" s="9" cm="1">
        <f t="array" ref="F105">KapitalAuszSteuer(E105,Ziv)/E105*100</f>
        <v>7.2455589705882355</v>
      </c>
      <c r="G105" s="9" cm="1">
        <f t="array" ref="G105">(KapitalAuszSteuer(E105,Ziv)-KapitalAuszSteuer(E105-$F$38,Ziv))/$F$38*100</f>
        <v>10.092499999999999</v>
      </c>
    </row>
    <row r="106" spans="1:7" x14ac:dyDescent="0.25">
      <c r="A106" s="12">
        <f t="shared" si="0"/>
        <v>155000</v>
      </c>
      <c r="B106" s="9" cm="1">
        <f t="array" ref="B106">EinkommenSteuerGesamt(A106,Ziv)/A106*100</f>
        <v>25.772122225806449</v>
      </c>
      <c r="C106" s="9" cm="1">
        <f t="array" ref="C106">(EinkommenSteuerGesamt(A106,Ziv)-EinkommenSteuerGesamt(A106-$B$38,Ziv))/$B$38*100</f>
        <v>41.451520000000166</v>
      </c>
      <c r="E106" s="12">
        <f t="shared" si="1"/>
        <v>345000</v>
      </c>
      <c r="F106" s="9" cm="1">
        <f t="array" ref="F106">KapitalAuszSteuer(E106,Ziv)/E106*100</f>
        <v>7.2868189855072458</v>
      </c>
      <c r="G106" s="9" cm="1">
        <f t="array" ref="G106">(KapitalAuszSteuer(E106,Ziv)-KapitalAuszSteuer(E106-$F$38,Ziv))/$F$38*100</f>
        <v>10.092499999999999</v>
      </c>
    </row>
    <row r="107" spans="1:7" x14ac:dyDescent="0.25">
      <c r="A107" s="12">
        <f t="shared" ref="A107:A127" si="2">A106+$B$38</f>
        <v>156000</v>
      </c>
      <c r="B107" s="9" cm="1">
        <f t="array" ref="B107">EinkommenSteuerGesamt(A107,Ziv)/A107*100</f>
        <v>25.872688820512824</v>
      </c>
      <c r="C107" s="9" cm="1">
        <f t="array" ref="C107">(EinkommenSteuerGesamt(A107,Ziv)-EinkommenSteuerGesamt(A107-$B$38,Ziv))/$B$38*100</f>
        <v>41.460511000000402</v>
      </c>
      <c r="E107" s="12">
        <f t="shared" ref="E107:E127" si="3">E106+$F$38</f>
        <v>350000</v>
      </c>
      <c r="F107" s="9" cm="1">
        <f t="array" ref="F107">KapitalAuszSteuer(E107,Ziv)/E107*100</f>
        <v>7.3269001428571432</v>
      </c>
      <c r="G107" s="9" cm="1">
        <f t="array" ref="G107">(KapitalAuszSteuer(E107,Ziv)-KapitalAuszSteuer(E107-$F$38,Ziv))/$F$38*100</f>
        <v>10.092499999999999</v>
      </c>
    </row>
    <row r="108" spans="1:7" x14ac:dyDescent="0.25">
      <c r="A108" s="12">
        <f t="shared" si="2"/>
        <v>157000</v>
      </c>
      <c r="B108" s="9" cm="1">
        <f t="array" ref="B108">EinkommenSteuerGesamt(A108,Ziv)/A108*100</f>
        <v>25.972022035031845</v>
      </c>
      <c r="C108" s="9" cm="1">
        <f t="array" ref="C108">(EinkommenSteuerGesamt(A108,Ziv)-EinkommenSteuerGesamt(A108-$B$38,Ziv))/$B$38*100</f>
        <v>41.46800349999976</v>
      </c>
      <c r="E108" s="12">
        <f t="shared" si="3"/>
        <v>355000</v>
      </c>
      <c r="F108" s="9" cm="1">
        <f t="array" ref="F108">KapitalAuszSteuer(E108,Ziv)/E108*100</f>
        <v>7.365852253521127</v>
      </c>
      <c r="G108" s="9" cm="1">
        <f t="array" ref="G108">(KapitalAuszSteuer(E108,Ziv)-KapitalAuszSteuer(E108-$F$38,Ziv))/$F$38*100</f>
        <v>10.092499999999999</v>
      </c>
    </row>
    <row r="109" spans="1:7" x14ac:dyDescent="0.25">
      <c r="A109" s="12">
        <f t="shared" si="2"/>
        <v>158000</v>
      </c>
      <c r="B109" s="9" cm="1">
        <f t="array" ref="B109">EinkommenSteuerGesamt(A109,Ziv)/A109*100</f>
        <v>26.070135803797466</v>
      </c>
      <c r="C109" s="9" cm="1">
        <f t="array" ref="C109">(EinkommenSteuerGesamt(A109,Ziv)-EinkommenSteuerGesamt(A109-$B$38,Ziv))/$B$38*100</f>
        <v>41.473997500000401</v>
      </c>
      <c r="E109" s="12">
        <f t="shared" si="3"/>
        <v>360000</v>
      </c>
      <c r="F109" s="9" cm="1">
        <f t="array" ref="F109">KapitalAuszSteuer(E109,Ziv)/E109*100</f>
        <v>7.4037223611111109</v>
      </c>
      <c r="G109" s="9" cm="1">
        <f t="array" ref="G109">(KapitalAuszSteuer(E109,Ziv)-KapitalAuszSteuer(E109-$F$38,Ziv))/$F$38*100</f>
        <v>10.092499999999999</v>
      </c>
    </row>
    <row r="110" spans="1:7" x14ac:dyDescent="0.25">
      <c r="A110" s="12">
        <f t="shared" si="2"/>
        <v>159000</v>
      </c>
      <c r="B110" s="9" cm="1">
        <f t="array" ref="B110">EinkommenSteuerGesamt(A110,Ziv)/A110*100</f>
        <v>26.167043710691829</v>
      </c>
      <c r="C110" s="9" cm="1">
        <f t="array" ref="C110">(EinkommenSteuerGesamt(A110,Ziv)-EinkommenSteuerGesamt(A110-$B$38,Ziv))/$B$38*100</f>
        <v>41.478493000000164</v>
      </c>
      <c r="E110" s="12">
        <f t="shared" si="3"/>
        <v>365000</v>
      </c>
      <c r="F110" s="9" cm="1">
        <f t="array" ref="F110">KapitalAuszSteuer(E110,Ziv)/E110*100</f>
        <v>7.4405549315068491</v>
      </c>
      <c r="G110" s="9" cm="1">
        <f t="array" ref="G110">(KapitalAuszSteuer(E110,Ziv)-KapitalAuszSteuer(E110-$F$38,Ziv))/$F$38*100</f>
        <v>10.092499999999999</v>
      </c>
    </row>
    <row r="111" spans="1:7" x14ac:dyDescent="0.25">
      <c r="A111" s="12">
        <f t="shared" si="2"/>
        <v>160000</v>
      </c>
      <c r="B111" s="9" cm="1">
        <f t="array" ref="B111">EinkommenSteuerGesamt(A111,Ziv)/A111*100</f>
        <v>26.262759000000003</v>
      </c>
      <c r="C111" s="9" cm="1">
        <f t="array" ref="C111">(EinkommenSteuerGesamt(A111,Ziv)-EinkommenSteuerGesamt(A111-$B$38,Ziv))/$B$38*100</f>
        <v>41.481489999999759</v>
      </c>
      <c r="E111" s="12">
        <f t="shared" si="3"/>
        <v>370000</v>
      </c>
      <c r="F111" s="9" cm="1">
        <f t="array" ref="F111">KapitalAuszSteuer(E111,Ziv)/E111*100</f>
        <v>7.4763920270270274</v>
      </c>
      <c r="G111" s="9" cm="1">
        <f t="array" ref="G111">(KapitalAuszSteuer(E111,Ziv)-KapitalAuszSteuer(E111-$F$38,Ziv))/$F$38*100</f>
        <v>10.092499999999999</v>
      </c>
    </row>
    <row r="112" spans="1:7" x14ac:dyDescent="0.25">
      <c r="A112" s="12">
        <f t="shared" si="2"/>
        <v>161000</v>
      </c>
      <c r="B112" s="9" cm="1">
        <f t="array" ref="B112">EinkommenSteuerGesamt(A112,Ziv)/A112*100</f>
        <v>26.35729458695652</v>
      </c>
      <c r="C112" s="9" cm="1">
        <f t="array" ref="C112">(EinkommenSteuerGesamt(A112,Ziv)-EinkommenSteuerGesamt(A112-$B$38,Ziv))/$B$38*100</f>
        <v>41.482988499999919</v>
      </c>
      <c r="E112" s="12">
        <f t="shared" si="3"/>
        <v>375000</v>
      </c>
      <c r="F112" s="9" cm="1">
        <f t="array" ref="F112">KapitalAuszSteuer(E112,Ziv)/E112*100</f>
        <v>7.5112734666666663</v>
      </c>
      <c r="G112" s="9" cm="1">
        <f t="array" ref="G112">(KapitalAuszSteuer(E112,Ziv)-KapitalAuszSteuer(E112-$F$38,Ziv))/$F$38*100</f>
        <v>10.092499999999999</v>
      </c>
    </row>
    <row r="113" spans="1:7" x14ac:dyDescent="0.25">
      <c r="A113" s="12">
        <f t="shared" si="2"/>
        <v>162000</v>
      </c>
      <c r="B113" s="9" cm="1">
        <f t="array" ref="B113">EinkommenSteuerGesamt(A113,Ziv)/A113*100</f>
        <v>26.450663067901235</v>
      </c>
      <c r="C113" s="9" cm="1">
        <f t="array" ref="C113">(EinkommenSteuerGesamt(A113,Ziv)-EinkommenSteuerGesamt(A113-$B$38,Ziv))/$B$38*100</f>
        <v>41.482988499999919</v>
      </c>
      <c r="E113" s="12">
        <f t="shared" si="3"/>
        <v>380000</v>
      </c>
      <c r="F113" s="9" cm="1">
        <f t="array" ref="F113">KapitalAuszSteuer(E113,Ziv)/E113*100</f>
        <v>7.5452369736842106</v>
      </c>
      <c r="G113" s="9" cm="1">
        <f t="array" ref="G113">(KapitalAuszSteuer(E113,Ziv)-KapitalAuszSteuer(E113-$F$38,Ziv))/$F$38*100</f>
        <v>10.092499999999999</v>
      </c>
    </row>
    <row r="114" spans="1:7" x14ac:dyDescent="0.25">
      <c r="A114" s="12">
        <f t="shared" si="2"/>
        <v>163000</v>
      </c>
      <c r="B114" s="9" cm="1">
        <f t="array" ref="B114">EinkommenSteuerGesamt(A114,Ziv)/A114*100</f>
        <v>26.542876730061348</v>
      </c>
      <c r="C114" s="9" cm="1">
        <f t="array" ref="C114">(EinkommenSteuerGesamt(A114,Ziv)-EinkommenSteuerGesamt(A114-$B$38,Ziv))/$B$38*100</f>
        <v>41.481489999999759</v>
      </c>
      <c r="E114" s="12">
        <f t="shared" si="3"/>
        <v>385000</v>
      </c>
      <c r="F114" s="9" cm="1">
        <f t="array" ref="F114">KapitalAuszSteuer(E114,Ziv)/E114*100</f>
        <v>7.5783183116883119</v>
      </c>
      <c r="G114" s="9" cm="1">
        <f t="array" ref="G114">(KapitalAuszSteuer(E114,Ziv)-KapitalAuszSteuer(E114-$F$38,Ziv))/$F$38*100</f>
        <v>10.092499999999999</v>
      </c>
    </row>
    <row r="115" spans="1:7" x14ac:dyDescent="0.25">
      <c r="A115" s="12">
        <f t="shared" si="2"/>
        <v>164000</v>
      </c>
      <c r="B115" s="9" cm="1">
        <f t="array" ref="B115">EinkommenSteuerGesamt(A115,Ziv)/A115*100</f>
        <v>26.633947560975606</v>
      </c>
      <c r="C115" s="9" cm="1">
        <f t="array" ref="C115">(EinkommenSteuerGesamt(A115,Ziv)-EinkommenSteuerGesamt(A115-$B$38,Ziv))/$B$38*100</f>
        <v>41.478493000000164</v>
      </c>
      <c r="E115" s="12">
        <f t="shared" si="3"/>
        <v>390000</v>
      </c>
      <c r="F115" s="9" cm="1">
        <f t="array" ref="F115">KapitalAuszSteuer(E115,Ziv)/E115*100</f>
        <v>7.6105514102564094</v>
      </c>
      <c r="G115" s="9" cm="1">
        <f t="array" ref="G115">(KapitalAuszSteuer(E115,Ziv)-KapitalAuszSteuer(E115-$F$38,Ziv))/$F$38*100</f>
        <v>10.092499999999999</v>
      </c>
    </row>
    <row r="116" spans="1:7" x14ac:dyDescent="0.25">
      <c r="A116" s="12">
        <f t="shared" si="2"/>
        <v>165000</v>
      </c>
      <c r="B116" s="9" cm="1">
        <f t="array" ref="B116">EinkommenSteuerGesamt(A116,Ziv)/A116*100</f>
        <v>26.723887257575758</v>
      </c>
      <c r="C116" s="9" cm="1">
        <f t="array" ref="C116">(EinkommenSteuerGesamt(A116,Ziv)-EinkommenSteuerGesamt(A116-$B$38,Ziv))/$B$38*100</f>
        <v>41.473997500000401</v>
      </c>
      <c r="E116" s="12">
        <f t="shared" si="3"/>
        <v>395000</v>
      </c>
      <c r="F116" s="9" cm="1">
        <f t="array" ref="F116">KapitalAuszSteuer(E116,Ziv)/E116*100</f>
        <v>7.6419684810126576</v>
      </c>
      <c r="G116" s="9" cm="1">
        <f t="array" ref="G116">(KapitalAuszSteuer(E116,Ziv)-KapitalAuszSteuer(E116-$F$38,Ziv))/$F$38*100</f>
        <v>10.092499999999999</v>
      </c>
    </row>
    <row r="117" spans="1:7" x14ac:dyDescent="0.25">
      <c r="A117" s="12">
        <f t="shared" si="2"/>
        <v>166000</v>
      </c>
      <c r="B117" s="9" cm="1">
        <f t="array" ref="B117">EinkommenSteuerGesamt(A117,Ziv)/A117*100</f>
        <v>26.812707234939758</v>
      </c>
      <c r="C117" s="9" cm="1">
        <f t="array" ref="C117">(EinkommenSteuerGesamt(A117,Ziv)-EinkommenSteuerGesamt(A117-$B$38,Ziv))/$B$38*100</f>
        <v>41.46800349999976</v>
      </c>
      <c r="E117" s="12">
        <f t="shared" si="3"/>
        <v>400000</v>
      </c>
      <c r="F117" s="9" cm="1">
        <f t="array" ref="F117">KapitalAuszSteuer(E117,Ziv)/E117*100</f>
        <v>7.6726001249999998</v>
      </c>
      <c r="G117" s="9" cm="1">
        <f t="array" ref="G117">(KapitalAuszSteuer(E117,Ziv)-KapitalAuszSteuer(E117-$F$38,Ziv))/$F$38*100</f>
        <v>10.092499999999999</v>
      </c>
    </row>
    <row r="118" spans="1:7" x14ac:dyDescent="0.25">
      <c r="A118" s="12">
        <f t="shared" si="2"/>
        <v>167000</v>
      </c>
      <c r="B118" s="9" cm="1">
        <f t="array" ref="B118">EinkommenSteuerGesamt(A118,Ziv)/A118*100</f>
        <v>26.900418634730546</v>
      </c>
      <c r="C118" s="9" cm="1">
        <f t="array" ref="C118">(EinkommenSteuerGesamt(A118,Ziv)-EinkommenSteuerGesamt(A118-$B$38,Ziv))/$B$38*100</f>
        <v>41.460511000000402</v>
      </c>
      <c r="E118" s="12">
        <f t="shared" si="3"/>
        <v>405000</v>
      </c>
      <c r="F118" s="9" cm="1">
        <f t="array" ref="F118">KapitalAuszSteuer(E118,Ziv)/E118*100</f>
        <v>7.7024754320987654</v>
      </c>
      <c r="G118" s="9" cm="1">
        <f t="array" ref="G118">(KapitalAuszSteuer(E118,Ziv)-KapitalAuszSteuer(E118-$F$38,Ziv))/$F$38*100</f>
        <v>10.092499999999999</v>
      </c>
    </row>
    <row r="119" spans="1:7" x14ac:dyDescent="0.25">
      <c r="A119" s="12">
        <f t="shared" si="2"/>
        <v>168000</v>
      </c>
      <c r="B119" s="9" cm="1">
        <f t="array" ref="B119">EinkommenSteuerGesamt(A119,Ziv)/A119*100</f>
        <v>26.987032333333332</v>
      </c>
      <c r="C119" s="9" cm="1">
        <f t="array" ref="C119">(EinkommenSteuerGesamt(A119,Ziv)-EinkommenSteuerGesamt(A119-$B$38,Ziv))/$B$38*100</f>
        <v>41.451519999999434</v>
      </c>
      <c r="E119" s="12">
        <f t="shared" si="3"/>
        <v>410000</v>
      </c>
      <c r="F119" s="9" cm="1">
        <f t="array" ref="F119">KapitalAuszSteuer(E119,Ziv)/E119*100</f>
        <v>7.7316220731707315</v>
      </c>
      <c r="G119" s="9" cm="1">
        <f t="array" ref="G119">(KapitalAuszSteuer(E119,Ziv)-KapitalAuszSteuer(E119-$F$38,Ziv))/$F$38*100</f>
        <v>10.092499999999999</v>
      </c>
    </row>
    <row r="120" spans="1:7" x14ac:dyDescent="0.25">
      <c r="A120" s="12">
        <f t="shared" si="2"/>
        <v>169000</v>
      </c>
      <c r="B120" s="9" cm="1">
        <f t="array" ref="B120">EinkommenSteuerGesamt(A120,Ziv)/A120*100</f>
        <v>27.072558949704138</v>
      </c>
      <c r="C120" s="9" cm="1">
        <f t="array" ref="C120">(EinkommenSteuerGesamt(A120,Ziv)-EinkommenSteuerGesamt(A120-$B$38,Ziv))/$B$38*100</f>
        <v>41.441030499999762</v>
      </c>
      <c r="E120" s="12">
        <f t="shared" si="3"/>
        <v>415000</v>
      </c>
      <c r="F120" s="9" cm="1">
        <f t="array" ref="F120">KapitalAuszSteuer(E120,Ziv)/E120*100</f>
        <v>7.760066385542169</v>
      </c>
      <c r="G120" s="9" cm="1">
        <f t="array" ref="G120">(KapitalAuszSteuer(E120,Ziv)-KapitalAuszSteuer(E120-$F$38,Ziv))/$F$38*100</f>
        <v>10.092499999999999</v>
      </c>
    </row>
    <row r="121" spans="1:7" x14ac:dyDescent="0.25">
      <c r="A121" s="12">
        <f t="shared" si="2"/>
        <v>170000</v>
      </c>
      <c r="B121" s="9" cm="1">
        <f t="array" ref="B121">EinkommenSteuerGesamt(A121,Ziv)/A121*100</f>
        <v>27.157508352941171</v>
      </c>
      <c r="C121" s="9" cm="1">
        <f t="array" ref="C121">(EinkommenSteuerGesamt(A121,Ziv)-EinkommenSteuerGesamt(A121-$B$38,Ziv))/$B$38*100</f>
        <v>41.513957500000103</v>
      </c>
      <c r="E121" s="12">
        <f t="shared" si="3"/>
        <v>420000</v>
      </c>
      <c r="F121" s="9" cm="1">
        <f t="array" ref="F121">KapitalAuszSteuer(E121,Ziv)/E121*100</f>
        <v>7.7878334523809514</v>
      </c>
      <c r="G121" s="9" cm="1">
        <f t="array" ref="G121">(KapitalAuszSteuer(E121,Ziv)-KapitalAuszSteuer(E121-$F$38,Ziv))/$F$38*100</f>
        <v>10.092499999999999</v>
      </c>
    </row>
    <row r="122" spans="1:7" x14ac:dyDescent="0.25">
      <c r="A122" s="12">
        <f t="shared" si="2"/>
        <v>171000</v>
      </c>
      <c r="B122" s="9" cm="1">
        <f t="array" ref="B122">EinkommenSteuerGesamt(A122,Ziv)/A122*100</f>
        <v>27.241391169590646</v>
      </c>
      <c r="C122" s="9" cm="1">
        <f t="array" ref="C122">(EinkommenSteuerGesamt(A122,Ziv)-EinkommenSteuerGesamt(A122-$B$38,Ziv))/$B$38*100</f>
        <v>41.501470000000701</v>
      </c>
      <c r="E122" s="12">
        <f t="shared" si="3"/>
        <v>425000</v>
      </c>
      <c r="F122" s="9" cm="1">
        <f t="array" ref="F122">KapitalAuszSteuer(E122,Ziv)/E122*100</f>
        <v>7.8149471764705893</v>
      </c>
      <c r="G122" s="9" cm="1">
        <f t="array" ref="G122">(KapitalAuszSteuer(E122,Ziv)-KapitalAuszSteuer(E122-$F$38,Ziv))/$F$38*100</f>
        <v>10.092500000000072</v>
      </c>
    </row>
    <row r="123" spans="1:7" x14ac:dyDescent="0.25">
      <c r="A123" s="12">
        <f t="shared" si="2"/>
        <v>172000</v>
      </c>
      <c r="B123" s="9" cm="1">
        <f t="array" ref="B123">EinkommenSteuerGesamt(A123,Ziv)/A123*100</f>
        <v>27.323717790697678</v>
      </c>
      <c r="C123" s="9" cm="1">
        <f t="array" ref="C123">(EinkommenSteuerGesamt(A123,Ziv)-EinkommenSteuerGesamt(A123-$B$38,Ziv))/$B$38*100</f>
        <v>41.40156999999963</v>
      </c>
      <c r="E123" s="12">
        <f t="shared" si="3"/>
        <v>430000</v>
      </c>
      <c r="F123" s="9" cm="1">
        <f t="array" ref="F123">KapitalAuszSteuer(E123,Ziv)/E123*100</f>
        <v>7.8414303488372097</v>
      </c>
      <c r="G123" s="9" cm="1">
        <f t="array" ref="G123">(KapitalAuszSteuer(E123,Ziv)-KapitalAuszSteuer(E123-$F$38,Ziv))/$F$38*100</f>
        <v>10.092499999999999</v>
      </c>
    </row>
    <row r="124" spans="1:7" x14ac:dyDescent="0.25">
      <c r="A124" s="12">
        <f t="shared" si="2"/>
        <v>173000</v>
      </c>
      <c r="B124" s="9" cm="1">
        <f t="array" ref="B124">EinkommenSteuerGesamt(A124,Ziv)/A124*100</f>
        <v>27.405496878612716</v>
      </c>
      <c r="C124" s="9" cm="1">
        <f t="array" ref="C124">(EinkommenSteuerGesamt(A124,Ziv)-EinkommenSteuerGesamt(A124-$B$38,Ziv))/$B$38*100</f>
        <v>41.471499999999651</v>
      </c>
      <c r="E124" s="12">
        <f t="shared" si="3"/>
        <v>435000</v>
      </c>
      <c r="F124" s="9" cm="1">
        <f t="array" ref="F124">KapitalAuszSteuer(E124,Ziv)/E124*100</f>
        <v>7.867304712643679</v>
      </c>
      <c r="G124" s="9" cm="1">
        <f t="array" ref="G124">(KapitalAuszSteuer(E124,Ziv)-KapitalAuszSteuer(E124-$F$38,Ziv))/$F$38*100</f>
        <v>10.092499999999999</v>
      </c>
    </row>
    <row r="125" spans="1:7" x14ac:dyDescent="0.25">
      <c r="A125" s="12">
        <f t="shared" si="2"/>
        <v>174000</v>
      </c>
      <c r="B125" s="9" cm="1">
        <f t="array" ref="B125">EinkommenSteuerGesamt(A125,Ziv)/A125*100</f>
        <v>27.486737873563222</v>
      </c>
      <c r="C125" s="9" cm="1">
        <f t="array" ref="C125">(EinkommenSteuerGesamt(A125,Ziv)-EinkommenSteuerGesamt(A125-$B$38,Ziv))/$B$38*100</f>
        <v>41.541430000000403</v>
      </c>
      <c r="E125" s="12">
        <f t="shared" si="3"/>
        <v>440000</v>
      </c>
      <c r="F125" s="9" cm="1">
        <f t="array" ref="F125">KapitalAuszSteuer(E125,Ziv)/E125*100</f>
        <v>7.8925910227272729</v>
      </c>
      <c r="G125" s="9" cm="1">
        <f t="array" ref="G125">(KapitalAuszSteuer(E125,Ziv)-KapitalAuszSteuer(E125-$F$38,Ziv))/$F$38*100</f>
        <v>10.092499999999999</v>
      </c>
    </row>
    <row r="126" spans="1:7" x14ac:dyDescent="0.25">
      <c r="A126" s="12">
        <f t="shared" si="2"/>
        <v>175000</v>
      </c>
      <c r="B126" s="9" cm="1">
        <f t="array" ref="B126">EinkommenSteuerGesamt(A126,Ziv)/A126*100</f>
        <v>27.566451000000004</v>
      </c>
      <c r="C126" s="9" cm="1">
        <f t="array" ref="C126">(EinkommenSteuerGesamt(A126,Ziv)-EinkommenSteuerGesamt(A126-$B$38,Ziv))/$B$38*100</f>
        <v>41.436534999999999</v>
      </c>
      <c r="E126" s="12">
        <f t="shared" si="3"/>
        <v>445000</v>
      </c>
      <c r="F126" s="9" cm="1">
        <f t="array" ref="F126">KapitalAuszSteuer(E126,Ziv)/E126*100</f>
        <v>7.9173091011235961</v>
      </c>
      <c r="G126" s="9" cm="1">
        <f t="array" ref="G126">(KapitalAuszSteuer(E126,Ziv)-KapitalAuszSteuer(E126-$F$38,Ziv))/$F$38*100</f>
        <v>10.092499999999999</v>
      </c>
    </row>
    <row r="127" spans="1:7" x14ac:dyDescent="0.25">
      <c r="A127" s="12">
        <f t="shared" si="2"/>
        <v>176000</v>
      </c>
      <c r="B127" s="9" cm="1">
        <f t="array" ref="B127">EinkommenSteuerGesamt(A127,Ziv)/A127*100</f>
        <v>27.645644272727278</v>
      </c>
      <c r="C127" s="9" cm="1">
        <f t="array" ref="C127">(EinkommenSteuerGesamt(A127,Ziv)-EinkommenSteuerGesamt(A127-$B$38,Ziv))/$B$38*100</f>
        <v>41.504467000000297</v>
      </c>
      <c r="E127" s="12">
        <f t="shared" si="3"/>
        <v>450000</v>
      </c>
      <c r="F127" s="9" cm="1">
        <f t="array" ref="F127">KapitalAuszSteuer(E127,Ziv)/E127*100</f>
        <v>7.9414778888888895</v>
      </c>
      <c r="G127" s="9" cm="1">
        <f t="array" ref="G127">(KapitalAuszSteuer(E127,Ziv)-KapitalAuszSteuer(E127-$F$38,Ziv))/$F$38*100</f>
        <v>10.092499999999999</v>
      </c>
    </row>
  </sheetData>
  <pageMargins left="0.9055118110236221" right="0.70866141732283472" top="0.78740157480314965" bottom="0.78740157480314965" header="0.31496062992125984" footer="0.31496062992125984"/>
  <pageSetup paperSize="9" orientation="landscape" r:id="rId1"/>
  <customProperties>
    <customPr name="EpmWorksheetKeyString_GUID" r:id="rId2"/>
  </customPropertie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86443-C6F8-4DB4-8191-B2DBCA2F3A66}">
  <sheetPr codeName="Tabelle9"/>
  <dimension ref="A1:R31"/>
  <sheetViews>
    <sheetView zoomScaleNormal="100" workbookViewId="0">
      <selection activeCell="R5" sqref="R5"/>
    </sheetView>
  </sheetViews>
  <sheetFormatPr baseColWidth="10" defaultRowHeight="15" x14ac:dyDescent="0.25"/>
  <cols>
    <col min="1" max="1" width="28" customWidth="1"/>
    <col min="2" max="2" width="13.28515625" bestFit="1" customWidth="1"/>
    <col min="3" max="4" width="6.28515625" customWidth="1"/>
    <col min="6" max="7" width="6.28515625" customWidth="1"/>
    <col min="8" max="8" width="28" customWidth="1"/>
    <col min="17" max="17" width="26.28515625" bestFit="1" customWidth="1"/>
    <col min="18" max="18" width="26.140625" customWidth="1"/>
  </cols>
  <sheetData>
    <row r="1" spans="1:18" ht="30" customHeight="1" x14ac:dyDescent="0.25">
      <c r="A1" s="26" t="s">
        <v>119</v>
      </c>
      <c r="Q1" t="s">
        <v>16</v>
      </c>
      <c r="R1" s="1">
        <v>110000</v>
      </c>
    </row>
    <row r="2" spans="1:18" x14ac:dyDescent="0.25">
      <c r="Q2" t="s">
        <v>17</v>
      </c>
      <c r="R2" s="1">
        <v>7056</v>
      </c>
    </row>
    <row r="3" spans="1:18" x14ac:dyDescent="0.25">
      <c r="A3" s="31" t="s">
        <v>134</v>
      </c>
      <c r="B3" s="32"/>
      <c r="C3" s="29"/>
      <c r="H3" s="31" t="s">
        <v>140</v>
      </c>
      <c r="I3" s="32"/>
      <c r="Q3" t="s">
        <v>135</v>
      </c>
      <c r="R3" s="1">
        <v>40</v>
      </c>
    </row>
    <row r="4" spans="1:18" x14ac:dyDescent="0.25">
      <c r="A4" s="34" t="s">
        <v>16</v>
      </c>
      <c r="B4" s="80">
        <f>$R$1</f>
        <v>110000</v>
      </c>
      <c r="C4" s="85"/>
      <c r="G4" s="7"/>
      <c r="H4" s="34" t="s">
        <v>135</v>
      </c>
      <c r="I4" s="80">
        <f>$R$3</f>
        <v>40</v>
      </c>
      <c r="Q4" t="s">
        <v>32</v>
      </c>
      <c r="R4" s="1">
        <v>5</v>
      </c>
    </row>
    <row r="5" spans="1:18" x14ac:dyDescent="0.25">
      <c r="A5" s="34" t="s">
        <v>17</v>
      </c>
      <c r="B5" s="80">
        <f>$R$2</f>
        <v>7056</v>
      </c>
      <c r="C5" s="85"/>
      <c r="G5" s="7"/>
      <c r="H5" s="34" t="s">
        <v>141</v>
      </c>
      <c r="I5" s="80">
        <f>$R$4</f>
        <v>5</v>
      </c>
      <c r="Q5" t="s">
        <v>136</v>
      </c>
      <c r="R5" s="78">
        <v>0.01</v>
      </c>
    </row>
    <row r="6" spans="1:18" x14ac:dyDescent="0.25">
      <c r="A6" s="34" t="s">
        <v>137</v>
      </c>
      <c r="B6" s="80" cm="1">
        <f t="array" ref="B6">EinkommenSteuerGesamt($B$4,Ziv)-EinkommenSteuerGesamt($B$4-$B$5,Ziv)</f>
        <v>2092.4523143199949</v>
      </c>
      <c r="C6" s="85"/>
      <c r="G6" s="7"/>
      <c r="H6" s="34" t="s">
        <v>136</v>
      </c>
      <c r="I6" s="81">
        <f>$R$5</f>
        <v>0.01</v>
      </c>
    </row>
    <row r="7" spans="1:18" x14ac:dyDescent="0.25">
      <c r="A7" s="34" t="s">
        <v>139</v>
      </c>
      <c r="B7" s="80">
        <f>B5-B6</f>
        <v>4963.5476856800051</v>
      </c>
      <c r="C7" s="85"/>
      <c r="H7" s="34" t="s">
        <v>148</v>
      </c>
      <c r="I7" s="81" t="s">
        <v>147</v>
      </c>
    </row>
    <row r="9" spans="1:18" x14ac:dyDescent="0.25">
      <c r="E9" s="15" t="s">
        <v>149</v>
      </c>
      <c r="F9" s="15"/>
      <c r="Q9" t="s">
        <v>144</v>
      </c>
      <c r="R9" s="79">
        <f>B15</f>
        <v>344942.25041984912</v>
      </c>
    </row>
    <row r="10" spans="1:18" x14ac:dyDescent="0.25">
      <c r="E10" s="84">
        <f>B14-I14</f>
        <v>89518.741453235329</v>
      </c>
      <c r="F10" s="84"/>
      <c r="Q10" t="s">
        <v>28</v>
      </c>
      <c r="R10" s="79">
        <f>B16</f>
        <v>-12773.663620143416</v>
      </c>
    </row>
    <row r="11" spans="1:18" x14ac:dyDescent="0.25">
      <c r="E11" s="15" t="s">
        <v>311</v>
      </c>
      <c r="F11" s="84"/>
      <c r="Q11" t="s">
        <v>143</v>
      </c>
      <c r="R11" s="79">
        <f t="shared" ref="R11" si="0">B17</f>
        <v>102292.40507337876</v>
      </c>
    </row>
    <row r="12" spans="1:18" x14ac:dyDescent="0.25">
      <c r="E12" s="84">
        <f>E10/(1+R5)^R3</f>
        <v>60125.543683901516</v>
      </c>
      <c r="F12" s="84"/>
      <c r="Q12" t="s">
        <v>149</v>
      </c>
      <c r="R12" s="8">
        <f>-E10</f>
        <v>-89518.741453235329</v>
      </c>
    </row>
    <row r="13" spans="1:18" x14ac:dyDescent="0.25">
      <c r="Q13" t="s">
        <v>145</v>
      </c>
      <c r="R13" s="79">
        <f>I15</f>
        <v>344942.25041984912</v>
      </c>
    </row>
    <row r="14" spans="1:18" x14ac:dyDescent="0.25">
      <c r="A14" s="31" t="s">
        <v>142</v>
      </c>
      <c r="B14" s="83">
        <f>SUM(B15:B17)</f>
        <v>434460.99187308445</v>
      </c>
      <c r="C14" s="86"/>
      <c r="H14" s="31" t="s">
        <v>146</v>
      </c>
      <c r="I14" s="83">
        <f>SUM(I15:I17)</f>
        <v>344942.25041984912</v>
      </c>
    </row>
    <row r="15" spans="1:18" x14ac:dyDescent="0.25">
      <c r="A15" s="34" t="s">
        <v>144</v>
      </c>
      <c r="B15" s="80">
        <f>-FV($I$6,$I$4,$B$5,0,0)</f>
        <v>344942.25041984912</v>
      </c>
      <c r="C15" s="85"/>
      <c r="H15" s="34" t="s">
        <v>145</v>
      </c>
      <c r="I15" s="80">
        <f>-FV($I$6,$I$4,$B$5,0,0)</f>
        <v>344942.25041984912</v>
      </c>
    </row>
    <row r="16" spans="1:18" x14ac:dyDescent="0.25">
      <c r="A16" s="34" t="s">
        <v>28</v>
      </c>
      <c r="B16" s="80" cm="1">
        <f t="array" ref="B16">-KapitalAuszSteuer($B$15/$I$5,Ziv)*$I$5</f>
        <v>-12773.663620143416</v>
      </c>
      <c r="C16" s="85"/>
      <c r="H16" s="34" t="s">
        <v>28</v>
      </c>
      <c r="I16" s="80">
        <v>0</v>
      </c>
    </row>
    <row r="17" spans="1:9" ht="17.25" x14ac:dyDescent="0.25">
      <c r="A17" s="34" t="s">
        <v>312</v>
      </c>
      <c r="B17" s="80">
        <f>-FV($I$6,$I$4,$B$6,0,0)</f>
        <v>102292.40507337876</v>
      </c>
      <c r="C17" s="85"/>
      <c r="H17" s="34" t="s">
        <v>143</v>
      </c>
      <c r="I17" s="80">
        <v>0</v>
      </c>
    </row>
    <row r="31" spans="1:9" x14ac:dyDescent="0.25">
      <c r="A31" s="108" t="s">
        <v>313</v>
      </c>
    </row>
  </sheetData>
  <pageMargins left="0.7" right="0.7" top="0.78740157499999996" bottom="0.78740157499999996" header="0.3" footer="0.3"/>
  <pageSetup paperSize="9" orientation="landscape" horizontalDpi="300" verticalDpi="300" r:id="rId1"/>
  <customProperties>
    <customPr name="EpmWorksheetKeyString_GUID" r:id="rId2"/>
  </customProperties>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306F2-C202-439A-B2AE-98DE192045A2}">
  <sheetPr codeName="Tabelle13"/>
  <dimension ref="A1:R18"/>
  <sheetViews>
    <sheetView workbookViewId="0">
      <selection activeCell="R4" sqref="R4"/>
    </sheetView>
  </sheetViews>
  <sheetFormatPr baseColWidth="10" defaultRowHeight="15" x14ac:dyDescent="0.25"/>
  <cols>
    <col min="1" max="1" width="28" customWidth="1"/>
    <col min="2" max="2" width="13.28515625" bestFit="1" customWidth="1"/>
    <col min="3" max="4" width="6.28515625" customWidth="1"/>
    <col min="6" max="7" width="6.28515625" customWidth="1"/>
    <col min="8" max="8" width="28" customWidth="1"/>
    <col min="17" max="17" width="26.28515625" bestFit="1" customWidth="1"/>
    <col min="18" max="18" width="26.140625" customWidth="1"/>
  </cols>
  <sheetData>
    <row r="1" spans="1:18" ht="30" customHeight="1" x14ac:dyDescent="0.25">
      <c r="A1" s="26" t="s">
        <v>211</v>
      </c>
      <c r="Q1" t="s">
        <v>16</v>
      </c>
      <c r="R1" s="1">
        <v>110000</v>
      </c>
    </row>
    <row r="2" spans="1:18" x14ac:dyDescent="0.25">
      <c r="Q2" t="s">
        <v>17</v>
      </c>
      <c r="R2" s="1">
        <v>7056</v>
      </c>
    </row>
    <row r="3" spans="1:18" x14ac:dyDescent="0.25">
      <c r="A3" s="31" t="s">
        <v>134</v>
      </c>
      <c r="B3" s="32"/>
      <c r="C3" s="29"/>
      <c r="H3" s="31" t="s">
        <v>140</v>
      </c>
      <c r="I3" s="32"/>
      <c r="Q3" t="s">
        <v>135</v>
      </c>
      <c r="R3" s="1">
        <v>40</v>
      </c>
    </row>
    <row r="4" spans="1:18" x14ac:dyDescent="0.25">
      <c r="A4" s="34" t="s">
        <v>16</v>
      </c>
      <c r="B4" s="80">
        <f>$R$1</f>
        <v>110000</v>
      </c>
      <c r="C4" s="85"/>
      <c r="G4" s="7"/>
      <c r="H4" s="34" t="s">
        <v>135</v>
      </c>
      <c r="I4" s="80">
        <f>$R$3</f>
        <v>40</v>
      </c>
      <c r="Q4" t="s">
        <v>32</v>
      </c>
      <c r="R4" s="1">
        <v>5</v>
      </c>
    </row>
    <row r="5" spans="1:18" ht="17.25" x14ac:dyDescent="0.25">
      <c r="A5" s="34" t="s">
        <v>17</v>
      </c>
      <c r="B5" s="80">
        <f>$R$2</f>
        <v>7056</v>
      </c>
      <c r="C5" s="85"/>
      <c r="G5" s="7"/>
      <c r="H5" s="34" t="s">
        <v>218</v>
      </c>
      <c r="I5" s="80">
        <f>$R$4</f>
        <v>5</v>
      </c>
      <c r="Q5" t="s">
        <v>136</v>
      </c>
      <c r="R5" s="78">
        <v>0.01</v>
      </c>
    </row>
    <row r="6" spans="1:18" x14ac:dyDescent="0.25">
      <c r="A6" s="34" t="s">
        <v>137</v>
      </c>
      <c r="B6" s="80" cm="1">
        <f t="array" ref="B6">EinkommenSteuerGesamt($B$4,Ziv)-EinkommenSteuerGesamt($B$4-$B$5,Ziv)</f>
        <v>2092.4523143199949</v>
      </c>
      <c r="C6" s="85"/>
      <c r="G6" s="7"/>
      <c r="H6" s="34" t="s">
        <v>136</v>
      </c>
      <c r="I6" s="81">
        <f>$R$5</f>
        <v>0.01</v>
      </c>
    </row>
    <row r="7" spans="1:18" x14ac:dyDescent="0.25">
      <c r="A7" s="34" t="s">
        <v>139</v>
      </c>
      <c r="B7" s="80">
        <f>B5-B6</f>
        <v>4963.5476856800051</v>
      </c>
      <c r="C7" s="85"/>
      <c r="H7" s="34" t="s">
        <v>148</v>
      </c>
      <c r="I7" s="81" t="s">
        <v>147</v>
      </c>
    </row>
    <row r="9" spans="1:18" x14ac:dyDescent="0.25">
      <c r="E9" s="15" t="s">
        <v>149</v>
      </c>
      <c r="F9" s="15"/>
      <c r="R9" s="79"/>
    </row>
    <row r="10" spans="1:18" x14ac:dyDescent="0.25">
      <c r="E10" s="84">
        <f>B12-I12</f>
        <v>12360.033503479848</v>
      </c>
      <c r="F10" s="84"/>
      <c r="R10" s="79"/>
    </row>
    <row r="11" spans="1:18" x14ac:dyDescent="0.25">
      <c r="R11" s="79"/>
    </row>
    <row r="12" spans="1:18" x14ac:dyDescent="0.25">
      <c r="A12" s="31" t="s">
        <v>212</v>
      </c>
      <c r="B12" s="83">
        <f>B13+B16</f>
        <v>332168.58679970569</v>
      </c>
      <c r="C12" s="86"/>
      <c r="H12" s="31" t="s">
        <v>213</v>
      </c>
      <c r="I12" s="83">
        <f>SUM(I13:I15)</f>
        <v>319808.55329622584</v>
      </c>
      <c r="R12" s="8"/>
    </row>
    <row r="13" spans="1:18" x14ac:dyDescent="0.25">
      <c r="A13" s="34" t="s">
        <v>216</v>
      </c>
      <c r="B13" s="80">
        <f>-FV($I$6,$I$4,$B$5,0,0)</f>
        <v>344942.25041984912</v>
      </c>
      <c r="C13" s="85"/>
      <c r="H13" s="34" t="s">
        <v>145</v>
      </c>
      <c r="I13" s="80">
        <f>-FV($I$6,$I$4,$B$5,0,0)</f>
        <v>344942.25041984912</v>
      </c>
      <c r="R13" s="79"/>
    </row>
    <row r="14" spans="1:18" x14ac:dyDescent="0.25">
      <c r="A14" s="34" t="s">
        <v>214</v>
      </c>
      <c r="B14" s="80">
        <f>$B$13/$I$5</f>
        <v>68988.45008396983</v>
      </c>
      <c r="C14" s="85"/>
      <c r="H14" s="34" t="s">
        <v>28</v>
      </c>
      <c r="I14" s="80" cm="1">
        <f t="array" ref="I14">-KapitalAuszSteuer($I$13,Ziv)</f>
        <v>-25133.697123623278</v>
      </c>
    </row>
    <row r="15" spans="1:18" x14ac:dyDescent="0.25">
      <c r="A15" s="34" t="s">
        <v>215</v>
      </c>
      <c r="B15" s="80" cm="1">
        <f t="array" ref="B15">-KapitalAuszSteuer($B$14,Ziv)</f>
        <v>-2554.7327240286832</v>
      </c>
      <c r="C15" s="85"/>
    </row>
    <row r="16" spans="1:18" x14ac:dyDescent="0.25">
      <c r="A16" s="34" t="s">
        <v>217</v>
      </c>
      <c r="B16" s="80">
        <f>$B$15*$I$5</f>
        <v>-12773.663620143416</v>
      </c>
    </row>
    <row r="18" spans="1:1" x14ac:dyDescent="0.25">
      <c r="A18" s="119" t="s">
        <v>219</v>
      </c>
    </row>
  </sheetData>
  <pageMargins left="0.7" right="0.7" top="0.78740157499999996" bottom="0.78740157499999996" header="0.3" footer="0.3"/>
  <pageSetup paperSize="9" orientation="landscape" horizontalDpi="300"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67510-F6D4-402F-91F0-B98EA3AF25F5}">
  <sheetPr codeName="Tabelle5"/>
  <dimension ref="A1:F27"/>
  <sheetViews>
    <sheetView workbookViewId="0">
      <selection activeCell="B3" sqref="B3"/>
    </sheetView>
  </sheetViews>
  <sheetFormatPr baseColWidth="10" defaultColWidth="10.7109375" defaultRowHeight="15" x14ac:dyDescent="0.25"/>
  <cols>
    <col min="1" max="1" width="40.7109375" customWidth="1"/>
    <col min="2" max="2" width="34.28515625" customWidth="1"/>
    <col min="3" max="6" width="17.7109375" customWidth="1"/>
  </cols>
  <sheetData>
    <row r="1" spans="1:6" s="5" customFormat="1" ht="30" customHeight="1" x14ac:dyDescent="0.25">
      <c r="A1" s="26" t="s">
        <v>70</v>
      </c>
    </row>
    <row r="3" spans="1:6" x14ac:dyDescent="0.25">
      <c r="A3" t="s">
        <v>17</v>
      </c>
      <c r="B3" s="11">
        <v>7056</v>
      </c>
    </row>
    <row r="4" spans="1:6" x14ac:dyDescent="0.25">
      <c r="A4" t="s">
        <v>32</v>
      </c>
      <c r="B4" s="16">
        <v>5</v>
      </c>
    </row>
    <row r="5" spans="1:6" x14ac:dyDescent="0.25">
      <c r="A5" t="s">
        <v>18</v>
      </c>
      <c r="B5" s="11">
        <f>B3/B4</f>
        <v>1411.2</v>
      </c>
    </row>
    <row r="6" spans="1:6" x14ac:dyDescent="0.25">
      <c r="A6" t="s">
        <v>25</v>
      </c>
      <c r="B6" s="16">
        <v>40</v>
      </c>
    </row>
    <row r="7" spans="1:6" x14ac:dyDescent="0.25">
      <c r="B7" s="11"/>
    </row>
    <row r="9" spans="1:6" x14ac:dyDescent="0.25">
      <c r="A9" s="22" t="s">
        <v>30</v>
      </c>
      <c r="B9" s="15" t="s">
        <v>20</v>
      </c>
      <c r="C9" s="15" t="s">
        <v>19</v>
      </c>
      <c r="D9" s="15" t="s">
        <v>21</v>
      </c>
      <c r="E9" s="15" t="s">
        <v>22</v>
      </c>
    </row>
    <row r="10" spans="1:6" x14ac:dyDescent="0.25">
      <c r="A10" s="10" t="s">
        <v>23</v>
      </c>
      <c r="B10" s="14">
        <v>0.01</v>
      </c>
      <c r="C10" s="14">
        <v>0.03</v>
      </c>
      <c r="D10" s="14">
        <v>0.05</v>
      </c>
      <c r="E10" s="14">
        <v>7.0000000000000007E-2</v>
      </c>
    </row>
    <row r="11" spans="1:6" x14ac:dyDescent="0.25">
      <c r="A11" s="10" t="s">
        <v>24</v>
      </c>
      <c r="B11" s="14">
        <v>1.7999999999999999E-2</v>
      </c>
      <c r="C11" s="14">
        <v>1.7999999999999999E-2</v>
      </c>
      <c r="D11" s="14">
        <v>1.7999999999999999E-2</v>
      </c>
      <c r="E11" s="14">
        <v>1.7999999999999999E-2</v>
      </c>
    </row>
    <row r="12" spans="1:6" x14ac:dyDescent="0.25">
      <c r="B12" s="13"/>
      <c r="C12" s="13"/>
      <c r="D12" s="13"/>
      <c r="E12" s="13"/>
    </row>
    <row r="13" spans="1:6" x14ac:dyDescent="0.25">
      <c r="A13" s="10" t="s">
        <v>26</v>
      </c>
      <c r="B13" s="18">
        <f>FV(B$10,$B$6,-$B$5,0,0)</f>
        <v>68988.45008396983</v>
      </c>
      <c r="C13" s="18">
        <f t="shared" ref="C13:E13" si="0">FV(C$10,$B$6,-$B$5,0,0)</f>
        <v>106406.25773563635</v>
      </c>
      <c r="D13" s="18">
        <f t="shared" si="0"/>
        <v>170472.6414110061</v>
      </c>
      <c r="E13" s="18">
        <f t="shared" si="0"/>
        <v>281725.07003841217</v>
      </c>
    </row>
    <row r="14" spans="1:6" x14ac:dyDescent="0.25">
      <c r="A14" s="10" t="s">
        <v>28</v>
      </c>
      <c r="B14" s="18">
        <v>-3092</v>
      </c>
      <c r="C14" s="18">
        <v>-5638</v>
      </c>
      <c r="D14" s="18">
        <v>-10728</v>
      </c>
      <c r="E14" s="18">
        <v>-21222</v>
      </c>
      <c r="F14" s="17"/>
    </row>
    <row r="15" spans="1:6" x14ac:dyDescent="0.25">
      <c r="A15" s="10" t="s">
        <v>29</v>
      </c>
      <c r="B15" s="18">
        <f>SUM(B13:B14)</f>
        <v>65896.45008396983</v>
      </c>
      <c r="C15" s="18">
        <f t="shared" ref="C15:E15" si="1">SUM(C13:C14)</f>
        <v>100768.25773563635</v>
      </c>
      <c r="D15" s="18">
        <f t="shared" si="1"/>
        <v>159744.6414110061</v>
      </c>
      <c r="E15" s="18">
        <f t="shared" si="1"/>
        <v>260503.07003841217</v>
      </c>
    </row>
    <row r="16" spans="1:6" x14ac:dyDescent="0.25">
      <c r="B16" s="18"/>
      <c r="C16" s="18"/>
      <c r="D16" s="18"/>
      <c r="E16" s="18"/>
    </row>
    <row r="17" spans="1:5" x14ac:dyDescent="0.25">
      <c r="A17" s="10" t="s">
        <v>27</v>
      </c>
      <c r="B17" s="18">
        <f>B15/(1+B11)^$B$6</f>
        <v>32281.291332271496</v>
      </c>
      <c r="C17" s="18">
        <f t="shared" ref="C17:E17" si="2">C15/(1+C11)^$B$6</f>
        <v>49364.259848055386</v>
      </c>
      <c r="D17" s="18">
        <f t="shared" si="2"/>
        <v>78255.555520620968</v>
      </c>
      <c r="E17" s="18">
        <f t="shared" si="2"/>
        <v>127615.00029432996</v>
      </c>
    </row>
    <row r="18" spans="1:5" x14ac:dyDescent="0.25">
      <c r="A18" s="21" t="s">
        <v>31</v>
      </c>
      <c r="B18" s="20">
        <f>B17*$B$4</f>
        <v>161406.45666135749</v>
      </c>
      <c r="C18" s="20">
        <f t="shared" ref="C18:E18" si="3">C17*$B$4</f>
        <v>246821.29924027692</v>
      </c>
      <c r="D18" s="20">
        <f t="shared" si="3"/>
        <v>391277.77760310483</v>
      </c>
      <c r="E18" s="20">
        <f t="shared" si="3"/>
        <v>638075.00147164986</v>
      </c>
    </row>
    <row r="19" spans="1:5" x14ac:dyDescent="0.25">
      <c r="A19" s="10" t="s">
        <v>33</v>
      </c>
      <c r="B19" s="13"/>
      <c r="C19" s="19">
        <f>C18-B18</f>
        <v>85414.84257891943</v>
      </c>
      <c r="D19" s="19">
        <f t="shared" ref="D19:E19" si="4">D18-C18</f>
        <v>144456.47836282791</v>
      </c>
      <c r="E19" s="19">
        <f t="shared" si="4"/>
        <v>246797.22386854503</v>
      </c>
    </row>
    <row r="20" spans="1:5" x14ac:dyDescent="0.25">
      <c r="B20" s="13"/>
      <c r="C20" s="13"/>
      <c r="D20" s="13"/>
      <c r="E20" s="13"/>
    </row>
    <row r="21" spans="1:5" ht="15" customHeight="1" x14ac:dyDescent="0.25">
      <c r="A21" s="143" t="s">
        <v>39</v>
      </c>
      <c r="B21" s="143"/>
      <c r="C21" s="143"/>
      <c r="D21" s="143"/>
      <c r="E21" s="143"/>
    </row>
    <row r="22" spans="1:5" x14ac:dyDescent="0.25">
      <c r="A22" s="143"/>
      <c r="B22" s="143"/>
      <c r="C22" s="143"/>
      <c r="D22" s="143"/>
      <c r="E22" s="143"/>
    </row>
    <row r="23" spans="1:5" x14ac:dyDescent="0.25">
      <c r="A23" s="143"/>
      <c r="B23" s="143"/>
      <c r="C23" s="143"/>
      <c r="D23" s="143"/>
      <c r="E23" s="143"/>
    </row>
    <row r="24" spans="1:5" x14ac:dyDescent="0.25">
      <c r="A24" s="143"/>
      <c r="B24" s="143"/>
      <c r="C24" s="143"/>
      <c r="D24" s="143"/>
      <c r="E24" s="143"/>
    </row>
    <row r="25" spans="1:5" x14ac:dyDescent="0.25">
      <c r="A25" s="143"/>
      <c r="B25" s="143"/>
      <c r="C25" s="143"/>
      <c r="D25" s="143"/>
      <c r="E25" s="143"/>
    </row>
    <row r="26" spans="1:5" x14ac:dyDescent="0.25">
      <c r="A26" s="143"/>
      <c r="B26" s="143"/>
      <c r="C26" s="143"/>
      <c r="D26" s="143"/>
      <c r="E26" s="143"/>
    </row>
    <row r="27" spans="1:5" x14ac:dyDescent="0.25">
      <c r="A27" s="143"/>
      <c r="B27" s="143"/>
      <c r="C27" s="143"/>
      <c r="D27" s="143"/>
      <c r="E27" s="143"/>
    </row>
  </sheetData>
  <mergeCells count="1">
    <mergeCell ref="A21:E27"/>
  </mergeCells>
  <pageMargins left="0.9055118110236221" right="0.70866141732283472" top="0.78740157480314965" bottom="0.78740157480314965" header="0.31496062992125984" footer="0.31496062992125984"/>
  <pageSetup paperSize="9" orientation="landscape" r:id="rId1"/>
  <customProperties>
    <customPr name="EpmWorksheetKeyString_GUID" r:id="rId2"/>
  </customPropertie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3A02A3-DB92-4035-940B-504FA75FC4D1}">
  <sheetPr codeName="Tabelle8"/>
  <dimension ref="A1:CG170"/>
  <sheetViews>
    <sheetView showZeros="0" zoomScaleNormal="100" zoomScaleSheetLayoutView="106" workbookViewId="0">
      <pane ySplit="5" topLeftCell="A6" activePane="bottomLeft" state="frozen"/>
      <selection activeCell="B3" sqref="B3"/>
      <selection pane="bottomLeft" activeCell="B3" sqref="B3"/>
    </sheetView>
  </sheetViews>
  <sheetFormatPr baseColWidth="10" defaultRowHeight="15" outlineLevelCol="1" x14ac:dyDescent="0.25"/>
  <cols>
    <col min="1" max="1" width="26.140625" customWidth="1"/>
    <col min="2" max="2" width="17.7109375" hidden="1" customWidth="1" outlineLevel="1"/>
    <col min="3" max="3" width="7.7109375" bestFit="1" customWidth="1" collapsed="1"/>
    <col min="4" max="4" width="5.85546875" bestFit="1" customWidth="1"/>
    <col min="5" max="5" width="8.7109375" bestFit="1" customWidth="1"/>
    <col min="6" max="8" width="6.140625" style="44" bestFit="1" customWidth="1"/>
    <col min="9" max="10" width="7.85546875" style="44" bestFit="1" customWidth="1"/>
    <col min="11" max="12" width="9.7109375" style="44" bestFit="1" customWidth="1"/>
    <col min="13" max="13" width="5.140625" style="44" bestFit="1" customWidth="1"/>
    <col min="14" max="14" width="4.85546875" style="44" bestFit="1" customWidth="1"/>
    <col min="15" max="18" width="5.140625" style="44" bestFit="1" customWidth="1"/>
    <col min="19" max="19" width="4.85546875" style="44" bestFit="1" customWidth="1"/>
    <col min="20" max="28" width="3.7109375" style="44" hidden="1" customWidth="1" outlineLevel="1"/>
    <col min="29" max="29" width="5.140625" style="44" bestFit="1" customWidth="1" collapsed="1"/>
    <col min="30" max="38" width="5.140625" style="44" bestFit="1" customWidth="1"/>
    <col min="39" max="39" width="5.140625" style="44" hidden="1" customWidth="1" outlineLevel="1"/>
    <col min="40" max="40" width="4.85546875" style="44" hidden="1" customWidth="1" outlineLevel="1"/>
    <col min="41" max="41" width="5.140625" style="44" hidden="1" customWidth="1" outlineLevel="1"/>
    <col min="42" max="42" width="4.85546875" style="44" hidden="1" customWidth="1" outlineLevel="1"/>
    <col min="43" max="44" width="5.140625" style="44" hidden="1" customWidth="1" outlineLevel="1"/>
    <col min="45" max="53" width="4.7109375" style="44" hidden="1" customWidth="1" outlineLevel="1"/>
    <col min="54" max="54" width="11.5703125" collapsed="1"/>
    <col min="70" max="70" width="18.85546875" bestFit="1" customWidth="1"/>
    <col min="71" max="72" width="18.85546875" customWidth="1"/>
    <col min="76" max="76" width="20.28515625" bestFit="1" customWidth="1"/>
    <col min="77" max="77" width="17.5703125" style="12" bestFit="1" customWidth="1"/>
    <col min="78" max="78" width="10.7109375" bestFit="1" customWidth="1"/>
    <col min="79" max="79" width="20" bestFit="1" customWidth="1"/>
    <col min="80" max="80" width="26.85546875" bestFit="1" customWidth="1"/>
    <col min="81" max="81" width="17" bestFit="1" customWidth="1"/>
    <col min="83" max="83" width="29.7109375" bestFit="1" customWidth="1"/>
    <col min="84" max="85" width="29.7109375" customWidth="1"/>
  </cols>
  <sheetData>
    <row r="1" spans="1:85" s="5" customFormat="1" ht="30" customHeight="1" x14ac:dyDescent="0.25">
      <c r="A1" s="26" t="str">
        <f>+BP1</f>
        <v>Kapitalbezug von Einkauf</v>
      </c>
      <c r="B1" s="26"/>
      <c r="F1" s="43"/>
      <c r="G1" s="43"/>
      <c r="H1" s="43"/>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O1" s="5" t="s">
        <v>94</v>
      </c>
      <c r="BP1" s="40" t="s">
        <v>317</v>
      </c>
      <c r="BR1"/>
      <c r="BS1" t="s">
        <v>81</v>
      </c>
      <c r="BT1" t="s">
        <v>80</v>
      </c>
      <c r="BU1" t="s">
        <v>79</v>
      </c>
      <c r="BV1" t="s">
        <v>75</v>
      </c>
      <c r="BW1" t="s">
        <v>76</v>
      </c>
      <c r="BX1" t="s">
        <v>77</v>
      </c>
      <c r="BY1" s="12" t="s">
        <v>78</v>
      </c>
      <c r="BZ1" t="s">
        <v>87</v>
      </c>
      <c r="CA1" t="s">
        <v>88</v>
      </c>
      <c r="CB1" s="5" t="s">
        <v>157</v>
      </c>
      <c r="CC1" s="5" t="s">
        <v>239</v>
      </c>
      <c r="CD1" s="5" t="s">
        <v>58</v>
      </c>
      <c r="CE1" s="5" t="s">
        <v>291</v>
      </c>
      <c r="CF1" s="5" t="s">
        <v>293</v>
      </c>
    </row>
    <row r="2" spans="1:85" s="5" customFormat="1" ht="15.75" customHeight="1" x14ac:dyDescent="0.25">
      <c r="A2" s="41" t="s">
        <v>73</v>
      </c>
      <c r="B2" s="41"/>
      <c r="C2" s="42"/>
      <c r="D2" s="42"/>
      <c r="E2" s="42"/>
      <c r="F2" s="43"/>
      <c r="G2" s="43"/>
      <c r="H2" s="43"/>
      <c r="I2" s="43"/>
      <c r="J2" s="43"/>
      <c r="K2" s="43"/>
      <c r="L2" s="43"/>
      <c r="M2" s="43"/>
      <c r="N2" s="43"/>
      <c r="O2" s="43"/>
      <c r="P2" s="43"/>
      <c r="Q2" s="43"/>
      <c r="R2" s="43"/>
      <c r="S2" s="43"/>
      <c r="T2" s="43"/>
      <c r="U2" s="43"/>
      <c r="V2" s="43"/>
      <c r="W2" s="43"/>
      <c r="X2" s="43"/>
      <c r="Y2" s="43"/>
      <c r="Z2" s="43"/>
      <c r="AA2" s="43"/>
      <c r="AB2" s="43"/>
      <c r="AC2" s="43"/>
      <c r="AD2" s="43"/>
      <c r="AE2" s="43"/>
      <c r="AF2" s="43"/>
      <c r="AG2" s="43"/>
      <c r="AH2" s="43"/>
      <c r="AI2" s="43"/>
      <c r="AJ2" s="43"/>
      <c r="AK2" s="43"/>
      <c r="AL2" s="43"/>
      <c r="AM2" s="43"/>
      <c r="AN2" s="43"/>
      <c r="AO2" s="43"/>
      <c r="AP2" s="43"/>
      <c r="AQ2" s="43"/>
      <c r="AR2" s="43"/>
      <c r="AS2" s="43"/>
      <c r="AT2" s="43"/>
      <c r="AU2" s="43"/>
      <c r="AV2" s="43"/>
      <c r="AW2" s="43"/>
      <c r="AX2" s="43"/>
      <c r="AY2" s="43"/>
      <c r="AZ2" s="43"/>
      <c r="BA2" s="43"/>
      <c r="BO2" t="s">
        <v>72</v>
      </c>
      <c r="BP2" s="1">
        <v>2024</v>
      </c>
      <c r="BS2" s="5">
        <f t="shared" ref="BS2:BS33" si="0">COUNTIF(BT:BT,BT2)-1</f>
        <v>0</v>
      </c>
      <c r="BT2" s="5" t="str">
        <f t="shared" ref="BT2:BT33" si="1">BU2&amp;BV2&amp;BW2</f>
        <v>2030E_Erwerb1</v>
      </c>
      <c r="BU2">
        <v>2030</v>
      </c>
      <c r="BV2" t="s">
        <v>74</v>
      </c>
      <c r="BW2">
        <v>1</v>
      </c>
      <c r="BX2">
        <v>2</v>
      </c>
      <c r="BY2" s="12">
        <v>0</v>
      </c>
      <c r="BZ2">
        <f>9/12</f>
        <v>0.75</v>
      </c>
      <c r="CA2"/>
      <c r="CD2" s="5" t="str">
        <f ca="1">INDEX(INDIRECT($BV2&amp;"[Zugehörigkeit Bezeichnung]"),MATCH($BW2,INDIRECT($BV2&amp;"[Id]"),0))</f>
        <v>Sheldon</v>
      </c>
      <c r="CE2" s="5" t="str">
        <f ca="1">INDEX(INDIRECT($BV2&amp;"[Titel]"),MATCH($BW2,INDIRECT($BV2&amp;"[Id]"),0))</f>
        <v>Einkommen aus Erwerbstätigkeit</v>
      </c>
      <c r="CF2" s="5" t="str">
        <f ca="1">_xlfn.TEXTJOIN(" - ",TRUE,CD2,CE2,CB2)</f>
        <v>Sheldon - Einkommen aus Erwerbstätigkeit</v>
      </c>
    </row>
    <row r="3" spans="1:85" ht="27.75" customHeight="1" x14ac:dyDescent="0.25">
      <c r="A3" s="47" t="s">
        <v>79</v>
      </c>
      <c r="B3" s="48"/>
      <c r="C3" s="49"/>
      <c r="D3" s="50"/>
      <c r="E3" s="51" t="s">
        <v>113</v>
      </c>
      <c r="F3" s="51">
        <f>BP2</f>
        <v>2024</v>
      </c>
      <c r="G3" s="51">
        <f>F3+1</f>
        <v>2025</v>
      </c>
      <c r="H3" s="51">
        <f t="shared" ref="H3:V3" si="2">G3+1</f>
        <v>2026</v>
      </c>
      <c r="I3" s="51">
        <f t="shared" si="2"/>
        <v>2027</v>
      </c>
      <c r="J3" s="51">
        <f t="shared" si="2"/>
        <v>2028</v>
      </c>
      <c r="K3" s="51">
        <f t="shared" si="2"/>
        <v>2029</v>
      </c>
      <c r="L3" s="51">
        <f t="shared" si="2"/>
        <v>2030</v>
      </c>
      <c r="M3" s="51">
        <f t="shared" si="2"/>
        <v>2031</v>
      </c>
      <c r="N3" s="51">
        <f t="shared" si="2"/>
        <v>2032</v>
      </c>
      <c r="O3" s="51">
        <f t="shared" si="2"/>
        <v>2033</v>
      </c>
      <c r="P3" s="51">
        <f t="shared" si="2"/>
        <v>2034</v>
      </c>
      <c r="Q3" s="51">
        <f t="shared" si="2"/>
        <v>2035</v>
      </c>
      <c r="R3" s="51">
        <f t="shared" si="2"/>
        <v>2036</v>
      </c>
      <c r="S3" s="51">
        <f t="shared" si="2"/>
        <v>2037</v>
      </c>
      <c r="T3" s="51">
        <f t="shared" si="2"/>
        <v>2038</v>
      </c>
      <c r="U3" s="51">
        <f t="shared" si="2"/>
        <v>2039</v>
      </c>
      <c r="V3" s="51">
        <f t="shared" si="2"/>
        <v>2040</v>
      </c>
      <c r="W3" s="51">
        <f>V3+1</f>
        <v>2041</v>
      </c>
      <c r="X3" s="51">
        <f t="shared" ref="X3:Z3" si="3">W3+1</f>
        <v>2042</v>
      </c>
      <c r="Y3" s="51">
        <f t="shared" si="3"/>
        <v>2043</v>
      </c>
      <c r="Z3" s="51">
        <f t="shared" si="3"/>
        <v>2044</v>
      </c>
      <c r="AA3" s="51">
        <f t="shared" ref="AA3:AG3" si="4">Z3+1</f>
        <v>2045</v>
      </c>
      <c r="AB3" s="51">
        <f t="shared" si="4"/>
        <v>2046</v>
      </c>
      <c r="AC3" s="51">
        <f t="shared" si="4"/>
        <v>2047</v>
      </c>
      <c r="AD3" s="51">
        <f t="shared" si="4"/>
        <v>2048</v>
      </c>
      <c r="AE3" s="51">
        <f t="shared" si="4"/>
        <v>2049</v>
      </c>
      <c r="AF3" s="51">
        <f t="shared" si="4"/>
        <v>2050</v>
      </c>
      <c r="AG3" s="51">
        <f t="shared" si="4"/>
        <v>2051</v>
      </c>
      <c r="AH3" s="51">
        <f t="shared" ref="AH3:AL3" si="5">AG3+1</f>
        <v>2052</v>
      </c>
      <c r="AI3" s="51">
        <f t="shared" si="5"/>
        <v>2053</v>
      </c>
      <c r="AJ3" s="51">
        <f t="shared" si="5"/>
        <v>2054</v>
      </c>
      <c r="AK3" s="51">
        <f t="shared" si="5"/>
        <v>2055</v>
      </c>
      <c r="AL3" s="51">
        <f t="shared" si="5"/>
        <v>2056</v>
      </c>
      <c r="AM3" s="51">
        <f t="shared" ref="AM3" si="6">AL3+1</f>
        <v>2057</v>
      </c>
      <c r="AN3" s="51">
        <f t="shared" ref="AN3" si="7">AM3+1</f>
        <v>2058</v>
      </c>
      <c r="AO3" s="51">
        <f t="shared" ref="AO3" si="8">AN3+1</f>
        <v>2059</v>
      </c>
      <c r="AP3" s="51">
        <f t="shared" ref="AP3" si="9">AO3+1</f>
        <v>2060</v>
      </c>
      <c r="AQ3" s="51">
        <f t="shared" ref="AQ3" si="10">AP3+1</f>
        <v>2061</v>
      </c>
      <c r="AR3" s="51">
        <f t="shared" ref="AR3" si="11">AQ3+1</f>
        <v>2062</v>
      </c>
      <c r="AS3" s="51">
        <f t="shared" ref="AS3" si="12">AR3+1</f>
        <v>2063</v>
      </c>
      <c r="AT3" s="51">
        <f t="shared" ref="AT3" si="13">AS3+1</f>
        <v>2064</v>
      </c>
      <c r="AU3" s="51">
        <f t="shared" ref="AU3" si="14">AT3+1</f>
        <v>2065</v>
      </c>
      <c r="AV3" s="51">
        <f t="shared" ref="AV3" si="15">AU3+1</f>
        <v>2066</v>
      </c>
      <c r="AW3" s="51">
        <f t="shared" ref="AW3" si="16">AV3+1</f>
        <v>2067</v>
      </c>
      <c r="AX3" s="51">
        <f t="shared" ref="AX3" si="17">AW3+1</f>
        <v>2068</v>
      </c>
      <c r="AY3" s="51">
        <f t="shared" ref="AY3" si="18">AX3+1</f>
        <v>2069</v>
      </c>
      <c r="AZ3" s="51">
        <f t="shared" ref="AZ3" si="19">AY3+1</f>
        <v>2070</v>
      </c>
      <c r="BA3" s="51">
        <f t="shared" ref="BA3" si="20">AZ3+1</f>
        <v>2071</v>
      </c>
      <c r="BO3" s="5" t="s">
        <v>71</v>
      </c>
      <c r="BP3" s="40">
        <v>100000</v>
      </c>
      <c r="BS3" s="5">
        <f t="shared" si="0"/>
        <v>0</v>
      </c>
      <c r="BT3" s="5" t="str">
        <f t="shared" si="1"/>
        <v>2031E_Erwerb1</v>
      </c>
      <c r="BU3">
        <v>2031</v>
      </c>
      <c r="BV3" t="s">
        <v>74</v>
      </c>
      <c r="BW3">
        <v>1</v>
      </c>
      <c r="BX3">
        <v>1</v>
      </c>
      <c r="BY3" s="12">
        <v>0</v>
      </c>
      <c r="BZ3">
        <f>+(0.8*4/12+1*8/12)</f>
        <v>0.93333333333333335</v>
      </c>
      <c r="CD3" s="5" t="str">
        <f t="shared" ref="CD3:CD67" ca="1" si="21">INDEX(INDIRECT($BV3&amp;"[Zugehörigkeit Bezeichnung]"),MATCH($BW3,INDIRECT($BV3&amp;"[Id]"),0))</f>
        <v>Sheldon</v>
      </c>
      <c r="CE3" s="5" t="str">
        <f t="shared" ref="CE3:CE67" ca="1" si="22">INDEX(INDIRECT($BV3&amp;"[Titel]"),MATCH($BW3,INDIRECT($BV3&amp;"[Id]"),0))</f>
        <v>Einkommen aus Erwerbstätigkeit</v>
      </c>
      <c r="CF3" s="5" t="str">
        <f t="shared" ref="CF3:CF66" ca="1" si="23">_xlfn.TEXTJOIN(" - ",TRUE,CD3,CE3,CB3)</f>
        <v>Sheldon - Einkommen aus Erwerbstätigkeit</v>
      </c>
      <c r="CG3" s="5"/>
    </row>
    <row r="4" spans="1:85" x14ac:dyDescent="0.25">
      <c r="A4" s="52" t="str">
        <f>PD_Bez1</f>
        <v>Sheldon</v>
      </c>
      <c r="B4" s="52"/>
      <c r="C4" s="53"/>
      <c r="D4" s="54"/>
      <c r="E4" s="54"/>
      <c r="F4" s="55">
        <f t="shared" ref="F4:AL4" si="24">F3-PD_Geb1</f>
        <v>58</v>
      </c>
      <c r="G4" s="55">
        <f t="shared" si="24"/>
        <v>59</v>
      </c>
      <c r="H4" s="55">
        <f t="shared" si="24"/>
        <v>60</v>
      </c>
      <c r="I4" s="55">
        <f t="shared" si="24"/>
        <v>61</v>
      </c>
      <c r="J4" s="55">
        <f t="shared" si="24"/>
        <v>62</v>
      </c>
      <c r="K4" s="55">
        <f t="shared" si="24"/>
        <v>63</v>
      </c>
      <c r="L4" s="55">
        <f t="shared" si="24"/>
        <v>64</v>
      </c>
      <c r="M4" s="55">
        <f t="shared" si="24"/>
        <v>65</v>
      </c>
      <c r="N4" s="55">
        <f t="shared" si="24"/>
        <v>66</v>
      </c>
      <c r="O4" s="55">
        <f t="shared" si="24"/>
        <v>67</v>
      </c>
      <c r="P4" s="55">
        <f t="shared" si="24"/>
        <v>68</v>
      </c>
      <c r="Q4" s="55">
        <f t="shared" si="24"/>
        <v>69</v>
      </c>
      <c r="R4" s="55">
        <f t="shared" si="24"/>
        <v>70</v>
      </c>
      <c r="S4" s="55">
        <f t="shared" si="24"/>
        <v>71</v>
      </c>
      <c r="T4" s="55">
        <f t="shared" si="24"/>
        <v>72</v>
      </c>
      <c r="U4" s="55">
        <f t="shared" si="24"/>
        <v>73</v>
      </c>
      <c r="V4" s="55">
        <f t="shared" si="24"/>
        <v>74</v>
      </c>
      <c r="W4" s="55">
        <f t="shared" si="24"/>
        <v>75</v>
      </c>
      <c r="X4" s="55">
        <f t="shared" si="24"/>
        <v>76</v>
      </c>
      <c r="Y4" s="55">
        <f t="shared" si="24"/>
        <v>77</v>
      </c>
      <c r="Z4" s="55">
        <f t="shared" si="24"/>
        <v>78</v>
      </c>
      <c r="AA4" s="55">
        <f t="shared" si="24"/>
        <v>79</v>
      </c>
      <c r="AB4" s="55">
        <f t="shared" si="24"/>
        <v>80</v>
      </c>
      <c r="AC4" s="55">
        <f t="shared" si="24"/>
        <v>81</v>
      </c>
      <c r="AD4" s="55">
        <f t="shared" si="24"/>
        <v>82</v>
      </c>
      <c r="AE4" s="55">
        <f t="shared" si="24"/>
        <v>83</v>
      </c>
      <c r="AF4" s="55">
        <f t="shared" si="24"/>
        <v>84</v>
      </c>
      <c r="AG4" s="55">
        <f t="shared" si="24"/>
        <v>85</v>
      </c>
      <c r="AH4" s="55">
        <f t="shared" si="24"/>
        <v>86</v>
      </c>
      <c r="AI4" s="55">
        <f t="shared" si="24"/>
        <v>87</v>
      </c>
      <c r="AJ4" s="55">
        <f t="shared" si="24"/>
        <v>88</v>
      </c>
      <c r="AK4" s="55">
        <f t="shared" si="24"/>
        <v>89</v>
      </c>
      <c r="AL4" s="55">
        <f t="shared" si="24"/>
        <v>90</v>
      </c>
      <c r="AM4" s="55">
        <f t="shared" ref="AM4:BA4" si="25">AM3-PD_Geb1</f>
        <v>91</v>
      </c>
      <c r="AN4" s="55">
        <f t="shared" si="25"/>
        <v>92</v>
      </c>
      <c r="AO4" s="55">
        <f t="shared" si="25"/>
        <v>93</v>
      </c>
      <c r="AP4" s="55">
        <f t="shared" si="25"/>
        <v>94</v>
      </c>
      <c r="AQ4" s="55">
        <f t="shared" si="25"/>
        <v>95</v>
      </c>
      <c r="AR4" s="55">
        <f t="shared" si="25"/>
        <v>96</v>
      </c>
      <c r="AS4" s="55">
        <f t="shared" si="25"/>
        <v>97</v>
      </c>
      <c r="AT4" s="55">
        <f t="shared" si="25"/>
        <v>98</v>
      </c>
      <c r="AU4" s="55">
        <f t="shared" si="25"/>
        <v>99</v>
      </c>
      <c r="AV4" s="55">
        <f t="shared" si="25"/>
        <v>100</v>
      </c>
      <c r="AW4" s="55">
        <f t="shared" si="25"/>
        <v>101</v>
      </c>
      <c r="AX4" s="55">
        <f t="shared" si="25"/>
        <v>102</v>
      </c>
      <c r="AY4" s="55">
        <f t="shared" si="25"/>
        <v>103</v>
      </c>
      <c r="AZ4" s="55">
        <f t="shared" si="25"/>
        <v>104</v>
      </c>
      <c r="BA4" s="55">
        <f t="shared" si="25"/>
        <v>105</v>
      </c>
      <c r="BB4" s="10"/>
      <c r="BC4" s="10"/>
      <c r="BD4" s="10"/>
      <c r="BE4" s="10"/>
      <c r="BF4" s="10"/>
      <c r="BG4" s="10"/>
      <c r="BH4" s="10"/>
      <c r="BI4" s="10"/>
      <c r="BJ4" s="10"/>
      <c r="BK4" s="10"/>
      <c r="BL4" s="10"/>
      <c r="BM4" s="10"/>
      <c r="BO4" t="s">
        <v>90</v>
      </c>
      <c r="BP4" s="1">
        <v>-15000</v>
      </c>
      <c r="BS4" s="5">
        <f t="shared" si="0"/>
        <v>0</v>
      </c>
      <c r="BT4" s="5" t="str">
        <f t="shared" si="1"/>
        <v>2028E_Erwerb2</v>
      </c>
      <c r="BU4">
        <v>2028</v>
      </c>
      <c r="BV4" t="s">
        <v>74</v>
      </c>
      <c r="BW4">
        <v>2</v>
      </c>
      <c r="BX4">
        <v>2</v>
      </c>
      <c r="BY4" s="12">
        <v>0</v>
      </c>
      <c r="BZ4">
        <f>+(0.8*4/12+1*8/12)</f>
        <v>0.93333333333333335</v>
      </c>
      <c r="CD4" s="5" t="str">
        <f t="shared" ca="1" si="21"/>
        <v>Amy</v>
      </c>
      <c r="CE4" s="5" t="str">
        <f t="shared" ca="1" si="22"/>
        <v>Einkommen aus Erwerbstätigkeit</v>
      </c>
      <c r="CF4" s="5" t="str">
        <f t="shared" ca="1" si="23"/>
        <v>Amy - Einkommen aus Erwerbstätigkeit</v>
      </c>
      <c r="CG4" s="5"/>
    </row>
    <row r="5" spans="1:85" x14ac:dyDescent="0.25">
      <c r="A5" s="52" t="str">
        <f>PD_Bez2</f>
        <v>Amy</v>
      </c>
      <c r="B5" s="52"/>
      <c r="C5" s="53"/>
      <c r="D5" s="54"/>
      <c r="E5" s="54"/>
      <c r="F5" s="55">
        <f t="shared" ref="F5:AL5" si="26">F3-PD_Geb2</f>
        <v>61</v>
      </c>
      <c r="G5" s="55">
        <f t="shared" si="26"/>
        <v>62</v>
      </c>
      <c r="H5" s="55">
        <f t="shared" si="26"/>
        <v>63</v>
      </c>
      <c r="I5" s="55">
        <f t="shared" si="26"/>
        <v>64</v>
      </c>
      <c r="J5" s="55">
        <f t="shared" si="26"/>
        <v>65</v>
      </c>
      <c r="K5" s="55">
        <f t="shared" si="26"/>
        <v>66</v>
      </c>
      <c r="L5" s="55">
        <f t="shared" si="26"/>
        <v>67</v>
      </c>
      <c r="M5" s="55">
        <f t="shared" si="26"/>
        <v>68</v>
      </c>
      <c r="N5" s="55">
        <f t="shared" si="26"/>
        <v>69</v>
      </c>
      <c r="O5" s="55">
        <f t="shared" si="26"/>
        <v>70</v>
      </c>
      <c r="P5" s="55">
        <f t="shared" si="26"/>
        <v>71</v>
      </c>
      <c r="Q5" s="55">
        <f t="shared" si="26"/>
        <v>72</v>
      </c>
      <c r="R5" s="55">
        <f t="shared" si="26"/>
        <v>73</v>
      </c>
      <c r="S5" s="55">
        <f t="shared" si="26"/>
        <v>74</v>
      </c>
      <c r="T5" s="55">
        <f t="shared" si="26"/>
        <v>75</v>
      </c>
      <c r="U5" s="55">
        <f t="shared" si="26"/>
        <v>76</v>
      </c>
      <c r="V5" s="55">
        <f t="shared" si="26"/>
        <v>77</v>
      </c>
      <c r="W5" s="55">
        <f t="shared" si="26"/>
        <v>78</v>
      </c>
      <c r="X5" s="55">
        <f t="shared" si="26"/>
        <v>79</v>
      </c>
      <c r="Y5" s="55">
        <f t="shared" si="26"/>
        <v>80</v>
      </c>
      <c r="Z5" s="55">
        <f t="shared" si="26"/>
        <v>81</v>
      </c>
      <c r="AA5" s="55">
        <f t="shared" si="26"/>
        <v>82</v>
      </c>
      <c r="AB5" s="55">
        <f t="shared" si="26"/>
        <v>83</v>
      </c>
      <c r="AC5" s="55">
        <f t="shared" si="26"/>
        <v>84</v>
      </c>
      <c r="AD5" s="55">
        <f t="shared" si="26"/>
        <v>85</v>
      </c>
      <c r="AE5" s="55">
        <f t="shared" si="26"/>
        <v>86</v>
      </c>
      <c r="AF5" s="55">
        <f t="shared" si="26"/>
        <v>87</v>
      </c>
      <c r="AG5" s="55">
        <f t="shared" si="26"/>
        <v>88</v>
      </c>
      <c r="AH5" s="55">
        <f t="shared" si="26"/>
        <v>89</v>
      </c>
      <c r="AI5" s="55">
        <f t="shared" si="26"/>
        <v>90</v>
      </c>
      <c r="AJ5" s="55">
        <f t="shared" si="26"/>
        <v>91</v>
      </c>
      <c r="AK5" s="55">
        <f t="shared" si="26"/>
        <v>92</v>
      </c>
      <c r="AL5" s="55">
        <f t="shared" si="26"/>
        <v>93</v>
      </c>
      <c r="AM5" s="55">
        <f t="shared" ref="AM5:BA5" si="27">AM3-PD_Geb2</f>
        <v>94</v>
      </c>
      <c r="AN5" s="55">
        <f t="shared" si="27"/>
        <v>95</v>
      </c>
      <c r="AO5" s="55">
        <f t="shared" si="27"/>
        <v>96</v>
      </c>
      <c r="AP5" s="55">
        <f t="shared" si="27"/>
        <v>97</v>
      </c>
      <c r="AQ5" s="55">
        <f t="shared" si="27"/>
        <v>98</v>
      </c>
      <c r="AR5" s="55">
        <f t="shared" si="27"/>
        <v>99</v>
      </c>
      <c r="AS5" s="55">
        <f t="shared" si="27"/>
        <v>100</v>
      </c>
      <c r="AT5" s="55">
        <f t="shared" si="27"/>
        <v>101</v>
      </c>
      <c r="AU5" s="55">
        <f t="shared" si="27"/>
        <v>102</v>
      </c>
      <c r="AV5" s="55">
        <f t="shared" si="27"/>
        <v>103</v>
      </c>
      <c r="AW5" s="55">
        <f t="shared" si="27"/>
        <v>104</v>
      </c>
      <c r="AX5" s="55">
        <f t="shared" si="27"/>
        <v>105</v>
      </c>
      <c r="AY5" s="55">
        <f t="shared" si="27"/>
        <v>106</v>
      </c>
      <c r="AZ5" s="55">
        <f t="shared" si="27"/>
        <v>107</v>
      </c>
      <c r="BA5" s="55">
        <f t="shared" si="27"/>
        <v>108</v>
      </c>
      <c r="BB5" s="10"/>
      <c r="BC5" s="10"/>
      <c r="BD5" s="10"/>
      <c r="BE5" s="10"/>
      <c r="BF5" s="10"/>
      <c r="BG5" s="10"/>
      <c r="BH5" s="10"/>
      <c r="BI5" s="10"/>
      <c r="BJ5" s="10"/>
      <c r="BK5" s="10"/>
      <c r="BL5" s="10"/>
      <c r="BM5" s="10"/>
      <c r="BS5" s="5">
        <f t="shared" si="0"/>
        <v>0</v>
      </c>
      <c r="BT5" s="5" t="str">
        <f t="shared" si="1"/>
        <v>2029E_Erwerb2</v>
      </c>
      <c r="BU5">
        <v>2029</v>
      </c>
      <c r="BV5" t="s">
        <v>74</v>
      </c>
      <c r="BW5">
        <v>2</v>
      </c>
      <c r="BX5">
        <v>2</v>
      </c>
      <c r="BZ5">
        <f>7/12</f>
        <v>0.58333333333333337</v>
      </c>
      <c r="CD5" s="5" t="str">
        <f t="shared" ca="1" si="21"/>
        <v>Amy</v>
      </c>
      <c r="CE5" s="5" t="str">
        <f t="shared" ca="1" si="22"/>
        <v>Einkommen aus Erwerbstätigkeit</v>
      </c>
      <c r="CF5" s="5" t="str">
        <f t="shared" ca="1" si="23"/>
        <v>Amy - Einkommen aus Erwerbstätigkeit</v>
      </c>
      <c r="CG5" s="5"/>
    </row>
    <row r="6" spans="1:85" ht="27.75" customHeight="1" x14ac:dyDescent="0.25">
      <c r="A6" s="56" t="s">
        <v>4</v>
      </c>
      <c r="B6" s="57" t="s">
        <v>74</v>
      </c>
      <c r="C6" s="53"/>
      <c r="D6" s="54"/>
      <c r="E6" s="54"/>
      <c r="F6" s="58">
        <f ca="1">SUM(F7:F19)</f>
        <v>200000</v>
      </c>
      <c r="G6" s="58">
        <f t="shared" ref="G6:BA6" ca="1" si="28">SUM(G7:G19)</f>
        <v>200000</v>
      </c>
      <c r="H6" s="58">
        <f t="shared" ca="1" si="28"/>
        <v>200000</v>
      </c>
      <c r="I6" s="58">
        <f t="shared" ca="1" si="28"/>
        <v>200000</v>
      </c>
      <c r="J6" s="58">
        <f t="shared" ca="1" si="28"/>
        <v>197055.11666666667</v>
      </c>
      <c r="K6" s="58">
        <f t="shared" ca="1" si="28"/>
        <v>194219.22222222225</v>
      </c>
      <c r="L6" s="58">
        <f t="shared" ca="1" si="28"/>
        <v>184567.16592534399</v>
      </c>
      <c r="M6" s="58">
        <f t="shared" ca="1" si="28"/>
        <v>114317.165925344</v>
      </c>
      <c r="N6" s="58">
        <f t="shared" ca="1" si="28"/>
        <v>103992.165925344</v>
      </c>
      <c r="O6" s="58">
        <f t="shared" ca="1" si="28"/>
        <v>115017.165925344</v>
      </c>
      <c r="P6" s="58">
        <f t="shared" ca="1" si="28"/>
        <v>115017.165925344</v>
      </c>
      <c r="Q6" s="58">
        <f t="shared" ca="1" si="28"/>
        <v>115017.165925344</v>
      </c>
      <c r="R6" s="58">
        <f t="shared" ca="1" si="28"/>
        <v>115017.165925344</v>
      </c>
      <c r="S6" s="58">
        <f t="shared" ca="1" si="28"/>
        <v>115017.165925344</v>
      </c>
      <c r="T6" s="58">
        <f t="shared" ca="1" si="28"/>
        <v>115017.165925344</v>
      </c>
      <c r="U6" s="58">
        <f t="shared" ca="1" si="28"/>
        <v>115017.165925344</v>
      </c>
      <c r="V6" s="58">
        <f t="shared" ca="1" si="28"/>
        <v>115017.165925344</v>
      </c>
      <c r="W6" s="58">
        <f t="shared" ca="1" si="28"/>
        <v>115017.165925344</v>
      </c>
      <c r="X6" s="58">
        <f t="shared" ca="1" si="28"/>
        <v>115017.165925344</v>
      </c>
      <c r="Y6" s="58">
        <f t="shared" ca="1" si="28"/>
        <v>115017.165925344</v>
      </c>
      <c r="Z6" s="58">
        <f t="shared" ca="1" si="28"/>
        <v>115017.165925344</v>
      </c>
      <c r="AA6" s="58">
        <f t="shared" ca="1" si="28"/>
        <v>115017.165925344</v>
      </c>
      <c r="AB6" s="58">
        <f t="shared" ca="1" si="28"/>
        <v>115017.165925344</v>
      </c>
      <c r="AC6" s="58">
        <f t="shared" ca="1" si="28"/>
        <v>115017.165925344</v>
      </c>
      <c r="AD6" s="58">
        <f t="shared" ca="1" si="28"/>
        <v>115017.165925344</v>
      </c>
      <c r="AE6" s="58">
        <f t="shared" ca="1" si="28"/>
        <v>115017.165925344</v>
      </c>
      <c r="AF6" s="58">
        <f t="shared" ca="1" si="28"/>
        <v>115017.165925344</v>
      </c>
      <c r="AG6" s="58">
        <f t="shared" ca="1" si="28"/>
        <v>115017.165925344</v>
      </c>
      <c r="AH6" s="58">
        <f t="shared" ca="1" si="28"/>
        <v>115017.165925344</v>
      </c>
      <c r="AI6" s="58">
        <f t="shared" ca="1" si="28"/>
        <v>115017.165925344</v>
      </c>
      <c r="AJ6" s="58">
        <f t="shared" ca="1" si="28"/>
        <v>115017.165925344</v>
      </c>
      <c r="AK6" s="58">
        <f t="shared" ca="1" si="28"/>
        <v>115017.165925344</v>
      </c>
      <c r="AL6" s="58">
        <f t="shared" ca="1" si="28"/>
        <v>115017.165925344</v>
      </c>
      <c r="AM6" s="58">
        <f t="shared" ca="1" si="28"/>
        <v>115017.165925344</v>
      </c>
      <c r="AN6" s="58">
        <f t="shared" ca="1" si="28"/>
        <v>115017.165925344</v>
      </c>
      <c r="AO6" s="58">
        <f t="shared" ca="1" si="28"/>
        <v>115017.165925344</v>
      </c>
      <c r="AP6" s="58">
        <f t="shared" ca="1" si="28"/>
        <v>115017.165925344</v>
      </c>
      <c r="AQ6" s="58">
        <f t="shared" ca="1" si="28"/>
        <v>115017.165925344</v>
      </c>
      <c r="AR6" s="58">
        <f t="shared" ca="1" si="28"/>
        <v>115017.165925344</v>
      </c>
      <c r="AS6" s="58">
        <f t="shared" ca="1" si="28"/>
        <v>115017.165925344</v>
      </c>
      <c r="AT6" s="58">
        <f t="shared" ca="1" si="28"/>
        <v>115017.165925344</v>
      </c>
      <c r="AU6" s="58">
        <f t="shared" ca="1" si="28"/>
        <v>115017.165925344</v>
      </c>
      <c r="AV6" s="58">
        <f t="shared" ca="1" si="28"/>
        <v>115017.165925344</v>
      </c>
      <c r="AW6" s="58">
        <f t="shared" ca="1" si="28"/>
        <v>115017.165925344</v>
      </c>
      <c r="AX6" s="58">
        <f t="shared" ca="1" si="28"/>
        <v>115017.165925344</v>
      </c>
      <c r="AY6" s="58">
        <f t="shared" ca="1" si="28"/>
        <v>115017.165925344</v>
      </c>
      <c r="AZ6" s="58">
        <f t="shared" ca="1" si="28"/>
        <v>115017.165925344</v>
      </c>
      <c r="BA6" s="58">
        <f t="shared" ca="1" si="28"/>
        <v>115017.165925344</v>
      </c>
      <c r="BS6" s="5">
        <f t="shared" si="0"/>
        <v>0</v>
      </c>
      <c r="BT6" s="5" t="str">
        <f t="shared" si="1"/>
        <v>2030E_Erwerb2</v>
      </c>
      <c r="BU6">
        <v>2030</v>
      </c>
      <c r="BV6" t="s">
        <v>74</v>
      </c>
      <c r="BW6">
        <v>2</v>
      </c>
      <c r="BX6">
        <v>1</v>
      </c>
      <c r="BY6" s="12">
        <v>0</v>
      </c>
      <c r="CD6" s="5" t="str">
        <f t="shared" ca="1" si="21"/>
        <v>Amy</v>
      </c>
      <c r="CE6" s="5" t="str">
        <f t="shared" ca="1" si="22"/>
        <v>Einkommen aus Erwerbstätigkeit</v>
      </c>
      <c r="CF6" s="5" t="str">
        <f t="shared" ca="1" si="23"/>
        <v>Amy - Einkommen aus Erwerbstätigkeit</v>
      </c>
      <c r="CG6" s="5"/>
    </row>
    <row r="7" spans="1:85" x14ac:dyDescent="0.25">
      <c r="A7" s="57" t="str" cm="1">
        <f t="array" aca="1" ref="A7:A14" ca="1">INDIRECT($B6&amp;"[Titel]")</f>
        <v>Einkommen aus Erwerbstätigkeit</v>
      </c>
      <c r="B7" s="57" cm="1">
        <f t="array" aca="1" ref="B7:B14" ca="1">INDIRECT($B6&amp;"[Id]")</f>
        <v>2</v>
      </c>
      <c r="C7" s="53" t="str" cm="1">
        <f t="array" aca="1" ref="C7:C14" ca="1">INDIRECT($B6&amp;"[Zugehörigkeit Bezeichnung]")</f>
        <v>Amy</v>
      </c>
      <c r="D7" s="54" cm="1">
        <f t="array" aca="1" ref="D7:D14" ca="1">INDIRECT($B6&amp;"[Rendite / Zins]")</f>
        <v>0</v>
      </c>
      <c r="E7" s="54"/>
      <c r="F7" s="59" cm="1">
        <f t="array" aca="1" ref="F7:F14" ca="1">INDIRECT($B6&amp;"[Betrag]")</f>
        <v>110000</v>
      </c>
      <c r="G7" s="59" cm="1">
        <f t="array" aca="1" ref="G7:G14" ca="1">_xlfn.SWITCH(IFERROR(VLOOKUP(G$3&amp;$B$6&amp;_xlfn.ANCHORARRAY($B7),$BT:$CA,5,0),0),
0,_xlfn.ANCHORARRAY(F7)*(1+_xlfn.ANCHORARRAY($D7))+SUMIF($BT:$BT,G$3&amp;$B$6&amp;_xlfn.ANCHORARRAY($B7),$CA:$CA),
1,VLOOKUP(G$3&amp;$B$6&amp;_xlfn.ANCHORARRAY($B7),$BT:$CA,6,0),
2,_xlfn.ANCHORARRAY(F7)*(1+_xlfn.ANCHORARRAY($D7))*VLOOKUP(G$3&amp;$B$6&amp;_xlfn.ANCHORARRAY($B7),$BT:$CA,7,0))</f>
        <v>110000</v>
      </c>
      <c r="H7" s="59" cm="1">
        <f t="array" aca="1" ref="H7:H14" ca="1">_xlfn.SWITCH(IFERROR(VLOOKUP(H$3&amp;$B$6&amp;_xlfn.ANCHORARRAY($B7),$BT:$CA,5,0),0),
0,_xlfn.ANCHORARRAY(G7)*(1+_xlfn.ANCHORARRAY($D7))+SUMIF($BT:$BT,H$3&amp;$B$6&amp;_xlfn.ANCHORARRAY($B7),$CA:$CA),
1,VLOOKUP(H$3&amp;$B$6&amp;_xlfn.ANCHORARRAY($B7),$BT:$CA,6,0),
2,_xlfn.ANCHORARRAY(G7)*(1+_xlfn.ANCHORARRAY($D7))*VLOOKUP(H$3&amp;$B$6&amp;_xlfn.ANCHORARRAY($B7),$BT:$CA,7,0))</f>
        <v>110000</v>
      </c>
      <c r="I7" s="59" cm="1">
        <f t="array" aca="1" ref="I7:I14" ca="1">_xlfn.SWITCH(IFERROR(VLOOKUP(I$3&amp;$B$6&amp;_xlfn.ANCHORARRAY($B7),$BT:$CA,5,0),0),
0,_xlfn.ANCHORARRAY(H7)*(1+_xlfn.ANCHORARRAY($D7))+SUMIF($BT:$BT,I$3&amp;$B$6&amp;_xlfn.ANCHORARRAY($B7),$CA:$CA),
1,VLOOKUP(I$3&amp;$B$6&amp;_xlfn.ANCHORARRAY($B7),$BT:$CA,6,0),
2,_xlfn.ANCHORARRAY(H7)*(1+_xlfn.ANCHORARRAY($D7))*VLOOKUP(I$3&amp;$B$6&amp;_xlfn.ANCHORARRAY($B7),$BT:$CA,7,0))</f>
        <v>110000</v>
      </c>
      <c r="J7" s="59" cm="1">
        <f t="array" aca="1" ref="J7:J14" ca="1">_xlfn.SWITCH(IFERROR(VLOOKUP(J$3&amp;$B$6&amp;_xlfn.ANCHORARRAY($B7),$BT:$CA,5,0),0),
0,_xlfn.ANCHORARRAY(I7)*(1+_xlfn.ANCHORARRAY($D7))+SUMIF($BT:$BT,J$3&amp;$B$6&amp;_xlfn.ANCHORARRAY($B7),$CA:$CA),
1,VLOOKUP(J$3&amp;$B$6&amp;_xlfn.ANCHORARRAY($B7),$BT:$CA,6,0),
2,_xlfn.ANCHORARRAY(I7)*(1+_xlfn.ANCHORARRAY($D7))*VLOOKUP(J$3&amp;$B$6&amp;_xlfn.ANCHORARRAY($B7),$BT:$CA,7,0))</f>
        <v>102666.66666666667</v>
      </c>
      <c r="K7" s="59" cm="1">
        <f t="array" aca="1" ref="K7:K14" ca="1">_xlfn.SWITCH(IFERROR(VLOOKUP(K$3&amp;$B$6&amp;_xlfn.ANCHORARRAY($B7),$BT:$CA,5,0),0),
0,_xlfn.ANCHORARRAY(J7)*(1+_xlfn.ANCHORARRAY($D7))+SUMIF($BT:$BT,K$3&amp;$B$6&amp;_xlfn.ANCHORARRAY($B7),$CA:$CA),
1,VLOOKUP(K$3&amp;$B$6&amp;_xlfn.ANCHORARRAY($B7),$BT:$CA,6,0),
2,_xlfn.ANCHORARRAY(J7)*(1+_xlfn.ANCHORARRAY($D7))*VLOOKUP(K$3&amp;$B$6&amp;_xlfn.ANCHORARRAY($B7),$BT:$CA,7,0))</f>
        <v>59888.888888888898</v>
      </c>
      <c r="L7" s="59" cm="1">
        <f t="array" aca="1" ref="L7:L14" ca="1">_xlfn.SWITCH(IFERROR(VLOOKUP(L$3&amp;$B$6&amp;_xlfn.ANCHORARRAY($B7),$BT:$CA,5,0),0),
0,_xlfn.ANCHORARRAY(K7)*(1+_xlfn.ANCHORARRAY($D7))+SUMIF($BT:$BT,L$3&amp;$B$6&amp;_xlfn.ANCHORARRAY($B7),$CA:$CA),
1,VLOOKUP(L$3&amp;$B$6&amp;_xlfn.ANCHORARRAY($B7),$BT:$CA,6,0),
2,_xlfn.ANCHORARRAY(K7)*(1+_xlfn.ANCHORARRAY($D7))*VLOOKUP(L$3&amp;$B$6&amp;_xlfn.ANCHORARRAY($B7),$BT:$CA,7,0))</f>
        <v>0</v>
      </c>
      <c r="M7" s="59" cm="1">
        <f t="array" aca="1" ref="M7:M14" ca="1">_xlfn.SWITCH(IFERROR(VLOOKUP(M$3&amp;$B$6&amp;_xlfn.ANCHORARRAY($B7),$BT:$CA,5,0),0),
0,_xlfn.ANCHORARRAY(L7)*(1+_xlfn.ANCHORARRAY($D7))+SUMIF($BT:$BT,M$3&amp;$B$6&amp;_xlfn.ANCHORARRAY($B7),$CA:$CA),
1,VLOOKUP(M$3&amp;$B$6&amp;_xlfn.ANCHORARRAY($B7),$BT:$CA,6,0),
2,_xlfn.ANCHORARRAY(L7)*(1+_xlfn.ANCHORARRAY($D7))*VLOOKUP(M$3&amp;$B$6&amp;_xlfn.ANCHORARRAY($B7),$BT:$CA,7,0))</f>
        <v>0</v>
      </c>
      <c r="N7" s="59" cm="1">
        <f t="array" aca="1" ref="N7:N14" ca="1">_xlfn.SWITCH(IFERROR(VLOOKUP(N$3&amp;$B$6&amp;_xlfn.ANCHORARRAY($B7),$BT:$CA,5,0),0),
0,_xlfn.ANCHORARRAY(M7)*(1+_xlfn.ANCHORARRAY($D7))+SUMIF($BT:$BT,N$3&amp;$B$6&amp;_xlfn.ANCHORARRAY($B7),$CA:$CA),
1,VLOOKUP(N$3&amp;$B$6&amp;_xlfn.ANCHORARRAY($B7),$BT:$CA,6,0),
2,_xlfn.ANCHORARRAY(M7)*(1+_xlfn.ANCHORARRAY($D7))*VLOOKUP(N$3&amp;$B$6&amp;_xlfn.ANCHORARRAY($B7),$BT:$CA,7,0))</f>
        <v>0</v>
      </c>
      <c r="O7" s="59" cm="1">
        <f t="array" aca="1" ref="O7:O14" ca="1">_xlfn.SWITCH(IFERROR(VLOOKUP(O$3&amp;$B$6&amp;_xlfn.ANCHORARRAY($B7),$BT:$CA,5,0),0),
0,_xlfn.ANCHORARRAY(N7)*(1+_xlfn.ANCHORARRAY($D7))+SUMIF($BT:$BT,O$3&amp;$B$6&amp;_xlfn.ANCHORARRAY($B7),$CA:$CA),
1,VLOOKUP(O$3&amp;$B$6&amp;_xlfn.ANCHORARRAY($B7),$BT:$CA,6,0),
2,_xlfn.ANCHORARRAY(N7)*(1+_xlfn.ANCHORARRAY($D7))*VLOOKUP(O$3&amp;$B$6&amp;_xlfn.ANCHORARRAY($B7),$BT:$CA,7,0))</f>
        <v>0</v>
      </c>
      <c r="P7" s="59" cm="1">
        <f t="array" aca="1" ref="P7:P14" ca="1">_xlfn.SWITCH(IFERROR(VLOOKUP(P$3&amp;$B$6&amp;_xlfn.ANCHORARRAY($B7),$BT:$CA,5,0),0),
0,_xlfn.ANCHORARRAY(O7)*(1+_xlfn.ANCHORARRAY($D7))+SUMIF($BT:$BT,P$3&amp;$B$6&amp;_xlfn.ANCHORARRAY($B7),$CA:$CA),
1,VLOOKUP(P$3&amp;$B$6&amp;_xlfn.ANCHORARRAY($B7),$BT:$CA,6,0),
2,_xlfn.ANCHORARRAY(O7)*(1+_xlfn.ANCHORARRAY($D7))*VLOOKUP(P$3&amp;$B$6&amp;_xlfn.ANCHORARRAY($B7),$BT:$CA,7,0))</f>
        <v>0</v>
      </c>
      <c r="Q7" s="59" cm="1">
        <f t="array" aca="1" ref="Q7:Q14" ca="1">_xlfn.SWITCH(IFERROR(VLOOKUP(Q$3&amp;$B$6&amp;_xlfn.ANCHORARRAY($B7),$BT:$CA,5,0),0),
0,_xlfn.ANCHORARRAY(P7)*(1+_xlfn.ANCHORARRAY($D7))+SUMIF($BT:$BT,Q$3&amp;$B$6&amp;_xlfn.ANCHORARRAY($B7),$CA:$CA),
1,VLOOKUP(Q$3&amp;$B$6&amp;_xlfn.ANCHORARRAY($B7),$BT:$CA,6,0),
2,_xlfn.ANCHORARRAY(P7)*(1+_xlfn.ANCHORARRAY($D7))*VLOOKUP(Q$3&amp;$B$6&amp;_xlfn.ANCHORARRAY($B7),$BT:$CA,7,0))</f>
        <v>0</v>
      </c>
      <c r="R7" s="59" cm="1">
        <f t="array" aca="1" ref="R7:R14" ca="1">_xlfn.SWITCH(IFERROR(VLOOKUP(R$3&amp;$B$6&amp;_xlfn.ANCHORARRAY($B7),$BT:$CA,5,0),0),
0,_xlfn.ANCHORARRAY(Q7)*(1+_xlfn.ANCHORARRAY($D7))+SUMIF($BT:$BT,R$3&amp;$B$6&amp;_xlfn.ANCHORARRAY($B7),$CA:$CA),
1,VLOOKUP(R$3&amp;$B$6&amp;_xlfn.ANCHORARRAY($B7),$BT:$CA,6,0),
2,_xlfn.ANCHORARRAY(Q7)*(1+_xlfn.ANCHORARRAY($D7))*VLOOKUP(R$3&amp;$B$6&amp;_xlfn.ANCHORARRAY($B7),$BT:$CA,7,0))</f>
        <v>0</v>
      </c>
      <c r="S7" s="59" cm="1">
        <f t="array" aca="1" ref="S7:S14" ca="1">_xlfn.SWITCH(IFERROR(VLOOKUP(S$3&amp;$B$6&amp;_xlfn.ANCHORARRAY($B7),$BT:$CA,5,0),0),
0,_xlfn.ANCHORARRAY(R7)*(1+_xlfn.ANCHORARRAY($D7))+SUMIF($BT:$BT,S$3&amp;$B$6&amp;_xlfn.ANCHORARRAY($B7),$CA:$CA),
1,VLOOKUP(S$3&amp;$B$6&amp;_xlfn.ANCHORARRAY($B7),$BT:$CA,6,0),
2,_xlfn.ANCHORARRAY(R7)*(1+_xlfn.ANCHORARRAY($D7))*VLOOKUP(S$3&amp;$B$6&amp;_xlfn.ANCHORARRAY($B7),$BT:$CA,7,0))</f>
        <v>0</v>
      </c>
      <c r="T7" s="59" cm="1">
        <f t="array" aca="1" ref="T7:T14" ca="1">_xlfn.SWITCH(IFERROR(VLOOKUP(T$3&amp;$B$6&amp;_xlfn.ANCHORARRAY($B7),$BT:$CA,5,0),0),
0,_xlfn.ANCHORARRAY(S7)*(1+_xlfn.ANCHORARRAY($D7))+SUMIF($BT:$BT,T$3&amp;$B$6&amp;_xlfn.ANCHORARRAY($B7),$CA:$CA),
1,VLOOKUP(T$3&amp;$B$6&amp;_xlfn.ANCHORARRAY($B7),$BT:$CA,6,0),
2,_xlfn.ANCHORARRAY(S7)*(1+_xlfn.ANCHORARRAY($D7))*VLOOKUP(T$3&amp;$B$6&amp;_xlfn.ANCHORARRAY($B7),$BT:$CA,7,0))</f>
        <v>0</v>
      </c>
      <c r="U7" s="59" cm="1">
        <f t="array" aca="1" ref="U7:U14" ca="1">_xlfn.SWITCH(IFERROR(VLOOKUP(U$3&amp;$B$6&amp;_xlfn.ANCHORARRAY($B7),$BT:$CA,5,0),0),
0,_xlfn.ANCHORARRAY(T7)*(1+_xlfn.ANCHORARRAY($D7))+SUMIF($BT:$BT,U$3&amp;$B$6&amp;_xlfn.ANCHORARRAY($B7),$CA:$CA),
1,VLOOKUP(U$3&amp;$B$6&amp;_xlfn.ANCHORARRAY($B7),$BT:$CA,6,0),
2,_xlfn.ANCHORARRAY(T7)*(1+_xlfn.ANCHORARRAY($D7))*VLOOKUP(U$3&amp;$B$6&amp;_xlfn.ANCHORARRAY($B7),$BT:$CA,7,0))</f>
        <v>0</v>
      </c>
      <c r="V7" s="59" cm="1">
        <f t="array" aca="1" ref="V7:V14" ca="1">_xlfn.SWITCH(IFERROR(VLOOKUP(V$3&amp;$B$6&amp;_xlfn.ANCHORARRAY($B7),$BT:$CA,5,0),0),
0,_xlfn.ANCHORARRAY(U7)*(1+_xlfn.ANCHORARRAY($D7))+SUMIF($BT:$BT,V$3&amp;$B$6&amp;_xlfn.ANCHORARRAY($B7),$CA:$CA),
1,VLOOKUP(V$3&amp;$B$6&amp;_xlfn.ANCHORARRAY($B7),$BT:$CA,6,0),
2,_xlfn.ANCHORARRAY(U7)*(1+_xlfn.ANCHORARRAY($D7))*VLOOKUP(V$3&amp;$B$6&amp;_xlfn.ANCHORARRAY($B7),$BT:$CA,7,0))</f>
        <v>0</v>
      </c>
      <c r="W7" s="59" cm="1">
        <f t="array" aca="1" ref="W7:W14" ca="1">_xlfn.SWITCH(IFERROR(VLOOKUP(W$3&amp;$B$6&amp;_xlfn.ANCHORARRAY($B7),$BT:$CA,5,0),0),
0,_xlfn.ANCHORARRAY(V7)*(1+_xlfn.ANCHORARRAY($D7))+SUMIF($BT:$BT,W$3&amp;$B$6&amp;_xlfn.ANCHORARRAY($B7),$CA:$CA),
1,VLOOKUP(W$3&amp;$B$6&amp;_xlfn.ANCHORARRAY($B7),$BT:$CA,6,0),
2,_xlfn.ANCHORARRAY(V7)*(1+_xlfn.ANCHORARRAY($D7))*VLOOKUP(W$3&amp;$B$6&amp;_xlfn.ANCHORARRAY($B7),$BT:$CA,7,0))</f>
        <v>0</v>
      </c>
      <c r="X7" s="59" cm="1">
        <f t="array" aca="1" ref="X7:X14" ca="1">_xlfn.SWITCH(IFERROR(VLOOKUP(X$3&amp;$B$6&amp;_xlfn.ANCHORARRAY($B7),$BT:$CA,5,0),0),
0,_xlfn.ANCHORARRAY(W7)*(1+_xlfn.ANCHORARRAY($D7))+SUMIF($BT:$BT,X$3&amp;$B$6&amp;_xlfn.ANCHORARRAY($B7),$CA:$CA),
1,VLOOKUP(X$3&amp;$B$6&amp;_xlfn.ANCHORARRAY($B7),$BT:$CA,6,0),
2,_xlfn.ANCHORARRAY(W7)*(1+_xlfn.ANCHORARRAY($D7))*VLOOKUP(X$3&amp;$B$6&amp;_xlfn.ANCHORARRAY($B7),$BT:$CA,7,0))</f>
        <v>0</v>
      </c>
      <c r="Y7" s="59" cm="1">
        <f t="array" aca="1" ref="Y7:Y14" ca="1">_xlfn.SWITCH(IFERROR(VLOOKUP(Y$3&amp;$B$6&amp;_xlfn.ANCHORARRAY($B7),$BT:$CA,5,0),0),
0,_xlfn.ANCHORARRAY(X7)*(1+_xlfn.ANCHORARRAY($D7))+SUMIF($BT:$BT,Y$3&amp;$B$6&amp;_xlfn.ANCHORARRAY($B7),$CA:$CA),
1,VLOOKUP(Y$3&amp;$B$6&amp;_xlfn.ANCHORARRAY($B7),$BT:$CA,6,0),
2,_xlfn.ANCHORARRAY(X7)*(1+_xlfn.ANCHORARRAY($D7))*VLOOKUP(Y$3&amp;$B$6&amp;_xlfn.ANCHORARRAY($B7),$BT:$CA,7,0))</f>
        <v>0</v>
      </c>
      <c r="Z7" s="59" cm="1">
        <f t="array" aca="1" ref="Z7:Z14" ca="1">_xlfn.SWITCH(IFERROR(VLOOKUP(Z$3&amp;$B$6&amp;_xlfn.ANCHORARRAY($B7),$BT:$CA,5,0),0),
0,_xlfn.ANCHORARRAY(Y7)*(1+_xlfn.ANCHORARRAY($D7))+SUMIF($BT:$BT,Z$3&amp;$B$6&amp;_xlfn.ANCHORARRAY($B7),$CA:$CA),
1,VLOOKUP(Z$3&amp;$B$6&amp;_xlfn.ANCHORARRAY($B7),$BT:$CA,6,0),
2,_xlfn.ANCHORARRAY(Y7)*(1+_xlfn.ANCHORARRAY($D7))*VLOOKUP(Z$3&amp;$B$6&amp;_xlfn.ANCHORARRAY($B7),$BT:$CA,7,0))</f>
        <v>0</v>
      </c>
      <c r="AA7" s="59" cm="1">
        <f t="array" aca="1" ref="AA7:AA14" ca="1">_xlfn.SWITCH(IFERROR(VLOOKUP(AA$3&amp;$B$6&amp;_xlfn.ANCHORARRAY($B7),$BT:$CA,5,0),0),
0,_xlfn.ANCHORARRAY(Z7)*(1+_xlfn.ANCHORARRAY($D7))+SUMIF($BT:$BT,AA$3&amp;$B$6&amp;_xlfn.ANCHORARRAY($B7),$CA:$CA),
1,VLOOKUP(AA$3&amp;$B$6&amp;_xlfn.ANCHORARRAY($B7),$BT:$CA,6,0),
2,_xlfn.ANCHORARRAY(Z7)*(1+_xlfn.ANCHORARRAY($D7))*VLOOKUP(AA$3&amp;$B$6&amp;_xlfn.ANCHORARRAY($B7),$BT:$CA,7,0))</f>
        <v>0</v>
      </c>
      <c r="AB7" s="59" cm="1">
        <f t="array" aca="1" ref="AB7:AB14" ca="1">_xlfn.SWITCH(IFERROR(VLOOKUP(AB$3&amp;$B$6&amp;_xlfn.ANCHORARRAY($B7),$BT:$CA,5,0),0),
0,_xlfn.ANCHORARRAY(AA7)*(1+_xlfn.ANCHORARRAY($D7))+SUMIF($BT:$BT,AB$3&amp;$B$6&amp;_xlfn.ANCHORARRAY($B7),$CA:$CA),
1,VLOOKUP(AB$3&amp;$B$6&amp;_xlfn.ANCHORARRAY($B7),$BT:$CA,6,0),
2,_xlfn.ANCHORARRAY(AA7)*(1+_xlfn.ANCHORARRAY($D7))*VLOOKUP(AB$3&amp;$B$6&amp;_xlfn.ANCHORARRAY($B7),$BT:$CA,7,0))</f>
        <v>0</v>
      </c>
      <c r="AC7" s="59" cm="1">
        <f t="array" aca="1" ref="AC7:AC14" ca="1">_xlfn.SWITCH(IFERROR(VLOOKUP(AC$3&amp;$B$6&amp;_xlfn.ANCHORARRAY($B7),$BT:$CA,5,0),0),
0,_xlfn.ANCHORARRAY(AB7)*(1+_xlfn.ANCHORARRAY($D7))+SUMIF($BT:$BT,AC$3&amp;$B$6&amp;_xlfn.ANCHORARRAY($B7),$CA:$CA),
1,VLOOKUP(AC$3&amp;$B$6&amp;_xlfn.ANCHORARRAY($B7),$BT:$CA,6,0),
2,_xlfn.ANCHORARRAY(AB7)*(1+_xlfn.ANCHORARRAY($D7))*VLOOKUP(AC$3&amp;$B$6&amp;_xlfn.ANCHORARRAY($B7),$BT:$CA,7,0))</f>
        <v>0</v>
      </c>
      <c r="AD7" s="59" cm="1">
        <f t="array" aca="1" ref="AD7:AD14" ca="1">_xlfn.SWITCH(IFERROR(VLOOKUP(AD$3&amp;$B$6&amp;_xlfn.ANCHORARRAY($B7),$BT:$CA,5,0),0),
0,_xlfn.ANCHORARRAY(AC7)*(1+_xlfn.ANCHORARRAY($D7))+SUMIF($BT:$BT,AD$3&amp;$B$6&amp;_xlfn.ANCHORARRAY($B7),$CA:$CA),
1,VLOOKUP(AD$3&amp;$B$6&amp;_xlfn.ANCHORARRAY($B7),$BT:$CA,6,0),
2,_xlfn.ANCHORARRAY(AC7)*(1+_xlfn.ANCHORARRAY($D7))*VLOOKUP(AD$3&amp;$B$6&amp;_xlfn.ANCHORARRAY($B7),$BT:$CA,7,0))</f>
        <v>0</v>
      </c>
      <c r="AE7" s="59" cm="1">
        <f t="array" aca="1" ref="AE7:AE14" ca="1">_xlfn.SWITCH(IFERROR(VLOOKUP(AE$3&amp;$B$6&amp;_xlfn.ANCHORARRAY($B7),$BT:$CA,5,0),0),
0,_xlfn.ANCHORARRAY(AD7)*(1+_xlfn.ANCHORARRAY($D7))+SUMIF($BT:$BT,AE$3&amp;$B$6&amp;_xlfn.ANCHORARRAY($B7),$CA:$CA),
1,VLOOKUP(AE$3&amp;$B$6&amp;_xlfn.ANCHORARRAY($B7),$BT:$CA,6,0),
2,_xlfn.ANCHORARRAY(AD7)*(1+_xlfn.ANCHORARRAY($D7))*VLOOKUP(AE$3&amp;$B$6&amp;_xlfn.ANCHORARRAY($B7),$BT:$CA,7,0))</f>
        <v>0</v>
      </c>
      <c r="AF7" s="59" cm="1">
        <f t="array" aca="1" ref="AF7:AF14" ca="1">_xlfn.SWITCH(IFERROR(VLOOKUP(AF$3&amp;$B$6&amp;_xlfn.ANCHORARRAY($B7),$BT:$CA,5,0),0),
0,_xlfn.ANCHORARRAY(AE7)*(1+_xlfn.ANCHORARRAY($D7))+SUMIF($BT:$BT,AF$3&amp;$B$6&amp;_xlfn.ANCHORARRAY($B7),$CA:$CA),
1,VLOOKUP(AF$3&amp;$B$6&amp;_xlfn.ANCHORARRAY($B7),$BT:$CA,6,0),
2,_xlfn.ANCHORARRAY(AE7)*(1+_xlfn.ANCHORARRAY($D7))*VLOOKUP(AF$3&amp;$B$6&amp;_xlfn.ANCHORARRAY($B7),$BT:$CA,7,0))</f>
        <v>0</v>
      </c>
      <c r="AG7" s="59" cm="1">
        <f t="array" aca="1" ref="AG7:AG14" ca="1">_xlfn.SWITCH(IFERROR(VLOOKUP(AG$3&amp;$B$6&amp;_xlfn.ANCHORARRAY($B7),$BT:$CA,5,0),0),
0,_xlfn.ANCHORARRAY(AF7)*(1+_xlfn.ANCHORARRAY($D7))+SUMIF($BT:$BT,AG$3&amp;$B$6&amp;_xlfn.ANCHORARRAY($B7),$CA:$CA),
1,VLOOKUP(AG$3&amp;$B$6&amp;_xlfn.ANCHORARRAY($B7),$BT:$CA,6,0),
2,_xlfn.ANCHORARRAY(AF7)*(1+_xlfn.ANCHORARRAY($D7))*VLOOKUP(AG$3&amp;$B$6&amp;_xlfn.ANCHORARRAY($B7),$BT:$CA,7,0))</f>
        <v>0</v>
      </c>
      <c r="AH7" s="59" cm="1">
        <f t="array" aca="1" ref="AH7:AH14" ca="1">_xlfn.SWITCH(IFERROR(VLOOKUP(AH$3&amp;$B$6&amp;_xlfn.ANCHORARRAY($B7),$BT:$CA,5,0),0),
0,_xlfn.ANCHORARRAY(AG7)*(1+_xlfn.ANCHORARRAY($D7))+SUMIF($BT:$BT,AH$3&amp;$B$6&amp;_xlfn.ANCHORARRAY($B7),$CA:$CA),
1,VLOOKUP(AH$3&amp;$B$6&amp;_xlfn.ANCHORARRAY($B7),$BT:$CA,6,0),
2,_xlfn.ANCHORARRAY(AG7)*(1+_xlfn.ANCHORARRAY($D7))*VLOOKUP(AH$3&amp;$B$6&amp;_xlfn.ANCHORARRAY($B7),$BT:$CA,7,0))</f>
        <v>0</v>
      </c>
      <c r="AI7" s="59" cm="1">
        <f t="array" aca="1" ref="AI7:AI14" ca="1">_xlfn.SWITCH(IFERROR(VLOOKUP(AI$3&amp;$B$6&amp;_xlfn.ANCHORARRAY($B7),$BT:$CA,5,0),0),
0,_xlfn.ANCHORARRAY(AH7)*(1+_xlfn.ANCHORARRAY($D7))+SUMIF($BT:$BT,AI$3&amp;$B$6&amp;_xlfn.ANCHORARRAY($B7),$CA:$CA),
1,VLOOKUP(AI$3&amp;$B$6&amp;_xlfn.ANCHORARRAY($B7),$BT:$CA,6,0),
2,_xlfn.ANCHORARRAY(AH7)*(1+_xlfn.ANCHORARRAY($D7))*VLOOKUP(AI$3&amp;$B$6&amp;_xlfn.ANCHORARRAY($B7),$BT:$CA,7,0))</f>
        <v>0</v>
      </c>
      <c r="AJ7" s="59" cm="1">
        <f t="array" aca="1" ref="AJ7:AJ14" ca="1">_xlfn.SWITCH(IFERROR(VLOOKUP(AJ$3&amp;$B$6&amp;_xlfn.ANCHORARRAY($B7),$BT:$CA,5,0),0),
0,_xlfn.ANCHORARRAY(AI7)*(1+_xlfn.ANCHORARRAY($D7))+SUMIF($BT:$BT,AJ$3&amp;$B$6&amp;_xlfn.ANCHORARRAY($B7),$CA:$CA),
1,VLOOKUP(AJ$3&amp;$B$6&amp;_xlfn.ANCHORARRAY($B7),$BT:$CA,6,0),
2,_xlfn.ANCHORARRAY(AI7)*(1+_xlfn.ANCHORARRAY($D7))*VLOOKUP(AJ$3&amp;$B$6&amp;_xlfn.ANCHORARRAY($B7),$BT:$CA,7,0))</f>
        <v>0</v>
      </c>
      <c r="AK7" s="59" cm="1">
        <f t="array" aca="1" ref="AK7:AK14" ca="1">_xlfn.SWITCH(IFERROR(VLOOKUP(AK$3&amp;$B$6&amp;_xlfn.ANCHORARRAY($B7),$BT:$CA,5,0),0),
0,_xlfn.ANCHORARRAY(AJ7)*(1+_xlfn.ANCHORARRAY($D7))+SUMIF($BT:$BT,AK$3&amp;$B$6&amp;_xlfn.ANCHORARRAY($B7),$CA:$CA),
1,VLOOKUP(AK$3&amp;$B$6&amp;_xlfn.ANCHORARRAY($B7),$BT:$CA,6,0),
2,_xlfn.ANCHORARRAY(AJ7)*(1+_xlfn.ANCHORARRAY($D7))*VLOOKUP(AK$3&amp;$B$6&amp;_xlfn.ANCHORARRAY($B7),$BT:$CA,7,0))</f>
        <v>0</v>
      </c>
      <c r="AL7" s="59" cm="1">
        <f t="array" aca="1" ref="AL7:AL14" ca="1">_xlfn.SWITCH(IFERROR(VLOOKUP(AL$3&amp;$B$6&amp;_xlfn.ANCHORARRAY($B7),$BT:$CA,5,0),0),
0,_xlfn.ANCHORARRAY(AK7)*(1+_xlfn.ANCHORARRAY($D7))+SUMIF($BT:$BT,AL$3&amp;$B$6&amp;_xlfn.ANCHORARRAY($B7),$CA:$CA),
1,VLOOKUP(AL$3&amp;$B$6&amp;_xlfn.ANCHORARRAY($B7),$BT:$CA,6,0),
2,_xlfn.ANCHORARRAY(AK7)*(1+_xlfn.ANCHORARRAY($D7))*VLOOKUP(AL$3&amp;$B$6&amp;_xlfn.ANCHORARRAY($B7),$BT:$CA,7,0))</f>
        <v>0</v>
      </c>
      <c r="AM7" s="59" cm="1">
        <f t="array" aca="1" ref="AM7:AM14" ca="1">_xlfn.SWITCH(IFERROR(VLOOKUP(AM$3&amp;$B$6&amp;_xlfn.ANCHORARRAY($B7),$BT:$CA,5,0),0),
0,_xlfn.ANCHORARRAY(AL7)*(1+_xlfn.ANCHORARRAY($D7))+SUMIF($BT:$BT,AM$3&amp;$B$6&amp;_xlfn.ANCHORARRAY($B7),$CA:$CA),
1,VLOOKUP(AM$3&amp;$B$6&amp;_xlfn.ANCHORARRAY($B7),$BT:$CA,6,0),
2,_xlfn.ANCHORARRAY(AL7)*(1+_xlfn.ANCHORARRAY($D7))*VLOOKUP(AM$3&amp;$B$6&amp;_xlfn.ANCHORARRAY($B7),$BT:$CA,7,0))</f>
        <v>0</v>
      </c>
      <c r="AN7" s="59" cm="1">
        <f t="array" aca="1" ref="AN7:AN14" ca="1">_xlfn.SWITCH(IFERROR(VLOOKUP(AN$3&amp;$B$6&amp;_xlfn.ANCHORARRAY($B7),$BT:$CA,5,0),0),
0,_xlfn.ANCHORARRAY(AM7)*(1+_xlfn.ANCHORARRAY($D7))+SUMIF($BT:$BT,AN$3&amp;$B$6&amp;_xlfn.ANCHORARRAY($B7),$CA:$CA),
1,VLOOKUP(AN$3&amp;$B$6&amp;_xlfn.ANCHORARRAY($B7),$BT:$CA,6,0),
2,_xlfn.ANCHORARRAY(AM7)*(1+_xlfn.ANCHORARRAY($D7))*VLOOKUP(AN$3&amp;$B$6&amp;_xlfn.ANCHORARRAY($B7),$BT:$CA,7,0))</f>
        <v>0</v>
      </c>
      <c r="AO7" s="59" cm="1">
        <f t="array" aca="1" ref="AO7:AO14" ca="1">_xlfn.SWITCH(IFERROR(VLOOKUP(AO$3&amp;$B$6&amp;_xlfn.ANCHORARRAY($B7),$BT:$CA,5,0),0),
0,_xlfn.ANCHORARRAY(AN7)*(1+_xlfn.ANCHORARRAY($D7))+SUMIF($BT:$BT,AO$3&amp;$B$6&amp;_xlfn.ANCHORARRAY($B7),$CA:$CA),
1,VLOOKUP(AO$3&amp;$B$6&amp;_xlfn.ANCHORARRAY($B7),$BT:$CA,6,0),
2,_xlfn.ANCHORARRAY(AN7)*(1+_xlfn.ANCHORARRAY($D7))*VLOOKUP(AO$3&amp;$B$6&amp;_xlfn.ANCHORARRAY($B7),$BT:$CA,7,0))</f>
        <v>0</v>
      </c>
      <c r="AP7" s="59" cm="1">
        <f t="array" aca="1" ref="AP7:AP14" ca="1">_xlfn.SWITCH(IFERROR(VLOOKUP(AP$3&amp;$B$6&amp;_xlfn.ANCHORARRAY($B7),$BT:$CA,5,0),0),
0,_xlfn.ANCHORARRAY(AO7)*(1+_xlfn.ANCHORARRAY($D7))+SUMIF($BT:$BT,AP$3&amp;$B$6&amp;_xlfn.ANCHORARRAY($B7),$CA:$CA),
1,VLOOKUP(AP$3&amp;$B$6&amp;_xlfn.ANCHORARRAY($B7),$BT:$CA,6,0),
2,_xlfn.ANCHORARRAY(AO7)*(1+_xlfn.ANCHORARRAY($D7))*VLOOKUP(AP$3&amp;$B$6&amp;_xlfn.ANCHORARRAY($B7),$BT:$CA,7,0))</f>
        <v>0</v>
      </c>
      <c r="AQ7" s="59" cm="1">
        <f t="array" aca="1" ref="AQ7:AQ14" ca="1">_xlfn.SWITCH(IFERROR(VLOOKUP(AQ$3&amp;$B$6&amp;_xlfn.ANCHORARRAY($B7),$BT:$CA,5,0),0),
0,_xlfn.ANCHORARRAY(AP7)*(1+_xlfn.ANCHORARRAY($D7))+SUMIF($BT:$BT,AQ$3&amp;$B$6&amp;_xlfn.ANCHORARRAY($B7),$CA:$CA),
1,VLOOKUP(AQ$3&amp;$B$6&amp;_xlfn.ANCHORARRAY($B7),$BT:$CA,6,0),
2,_xlfn.ANCHORARRAY(AP7)*(1+_xlfn.ANCHORARRAY($D7))*VLOOKUP(AQ$3&amp;$B$6&amp;_xlfn.ANCHORARRAY($B7),$BT:$CA,7,0))</f>
        <v>0</v>
      </c>
      <c r="AR7" s="59" cm="1">
        <f t="array" aca="1" ref="AR7:AR14" ca="1">_xlfn.SWITCH(IFERROR(VLOOKUP(AR$3&amp;$B$6&amp;_xlfn.ANCHORARRAY($B7),$BT:$CA,5,0),0),
0,_xlfn.ANCHORARRAY(AQ7)*(1+_xlfn.ANCHORARRAY($D7))+SUMIF($BT:$BT,AR$3&amp;$B$6&amp;_xlfn.ANCHORARRAY($B7),$CA:$CA),
1,VLOOKUP(AR$3&amp;$B$6&amp;_xlfn.ANCHORARRAY($B7),$BT:$CA,6,0),
2,_xlfn.ANCHORARRAY(AQ7)*(1+_xlfn.ANCHORARRAY($D7))*VLOOKUP(AR$3&amp;$B$6&amp;_xlfn.ANCHORARRAY($B7),$BT:$CA,7,0))</f>
        <v>0</v>
      </c>
      <c r="AS7" s="59" cm="1">
        <f t="array" aca="1" ref="AS7:AS14" ca="1">_xlfn.SWITCH(IFERROR(VLOOKUP(AS$3&amp;$B$6&amp;_xlfn.ANCHORARRAY($B7),$BT:$CA,5,0),0),
0,_xlfn.ANCHORARRAY(AR7)*(1+_xlfn.ANCHORARRAY($D7))+SUMIF($BT:$BT,AS$3&amp;$B$6&amp;_xlfn.ANCHORARRAY($B7),$CA:$CA),
1,VLOOKUP(AS$3&amp;$B$6&amp;_xlfn.ANCHORARRAY($B7),$BT:$CA,6,0),
2,_xlfn.ANCHORARRAY(AR7)*(1+_xlfn.ANCHORARRAY($D7))*VLOOKUP(AS$3&amp;$B$6&amp;_xlfn.ANCHORARRAY($B7),$BT:$CA,7,0))</f>
        <v>0</v>
      </c>
      <c r="AT7" s="59" cm="1">
        <f t="array" aca="1" ref="AT7:AT14" ca="1">_xlfn.SWITCH(IFERROR(VLOOKUP(AT$3&amp;$B$6&amp;_xlfn.ANCHORARRAY($B7),$BT:$CA,5,0),0),
0,_xlfn.ANCHORARRAY(AS7)*(1+_xlfn.ANCHORARRAY($D7))+SUMIF($BT:$BT,AT$3&amp;$B$6&amp;_xlfn.ANCHORARRAY($B7),$CA:$CA),
1,VLOOKUP(AT$3&amp;$B$6&amp;_xlfn.ANCHORARRAY($B7),$BT:$CA,6,0),
2,_xlfn.ANCHORARRAY(AS7)*(1+_xlfn.ANCHORARRAY($D7))*VLOOKUP(AT$3&amp;$B$6&amp;_xlfn.ANCHORARRAY($B7),$BT:$CA,7,0))</f>
        <v>0</v>
      </c>
      <c r="AU7" s="59" cm="1">
        <f t="array" aca="1" ref="AU7:AU14" ca="1">_xlfn.SWITCH(IFERROR(VLOOKUP(AU$3&amp;$B$6&amp;_xlfn.ANCHORARRAY($B7),$BT:$CA,5,0),0),
0,_xlfn.ANCHORARRAY(AT7)*(1+_xlfn.ANCHORARRAY($D7))+SUMIF($BT:$BT,AU$3&amp;$B$6&amp;_xlfn.ANCHORARRAY($B7),$CA:$CA),
1,VLOOKUP(AU$3&amp;$B$6&amp;_xlfn.ANCHORARRAY($B7),$BT:$CA,6,0),
2,_xlfn.ANCHORARRAY(AT7)*(1+_xlfn.ANCHORARRAY($D7))*VLOOKUP(AU$3&amp;$B$6&amp;_xlfn.ANCHORARRAY($B7),$BT:$CA,7,0))</f>
        <v>0</v>
      </c>
      <c r="AV7" s="59" cm="1">
        <f t="array" aca="1" ref="AV7:AV14" ca="1">_xlfn.SWITCH(IFERROR(VLOOKUP(AV$3&amp;$B$6&amp;_xlfn.ANCHORARRAY($B7),$BT:$CA,5,0),0),
0,_xlfn.ANCHORARRAY(AU7)*(1+_xlfn.ANCHORARRAY($D7))+SUMIF($BT:$BT,AV$3&amp;$B$6&amp;_xlfn.ANCHORARRAY($B7),$CA:$CA),
1,VLOOKUP(AV$3&amp;$B$6&amp;_xlfn.ANCHORARRAY($B7),$BT:$CA,6,0),
2,_xlfn.ANCHORARRAY(AU7)*(1+_xlfn.ANCHORARRAY($D7))*VLOOKUP(AV$3&amp;$B$6&amp;_xlfn.ANCHORARRAY($B7),$BT:$CA,7,0))</f>
        <v>0</v>
      </c>
      <c r="AW7" s="59" cm="1">
        <f t="array" aca="1" ref="AW7:AW14" ca="1">_xlfn.SWITCH(IFERROR(VLOOKUP(AW$3&amp;$B$6&amp;_xlfn.ANCHORARRAY($B7),$BT:$CA,5,0),0),
0,_xlfn.ANCHORARRAY(AV7)*(1+_xlfn.ANCHORARRAY($D7))+SUMIF($BT:$BT,AW$3&amp;$B$6&amp;_xlfn.ANCHORARRAY($B7),$CA:$CA),
1,VLOOKUP(AW$3&amp;$B$6&amp;_xlfn.ANCHORARRAY($B7),$BT:$CA,6,0),
2,_xlfn.ANCHORARRAY(AV7)*(1+_xlfn.ANCHORARRAY($D7))*VLOOKUP(AW$3&amp;$B$6&amp;_xlfn.ANCHORARRAY($B7),$BT:$CA,7,0))</f>
        <v>0</v>
      </c>
      <c r="AX7" s="59" cm="1">
        <f t="array" aca="1" ref="AX7:AX14" ca="1">_xlfn.SWITCH(IFERROR(VLOOKUP(AX$3&amp;$B$6&amp;_xlfn.ANCHORARRAY($B7),$BT:$CA,5,0),0),
0,_xlfn.ANCHORARRAY(AW7)*(1+_xlfn.ANCHORARRAY($D7))+SUMIF($BT:$BT,AX$3&amp;$B$6&amp;_xlfn.ANCHORARRAY($B7),$CA:$CA),
1,VLOOKUP(AX$3&amp;$B$6&amp;_xlfn.ANCHORARRAY($B7),$BT:$CA,6,0),
2,_xlfn.ANCHORARRAY(AW7)*(1+_xlfn.ANCHORARRAY($D7))*VLOOKUP(AX$3&amp;$B$6&amp;_xlfn.ANCHORARRAY($B7),$BT:$CA,7,0))</f>
        <v>0</v>
      </c>
      <c r="AY7" s="59" cm="1">
        <f t="array" aca="1" ref="AY7:AY14" ca="1">_xlfn.SWITCH(IFERROR(VLOOKUP(AY$3&amp;$B$6&amp;_xlfn.ANCHORARRAY($B7),$BT:$CA,5,0),0),
0,_xlfn.ANCHORARRAY(AX7)*(1+_xlfn.ANCHORARRAY($D7))+SUMIF($BT:$BT,AY$3&amp;$B$6&amp;_xlfn.ANCHORARRAY($B7),$CA:$CA),
1,VLOOKUP(AY$3&amp;$B$6&amp;_xlfn.ANCHORARRAY($B7),$BT:$CA,6,0),
2,_xlfn.ANCHORARRAY(AX7)*(1+_xlfn.ANCHORARRAY($D7))*VLOOKUP(AY$3&amp;$B$6&amp;_xlfn.ANCHORARRAY($B7),$BT:$CA,7,0))</f>
        <v>0</v>
      </c>
      <c r="AZ7" s="59" cm="1">
        <f t="array" aca="1" ref="AZ7:AZ14" ca="1">_xlfn.SWITCH(IFERROR(VLOOKUP(AZ$3&amp;$B$6&amp;_xlfn.ANCHORARRAY($B7),$BT:$CA,5,0),0),
0,_xlfn.ANCHORARRAY(AY7)*(1+_xlfn.ANCHORARRAY($D7))+SUMIF($BT:$BT,AZ$3&amp;$B$6&amp;_xlfn.ANCHORARRAY($B7),$CA:$CA),
1,VLOOKUP(AZ$3&amp;$B$6&amp;_xlfn.ANCHORARRAY($B7),$BT:$CA,6,0),
2,_xlfn.ANCHORARRAY(AY7)*(1+_xlfn.ANCHORARRAY($D7))*VLOOKUP(AZ$3&amp;$B$6&amp;_xlfn.ANCHORARRAY($B7),$BT:$CA,7,0))</f>
        <v>0</v>
      </c>
      <c r="BA7" s="59" cm="1">
        <f t="array" aca="1" ref="BA7:BA14" ca="1">_xlfn.SWITCH(IFERROR(VLOOKUP(BA$3&amp;$B$6&amp;_xlfn.ANCHORARRAY($B7),$BT:$CA,5,0),0),
0,_xlfn.ANCHORARRAY(AZ7)*(1+_xlfn.ANCHORARRAY($D7))+SUMIF($BT:$BT,BA$3&amp;$B$6&amp;_xlfn.ANCHORARRAY($B7),$CA:$CA),
1,VLOOKUP(BA$3&amp;$B$6&amp;_xlfn.ANCHORARRAY($B7),$BT:$CA,6,0),
2,_xlfn.ANCHORARRAY(AZ7)*(1+_xlfn.ANCHORARRAY($D7))*VLOOKUP(BA$3&amp;$B$6&amp;_xlfn.ANCHORARRAY($B7),$BT:$CA,7,0))</f>
        <v>0</v>
      </c>
      <c r="BS7" s="5">
        <f t="shared" si="0"/>
        <v>0</v>
      </c>
      <c r="BT7" s="5" t="str">
        <f t="shared" si="1"/>
        <v>2029E_Erwerb3</v>
      </c>
      <c r="BU7">
        <v>2029</v>
      </c>
      <c r="BV7" t="s">
        <v>74</v>
      </c>
      <c r="BW7">
        <v>3</v>
      </c>
      <c r="BX7">
        <v>1</v>
      </c>
      <c r="BY7" s="12">
        <f>140000*0.2*0.5</f>
        <v>14000</v>
      </c>
      <c r="CD7" s="5" t="str">
        <f t="shared" ca="1" si="21"/>
        <v>Amy</v>
      </c>
      <c r="CE7" s="5" t="str">
        <f t="shared" ca="1" si="22"/>
        <v>Einkommen aus Selbstständigkeit</v>
      </c>
      <c r="CF7" s="5" t="str">
        <f t="shared" ca="1" si="23"/>
        <v>Amy - Einkommen aus Selbstständigkeit</v>
      </c>
      <c r="CG7" s="5"/>
    </row>
    <row r="8" spans="1:85" x14ac:dyDescent="0.25">
      <c r="A8" s="57" t="str">
        <f ca="1"/>
        <v>Einkommen aus Selbstständigkeit</v>
      </c>
      <c r="B8" s="57">
        <f ca="1"/>
        <v>3</v>
      </c>
      <c r="C8" s="53" t="str">
        <f ca="1"/>
        <v>Amy</v>
      </c>
      <c r="D8" s="54">
        <f ca="1"/>
        <v>0</v>
      </c>
      <c r="E8" s="54"/>
      <c r="F8" s="59">
        <f ca="1"/>
        <v>0</v>
      </c>
      <c r="G8" s="59">
        <f ca="1"/>
        <v>0</v>
      </c>
      <c r="H8" s="59">
        <f ca="1"/>
        <v>0</v>
      </c>
      <c r="I8" s="59">
        <f ca="1"/>
        <v>0</v>
      </c>
      <c r="J8" s="59">
        <f ca="1"/>
        <v>0</v>
      </c>
      <c r="K8" s="59">
        <f ca="1"/>
        <v>14000</v>
      </c>
      <c r="L8" s="59">
        <f ca="1"/>
        <v>28000</v>
      </c>
      <c r="M8" s="59">
        <f ca="1"/>
        <v>14000</v>
      </c>
      <c r="N8" s="59">
        <f ca="1"/>
        <v>0</v>
      </c>
      <c r="O8" s="59">
        <f ca="1"/>
        <v>0</v>
      </c>
      <c r="P8" s="59">
        <f ca="1"/>
        <v>0</v>
      </c>
      <c r="Q8" s="59">
        <f ca="1"/>
        <v>0</v>
      </c>
      <c r="R8" s="59">
        <f ca="1"/>
        <v>0</v>
      </c>
      <c r="S8" s="59">
        <f ca="1"/>
        <v>0</v>
      </c>
      <c r="T8" s="59">
        <f ca="1"/>
        <v>0</v>
      </c>
      <c r="U8" s="59">
        <f ca="1"/>
        <v>0</v>
      </c>
      <c r="V8" s="59">
        <f ca="1"/>
        <v>0</v>
      </c>
      <c r="W8" s="59">
        <f ca="1"/>
        <v>0</v>
      </c>
      <c r="X8" s="59">
        <f ca="1"/>
        <v>0</v>
      </c>
      <c r="Y8" s="59">
        <f ca="1"/>
        <v>0</v>
      </c>
      <c r="Z8" s="59">
        <f ca="1"/>
        <v>0</v>
      </c>
      <c r="AA8" s="59">
        <f ca="1"/>
        <v>0</v>
      </c>
      <c r="AB8" s="59">
        <f ca="1"/>
        <v>0</v>
      </c>
      <c r="AC8" s="59">
        <f ca="1"/>
        <v>0</v>
      </c>
      <c r="AD8" s="59">
        <f ca="1"/>
        <v>0</v>
      </c>
      <c r="AE8" s="59">
        <f ca="1"/>
        <v>0</v>
      </c>
      <c r="AF8" s="59">
        <f ca="1"/>
        <v>0</v>
      </c>
      <c r="AG8" s="59">
        <f ca="1"/>
        <v>0</v>
      </c>
      <c r="AH8" s="59">
        <f ca="1"/>
        <v>0</v>
      </c>
      <c r="AI8" s="59">
        <f ca="1"/>
        <v>0</v>
      </c>
      <c r="AJ8" s="59">
        <f ca="1"/>
        <v>0</v>
      </c>
      <c r="AK8" s="59">
        <f ca="1"/>
        <v>0</v>
      </c>
      <c r="AL8" s="59">
        <f ca="1"/>
        <v>0</v>
      </c>
      <c r="AM8" s="59">
        <f ca="1"/>
        <v>0</v>
      </c>
      <c r="AN8" s="59">
        <f ca="1"/>
        <v>0</v>
      </c>
      <c r="AO8" s="59">
        <f ca="1"/>
        <v>0</v>
      </c>
      <c r="AP8" s="59">
        <f ca="1"/>
        <v>0</v>
      </c>
      <c r="AQ8" s="59">
        <f ca="1"/>
        <v>0</v>
      </c>
      <c r="AR8" s="59">
        <f ca="1"/>
        <v>0</v>
      </c>
      <c r="AS8" s="59">
        <f ca="1"/>
        <v>0</v>
      </c>
      <c r="AT8" s="59">
        <f ca="1"/>
        <v>0</v>
      </c>
      <c r="AU8" s="59">
        <f ca="1"/>
        <v>0</v>
      </c>
      <c r="AV8" s="59">
        <f ca="1"/>
        <v>0</v>
      </c>
      <c r="AW8" s="59">
        <f ca="1"/>
        <v>0</v>
      </c>
      <c r="AX8" s="59">
        <f ca="1"/>
        <v>0</v>
      </c>
      <c r="AY8" s="59">
        <f ca="1"/>
        <v>0</v>
      </c>
      <c r="AZ8" s="59">
        <f ca="1"/>
        <v>0</v>
      </c>
      <c r="BA8" s="59">
        <f ca="1"/>
        <v>0</v>
      </c>
      <c r="BS8" s="5">
        <f t="shared" si="0"/>
        <v>0</v>
      </c>
      <c r="BT8" s="5" t="str">
        <f t="shared" si="1"/>
        <v>2030E_Erwerb3</v>
      </c>
      <c r="BU8">
        <v>2030</v>
      </c>
      <c r="BV8" t="s">
        <v>74</v>
      </c>
      <c r="BW8">
        <v>3</v>
      </c>
      <c r="BX8">
        <v>1</v>
      </c>
      <c r="BY8" s="12">
        <f>140000*0.2</f>
        <v>28000</v>
      </c>
      <c r="CD8" s="5" t="str">
        <f t="shared" ca="1" si="21"/>
        <v>Amy</v>
      </c>
      <c r="CE8" s="5" t="str">
        <f t="shared" ca="1" si="22"/>
        <v>Einkommen aus Selbstständigkeit</v>
      </c>
      <c r="CF8" s="5" t="str">
        <f t="shared" ca="1" si="23"/>
        <v>Amy - Einkommen aus Selbstständigkeit</v>
      </c>
      <c r="CG8" s="5"/>
    </row>
    <row r="9" spans="1:85" x14ac:dyDescent="0.25">
      <c r="A9" s="57" t="str">
        <f ca="1"/>
        <v>Mietertrag New York</v>
      </c>
      <c r="B9" s="57">
        <f ca="1"/>
        <v>4</v>
      </c>
      <c r="C9" s="53" t="str">
        <f ca="1"/>
        <v>Amy</v>
      </c>
      <c r="D9" s="54">
        <f ca="1"/>
        <v>0</v>
      </c>
      <c r="E9" s="54"/>
      <c r="F9" s="59">
        <f ca="1"/>
        <v>15000</v>
      </c>
      <c r="G9" s="59">
        <f ca="1"/>
        <v>15000</v>
      </c>
      <c r="H9" s="59">
        <f ca="1"/>
        <v>15000</v>
      </c>
      <c r="I9" s="59">
        <f ca="1"/>
        <v>15000</v>
      </c>
      <c r="J9" s="59">
        <f ca="1"/>
        <v>15000</v>
      </c>
      <c r="K9" s="59">
        <f ca="1"/>
        <v>15000</v>
      </c>
      <c r="L9" s="59">
        <f ca="1"/>
        <v>15000</v>
      </c>
      <c r="M9" s="59">
        <f ca="1"/>
        <v>15000</v>
      </c>
      <c r="N9" s="59">
        <f ca="1"/>
        <v>15000</v>
      </c>
      <c r="O9" s="59">
        <f ca="1"/>
        <v>15000</v>
      </c>
      <c r="P9" s="59">
        <f ca="1"/>
        <v>15000</v>
      </c>
      <c r="Q9" s="59">
        <f ca="1"/>
        <v>15000</v>
      </c>
      <c r="R9" s="59">
        <f ca="1"/>
        <v>15000</v>
      </c>
      <c r="S9" s="59">
        <f ca="1"/>
        <v>15000</v>
      </c>
      <c r="T9" s="59">
        <f ca="1"/>
        <v>15000</v>
      </c>
      <c r="U9" s="59">
        <f ca="1"/>
        <v>15000</v>
      </c>
      <c r="V9" s="59">
        <f ca="1"/>
        <v>15000</v>
      </c>
      <c r="W9" s="59">
        <f ca="1"/>
        <v>15000</v>
      </c>
      <c r="X9" s="59">
        <f ca="1"/>
        <v>15000</v>
      </c>
      <c r="Y9" s="59">
        <f ca="1"/>
        <v>15000</v>
      </c>
      <c r="Z9" s="59">
        <f ca="1"/>
        <v>15000</v>
      </c>
      <c r="AA9" s="59">
        <f ca="1"/>
        <v>15000</v>
      </c>
      <c r="AB9" s="59">
        <f ca="1"/>
        <v>15000</v>
      </c>
      <c r="AC9" s="59">
        <f ca="1"/>
        <v>15000</v>
      </c>
      <c r="AD9" s="59">
        <f ca="1"/>
        <v>15000</v>
      </c>
      <c r="AE9" s="59">
        <f ca="1"/>
        <v>15000</v>
      </c>
      <c r="AF9" s="59">
        <f ca="1"/>
        <v>15000</v>
      </c>
      <c r="AG9" s="59">
        <f ca="1"/>
        <v>15000</v>
      </c>
      <c r="AH9" s="59">
        <f ca="1"/>
        <v>15000</v>
      </c>
      <c r="AI9" s="59">
        <f ca="1"/>
        <v>15000</v>
      </c>
      <c r="AJ9" s="59">
        <f ca="1"/>
        <v>15000</v>
      </c>
      <c r="AK9" s="59">
        <f ca="1"/>
        <v>15000</v>
      </c>
      <c r="AL9" s="59">
        <f ca="1"/>
        <v>15000</v>
      </c>
      <c r="AM9" s="59">
        <f ca="1"/>
        <v>15000</v>
      </c>
      <c r="AN9" s="59">
        <f ca="1"/>
        <v>15000</v>
      </c>
      <c r="AO9" s="59">
        <f ca="1"/>
        <v>15000</v>
      </c>
      <c r="AP9" s="59">
        <f ca="1"/>
        <v>15000</v>
      </c>
      <c r="AQ9" s="59">
        <f ca="1"/>
        <v>15000</v>
      </c>
      <c r="AR9" s="59">
        <f ca="1"/>
        <v>15000</v>
      </c>
      <c r="AS9" s="59">
        <f ca="1"/>
        <v>15000</v>
      </c>
      <c r="AT9" s="59">
        <f ca="1"/>
        <v>15000</v>
      </c>
      <c r="AU9" s="59">
        <f ca="1"/>
        <v>15000</v>
      </c>
      <c r="AV9" s="59">
        <f ca="1"/>
        <v>15000</v>
      </c>
      <c r="AW9" s="59">
        <f ca="1"/>
        <v>15000</v>
      </c>
      <c r="AX9" s="59">
        <f ca="1"/>
        <v>15000</v>
      </c>
      <c r="AY9" s="59">
        <f ca="1"/>
        <v>15000</v>
      </c>
      <c r="AZ9" s="59">
        <f ca="1"/>
        <v>15000</v>
      </c>
      <c r="BA9" s="59">
        <f ca="1"/>
        <v>15000</v>
      </c>
      <c r="BS9" s="5">
        <f t="shared" si="0"/>
        <v>0</v>
      </c>
      <c r="BT9" s="5" t="str">
        <f t="shared" si="1"/>
        <v>2031E_Erwerb3</v>
      </c>
      <c r="BU9">
        <v>2031</v>
      </c>
      <c r="BV9" t="s">
        <v>74</v>
      </c>
      <c r="BW9">
        <v>3</v>
      </c>
      <c r="BX9">
        <v>1</v>
      </c>
      <c r="BY9" s="12">
        <v>14000</v>
      </c>
      <c r="CD9" s="5" t="str">
        <f t="shared" ca="1" si="21"/>
        <v>Amy</v>
      </c>
      <c r="CE9" s="5" t="str">
        <f t="shared" ca="1" si="22"/>
        <v>Einkommen aus Selbstständigkeit</v>
      </c>
      <c r="CF9" s="5" t="str">
        <f t="shared" ca="1" si="23"/>
        <v>Amy - Einkommen aus Selbstständigkeit</v>
      </c>
      <c r="CG9" s="5"/>
    </row>
    <row r="10" spans="1:85" x14ac:dyDescent="0.25">
      <c r="A10" s="57" t="str">
        <f ca="1"/>
        <v>Rente aus Pensionskasse</v>
      </c>
      <c r="B10" s="57">
        <f ca="1"/>
        <v>5</v>
      </c>
      <c r="C10" s="53" t="str">
        <f ca="1"/>
        <v>Amy</v>
      </c>
      <c r="D10" s="54">
        <f ca="1"/>
        <v>0</v>
      </c>
      <c r="E10" s="54"/>
      <c r="F10" s="59">
        <f ca="1"/>
        <v>0</v>
      </c>
      <c r="G10" s="59">
        <f ca="1"/>
        <v>0</v>
      </c>
      <c r="H10" s="59">
        <f ca="1"/>
        <v>0</v>
      </c>
      <c r="I10" s="59">
        <f ca="1"/>
        <v>0</v>
      </c>
      <c r="J10" s="59">
        <f ca="1"/>
        <v>4388.4500000000007</v>
      </c>
      <c r="K10" s="59">
        <f ca="1"/>
        <v>20530.333333333332</v>
      </c>
      <c r="L10" s="59">
        <f ca="1"/>
        <v>52815.165925344001</v>
      </c>
      <c r="M10" s="59">
        <f ca="1"/>
        <v>52815.165925344001</v>
      </c>
      <c r="N10" s="59">
        <f ca="1"/>
        <v>52815.165925344001</v>
      </c>
      <c r="O10" s="59">
        <f ca="1"/>
        <v>52815.165925344001</v>
      </c>
      <c r="P10" s="59">
        <f ca="1"/>
        <v>52815.165925344001</v>
      </c>
      <c r="Q10" s="59">
        <f ca="1"/>
        <v>52815.165925344001</v>
      </c>
      <c r="R10" s="59">
        <f ca="1"/>
        <v>52815.165925344001</v>
      </c>
      <c r="S10" s="59">
        <f ca="1"/>
        <v>52815.165925344001</v>
      </c>
      <c r="T10" s="59">
        <f ca="1"/>
        <v>52815.165925344001</v>
      </c>
      <c r="U10" s="59">
        <f ca="1"/>
        <v>52815.165925344001</v>
      </c>
      <c r="V10" s="59">
        <f ca="1"/>
        <v>52815.165925344001</v>
      </c>
      <c r="W10" s="59">
        <f ca="1"/>
        <v>52815.165925344001</v>
      </c>
      <c r="X10" s="59">
        <f ca="1"/>
        <v>52815.165925344001</v>
      </c>
      <c r="Y10" s="59">
        <f ca="1"/>
        <v>52815.165925344001</v>
      </c>
      <c r="Z10" s="59">
        <f ca="1"/>
        <v>52815.165925344001</v>
      </c>
      <c r="AA10" s="59">
        <f ca="1"/>
        <v>52815.165925344001</v>
      </c>
      <c r="AB10" s="59">
        <f ca="1"/>
        <v>52815.165925344001</v>
      </c>
      <c r="AC10" s="59">
        <f ca="1"/>
        <v>52815.165925344001</v>
      </c>
      <c r="AD10" s="59">
        <f ca="1"/>
        <v>52815.165925344001</v>
      </c>
      <c r="AE10" s="59">
        <f ca="1"/>
        <v>52815.165925344001</v>
      </c>
      <c r="AF10" s="59">
        <f ca="1"/>
        <v>52815.165925344001</v>
      </c>
      <c r="AG10" s="59">
        <f ca="1"/>
        <v>52815.165925344001</v>
      </c>
      <c r="AH10" s="59">
        <f ca="1"/>
        <v>52815.165925344001</v>
      </c>
      <c r="AI10" s="59">
        <f ca="1"/>
        <v>52815.165925344001</v>
      </c>
      <c r="AJ10" s="59">
        <f ca="1"/>
        <v>52815.165925344001</v>
      </c>
      <c r="AK10" s="59">
        <f ca="1"/>
        <v>52815.165925344001</v>
      </c>
      <c r="AL10" s="59">
        <f ca="1"/>
        <v>52815.165925344001</v>
      </c>
      <c r="AM10" s="59">
        <f ca="1"/>
        <v>52815.165925344001</v>
      </c>
      <c r="AN10" s="59">
        <f ca="1"/>
        <v>52815.165925344001</v>
      </c>
      <c r="AO10" s="59">
        <f ca="1"/>
        <v>52815.165925344001</v>
      </c>
      <c r="AP10" s="59">
        <f ca="1"/>
        <v>52815.165925344001</v>
      </c>
      <c r="AQ10" s="59">
        <f ca="1"/>
        <v>52815.165925344001</v>
      </c>
      <c r="AR10" s="59">
        <f ca="1"/>
        <v>52815.165925344001</v>
      </c>
      <c r="AS10" s="59">
        <f ca="1"/>
        <v>52815.165925344001</v>
      </c>
      <c r="AT10" s="59">
        <f ca="1"/>
        <v>52815.165925344001</v>
      </c>
      <c r="AU10" s="59">
        <f ca="1"/>
        <v>52815.165925344001</v>
      </c>
      <c r="AV10" s="59">
        <f ca="1"/>
        <v>52815.165925344001</v>
      </c>
      <c r="AW10" s="59">
        <f ca="1"/>
        <v>52815.165925344001</v>
      </c>
      <c r="AX10" s="59">
        <f ca="1"/>
        <v>52815.165925344001</v>
      </c>
      <c r="AY10" s="59">
        <f ca="1"/>
        <v>52815.165925344001</v>
      </c>
      <c r="AZ10" s="59">
        <f ca="1"/>
        <v>52815.165925344001</v>
      </c>
      <c r="BA10" s="59">
        <f ca="1"/>
        <v>52815.165925344001</v>
      </c>
      <c r="BS10" s="5">
        <f t="shared" si="0"/>
        <v>0</v>
      </c>
      <c r="BT10" s="5" t="str">
        <f t="shared" si="1"/>
        <v>2032E_Erwerb3</v>
      </c>
      <c r="BU10">
        <v>2032</v>
      </c>
      <c r="BV10" t="s">
        <v>74</v>
      </c>
      <c r="BW10">
        <v>3</v>
      </c>
      <c r="BX10">
        <v>1</v>
      </c>
      <c r="BY10" s="12">
        <v>0</v>
      </c>
      <c r="CD10" s="5" t="str">
        <f t="shared" ca="1" si="21"/>
        <v>Amy</v>
      </c>
      <c r="CE10" s="5" t="str">
        <f t="shared" ca="1" si="22"/>
        <v>Einkommen aus Selbstständigkeit</v>
      </c>
      <c r="CF10" s="5" t="str">
        <f t="shared" ca="1" si="23"/>
        <v>Amy - Einkommen aus Selbstständigkeit</v>
      </c>
      <c r="CG10" s="5"/>
    </row>
    <row r="11" spans="1:85" x14ac:dyDescent="0.25">
      <c r="A11" s="57" t="str">
        <f ca="1"/>
        <v>AHV-Einzelrente</v>
      </c>
      <c r="B11" s="57">
        <f ca="1"/>
        <v>6</v>
      </c>
      <c r="C11" s="53" t="str">
        <f ca="1"/>
        <v>Amy</v>
      </c>
      <c r="D11" s="54">
        <f ca="1"/>
        <v>0</v>
      </c>
      <c r="E11" s="54"/>
      <c r="F11" s="59">
        <f ca="1"/>
        <v>0</v>
      </c>
      <c r="G11" s="59">
        <f ca="1"/>
        <v>0</v>
      </c>
      <c r="H11" s="59">
        <f ca="1"/>
        <v>0</v>
      </c>
      <c r="I11" s="59">
        <f ca="1"/>
        <v>0</v>
      </c>
      <c r="J11" s="59">
        <f ca="1"/>
        <v>0</v>
      </c>
      <c r="K11" s="59">
        <f ca="1"/>
        <v>9800</v>
      </c>
      <c r="L11" s="59">
        <f ca="1"/>
        <v>29400</v>
      </c>
      <c r="M11" s="59">
        <f ca="1"/>
        <v>29400</v>
      </c>
      <c r="N11" s="59">
        <f ca="1"/>
        <v>22050</v>
      </c>
      <c r="O11" s="59">
        <f ca="1"/>
        <v>0</v>
      </c>
      <c r="P11" s="59">
        <f ca="1"/>
        <v>0</v>
      </c>
      <c r="Q11" s="59">
        <f ca="1"/>
        <v>0</v>
      </c>
      <c r="R11" s="59">
        <f ca="1"/>
        <v>0</v>
      </c>
      <c r="S11" s="59">
        <f ca="1"/>
        <v>0</v>
      </c>
      <c r="T11" s="59">
        <f ca="1"/>
        <v>0</v>
      </c>
      <c r="U11" s="59">
        <f ca="1"/>
        <v>0</v>
      </c>
      <c r="V11" s="59">
        <f ca="1"/>
        <v>0</v>
      </c>
      <c r="W11" s="59">
        <f ca="1"/>
        <v>0</v>
      </c>
      <c r="X11" s="59">
        <f ca="1"/>
        <v>0</v>
      </c>
      <c r="Y11" s="59">
        <f ca="1"/>
        <v>0</v>
      </c>
      <c r="Z11" s="59">
        <f ca="1"/>
        <v>0</v>
      </c>
      <c r="AA11" s="59">
        <f ca="1"/>
        <v>0</v>
      </c>
      <c r="AB11" s="59">
        <f ca="1"/>
        <v>0</v>
      </c>
      <c r="AC11" s="59">
        <f ca="1"/>
        <v>0</v>
      </c>
      <c r="AD11" s="59">
        <f ca="1"/>
        <v>0</v>
      </c>
      <c r="AE11" s="59">
        <f ca="1"/>
        <v>0</v>
      </c>
      <c r="AF11" s="59">
        <f ca="1"/>
        <v>0</v>
      </c>
      <c r="AG11" s="59">
        <f ca="1"/>
        <v>0</v>
      </c>
      <c r="AH11" s="59">
        <f ca="1"/>
        <v>0</v>
      </c>
      <c r="AI11" s="59">
        <f ca="1"/>
        <v>0</v>
      </c>
      <c r="AJ11" s="59">
        <f ca="1"/>
        <v>0</v>
      </c>
      <c r="AK11" s="59">
        <f ca="1"/>
        <v>0</v>
      </c>
      <c r="AL11" s="59">
        <f ca="1"/>
        <v>0</v>
      </c>
      <c r="AM11" s="59">
        <f ca="1"/>
        <v>0</v>
      </c>
      <c r="AN11" s="59">
        <f ca="1"/>
        <v>0</v>
      </c>
      <c r="AO11" s="59">
        <f ca="1"/>
        <v>0</v>
      </c>
      <c r="AP11" s="59">
        <f ca="1"/>
        <v>0</v>
      </c>
      <c r="AQ11" s="59">
        <f ca="1"/>
        <v>0</v>
      </c>
      <c r="AR11" s="59">
        <f ca="1"/>
        <v>0</v>
      </c>
      <c r="AS11" s="59">
        <f ca="1"/>
        <v>0</v>
      </c>
      <c r="AT11" s="59">
        <f ca="1"/>
        <v>0</v>
      </c>
      <c r="AU11" s="59">
        <f ca="1"/>
        <v>0</v>
      </c>
      <c r="AV11" s="59">
        <f ca="1"/>
        <v>0</v>
      </c>
      <c r="AW11" s="59">
        <f ca="1"/>
        <v>0</v>
      </c>
      <c r="AX11" s="59">
        <f ca="1"/>
        <v>0</v>
      </c>
      <c r="AY11" s="59">
        <f ca="1"/>
        <v>0</v>
      </c>
      <c r="AZ11" s="59">
        <f ca="1"/>
        <v>0</v>
      </c>
      <c r="BA11" s="59">
        <f ca="1"/>
        <v>0</v>
      </c>
      <c r="BS11" s="5">
        <f t="shared" si="0"/>
        <v>0</v>
      </c>
      <c r="BT11" s="5" t="str">
        <f t="shared" si="1"/>
        <v>2028A_Allg2</v>
      </c>
      <c r="BU11">
        <v>2028</v>
      </c>
      <c r="BV11" t="s">
        <v>85</v>
      </c>
      <c r="BW11">
        <v>2</v>
      </c>
      <c r="BX11">
        <v>1</v>
      </c>
      <c r="BY11" s="12">
        <v>0</v>
      </c>
      <c r="CD11" s="5" t="e">
        <f t="shared" ca="1" si="21"/>
        <v>#N/A</v>
      </c>
      <c r="CE11" s="5" t="e">
        <f t="shared" ca="1" si="22"/>
        <v>#N/A</v>
      </c>
      <c r="CF11" s="5" t="e">
        <f t="shared" ca="1" si="23"/>
        <v>#N/A</v>
      </c>
      <c r="CG11" s="5"/>
    </row>
    <row r="12" spans="1:85" x14ac:dyDescent="0.25">
      <c r="A12" s="57" t="str">
        <f ca="1"/>
        <v>Einkommen aus Erwerbstätigkeit</v>
      </c>
      <c r="B12" s="57">
        <f ca="1"/>
        <v>1</v>
      </c>
      <c r="C12" s="53" t="str">
        <f ca="1"/>
        <v>Sheldon</v>
      </c>
      <c r="D12" s="54">
        <f ca="1"/>
        <v>0</v>
      </c>
      <c r="E12" s="54"/>
      <c r="F12" s="59">
        <f ca="1"/>
        <v>75000</v>
      </c>
      <c r="G12" s="59">
        <f ca="1"/>
        <v>75000</v>
      </c>
      <c r="H12" s="59">
        <f ca="1"/>
        <v>75000</v>
      </c>
      <c r="I12" s="59">
        <f ca="1"/>
        <v>75000</v>
      </c>
      <c r="J12" s="59">
        <f ca="1"/>
        <v>75000</v>
      </c>
      <c r="K12" s="59">
        <f ca="1"/>
        <v>75000</v>
      </c>
      <c r="L12" s="59">
        <f ca="1"/>
        <v>56250</v>
      </c>
      <c r="M12" s="59">
        <f ca="1"/>
        <v>0</v>
      </c>
      <c r="N12" s="59">
        <f ca="1"/>
        <v>0</v>
      </c>
      <c r="O12" s="59">
        <f ca="1"/>
        <v>0</v>
      </c>
      <c r="P12" s="59">
        <f ca="1"/>
        <v>0</v>
      </c>
      <c r="Q12" s="59">
        <f ca="1"/>
        <v>0</v>
      </c>
      <c r="R12" s="59">
        <f ca="1"/>
        <v>0</v>
      </c>
      <c r="S12" s="59">
        <f ca="1"/>
        <v>0</v>
      </c>
      <c r="T12" s="59">
        <f ca="1"/>
        <v>0</v>
      </c>
      <c r="U12" s="59">
        <f ca="1"/>
        <v>0</v>
      </c>
      <c r="V12" s="59">
        <f ca="1"/>
        <v>0</v>
      </c>
      <c r="W12" s="59">
        <f ca="1"/>
        <v>0</v>
      </c>
      <c r="X12" s="59">
        <f ca="1"/>
        <v>0</v>
      </c>
      <c r="Y12" s="59">
        <f ca="1"/>
        <v>0</v>
      </c>
      <c r="Z12" s="59">
        <f ca="1"/>
        <v>0</v>
      </c>
      <c r="AA12" s="59">
        <f ca="1"/>
        <v>0</v>
      </c>
      <c r="AB12" s="59">
        <f ca="1"/>
        <v>0</v>
      </c>
      <c r="AC12" s="59">
        <f ca="1"/>
        <v>0</v>
      </c>
      <c r="AD12" s="59">
        <f ca="1"/>
        <v>0</v>
      </c>
      <c r="AE12" s="59">
        <f ca="1"/>
        <v>0</v>
      </c>
      <c r="AF12" s="59">
        <f ca="1"/>
        <v>0</v>
      </c>
      <c r="AG12" s="59">
        <f ca="1"/>
        <v>0</v>
      </c>
      <c r="AH12" s="59">
        <f ca="1"/>
        <v>0</v>
      </c>
      <c r="AI12" s="59">
        <f ca="1"/>
        <v>0</v>
      </c>
      <c r="AJ12" s="59">
        <f ca="1"/>
        <v>0</v>
      </c>
      <c r="AK12" s="59">
        <f ca="1"/>
        <v>0</v>
      </c>
      <c r="AL12" s="59">
        <f ca="1"/>
        <v>0</v>
      </c>
      <c r="AM12" s="59">
        <f ca="1"/>
        <v>0</v>
      </c>
      <c r="AN12" s="59">
        <f ca="1"/>
        <v>0</v>
      </c>
      <c r="AO12" s="59">
        <f ca="1"/>
        <v>0</v>
      </c>
      <c r="AP12" s="59">
        <f ca="1"/>
        <v>0</v>
      </c>
      <c r="AQ12" s="59">
        <f ca="1"/>
        <v>0</v>
      </c>
      <c r="AR12" s="59">
        <f ca="1"/>
        <v>0</v>
      </c>
      <c r="AS12" s="59">
        <f ca="1"/>
        <v>0</v>
      </c>
      <c r="AT12" s="59">
        <f ca="1"/>
        <v>0</v>
      </c>
      <c r="AU12" s="59">
        <f ca="1"/>
        <v>0</v>
      </c>
      <c r="AV12" s="59">
        <f ca="1"/>
        <v>0</v>
      </c>
      <c r="AW12" s="59">
        <f ca="1"/>
        <v>0</v>
      </c>
      <c r="AX12" s="59">
        <f ca="1"/>
        <v>0</v>
      </c>
      <c r="AY12" s="59">
        <f ca="1"/>
        <v>0</v>
      </c>
      <c r="AZ12" s="59">
        <f ca="1"/>
        <v>0</v>
      </c>
      <c r="BA12" s="59">
        <f ca="1"/>
        <v>0</v>
      </c>
      <c r="BS12" s="5">
        <f t="shared" si="0"/>
        <v>0</v>
      </c>
      <c r="BT12" s="5" t="str">
        <f t="shared" si="1"/>
        <v>2025A_Allg3</v>
      </c>
      <c r="BU12">
        <v>2025</v>
      </c>
      <c r="BV12" t="s">
        <v>85</v>
      </c>
      <c r="BW12">
        <v>3</v>
      </c>
      <c r="BX12">
        <v>1</v>
      </c>
      <c r="BY12" s="12">
        <v>0</v>
      </c>
      <c r="CD12" s="5" t="e">
        <f t="shared" ca="1" si="21"/>
        <v>#N/A</v>
      </c>
      <c r="CE12" s="5" t="e">
        <f t="shared" ca="1" si="22"/>
        <v>#N/A</v>
      </c>
      <c r="CF12" s="5" t="e">
        <f t="shared" ca="1" si="23"/>
        <v>#N/A</v>
      </c>
      <c r="CG12" s="5"/>
    </row>
    <row r="13" spans="1:85" x14ac:dyDescent="0.25">
      <c r="A13" s="57" t="str">
        <f ca="1"/>
        <v>Rente aus Pensionskasse</v>
      </c>
      <c r="B13" s="57">
        <f ca="1"/>
        <v>8</v>
      </c>
      <c r="C13" s="53" t="str">
        <f ca="1"/>
        <v>Sheldon</v>
      </c>
      <c r="D13" s="54">
        <f ca="1"/>
        <v>0</v>
      </c>
      <c r="E13" s="54"/>
      <c r="F13" s="59">
        <f ca="1"/>
        <v>0</v>
      </c>
      <c r="G13" s="59">
        <f ca="1"/>
        <v>0</v>
      </c>
      <c r="H13" s="59">
        <f ca="1"/>
        <v>0</v>
      </c>
      <c r="I13" s="59">
        <f ca="1"/>
        <v>0</v>
      </c>
      <c r="J13" s="59">
        <f ca="1"/>
        <v>0</v>
      </c>
      <c r="K13" s="59">
        <f ca="1"/>
        <v>0</v>
      </c>
      <c r="L13" s="59">
        <f ca="1"/>
        <v>3102</v>
      </c>
      <c r="M13" s="59">
        <f ca="1"/>
        <v>3102</v>
      </c>
      <c r="N13" s="59">
        <f ca="1"/>
        <v>3102</v>
      </c>
      <c r="O13" s="59">
        <f ca="1"/>
        <v>3102</v>
      </c>
      <c r="P13" s="59">
        <f ca="1"/>
        <v>3102</v>
      </c>
      <c r="Q13" s="59">
        <f ca="1"/>
        <v>3102</v>
      </c>
      <c r="R13" s="59">
        <f ca="1"/>
        <v>3102</v>
      </c>
      <c r="S13" s="59">
        <f ca="1"/>
        <v>3102</v>
      </c>
      <c r="T13" s="59">
        <f ca="1"/>
        <v>3102</v>
      </c>
      <c r="U13" s="59">
        <f ca="1"/>
        <v>3102</v>
      </c>
      <c r="V13" s="59">
        <f ca="1"/>
        <v>3102</v>
      </c>
      <c r="W13" s="59">
        <f ca="1"/>
        <v>3102</v>
      </c>
      <c r="X13" s="59">
        <f ca="1"/>
        <v>3102</v>
      </c>
      <c r="Y13" s="59">
        <f ca="1"/>
        <v>3102</v>
      </c>
      <c r="Z13" s="59">
        <f ca="1"/>
        <v>3102</v>
      </c>
      <c r="AA13" s="59">
        <f ca="1"/>
        <v>3102</v>
      </c>
      <c r="AB13" s="59">
        <f ca="1"/>
        <v>3102</v>
      </c>
      <c r="AC13" s="59">
        <f ca="1"/>
        <v>3102</v>
      </c>
      <c r="AD13" s="59">
        <f ca="1"/>
        <v>3102</v>
      </c>
      <c r="AE13" s="59">
        <f ca="1"/>
        <v>3102</v>
      </c>
      <c r="AF13" s="59">
        <f ca="1"/>
        <v>3102</v>
      </c>
      <c r="AG13" s="59">
        <f ca="1"/>
        <v>3102</v>
      </c>
      <c r="AH13" s="59">
        <f ca="1"/>
        <v>3102</v>
      </c>
      <c r="AI13" s="59">
        <f ca="1"/>
        <v>3102</v>
      </c>
      <c r="AJ13" s="59">
        <f ca="1"/>
        <v>3102</v>
      </c>
      <c r="AK13" s="59">
        <f ca="1"/>
        <v>3102</v>
      </c>
      <c r="AL13" s="59">
        <f ca="1"/>
        <v>3102</v>
      </c>
      <c r="AM13" s="59">
        <f ca="1"/>
        <v>3102</v>
      </c>
      <c r="AN13" s="59">
        <f ca="1"/>
        <v>3102</v>
      </c>
      <c r="AO13" s="59">
        <f ca="1"/>
        <v>3102</v>
      </c>
      <c r="AP13" s="59">
        <f ca="1"/>
        <v>3102</v>
      </c>
      <c r="AQ13" s="59">
        <f ca="1"/>
        <v>3102</v>
      </c>
      <c r="AR13" s="59">
        <f ca="1"/>
        <v>3102</v>
      </c>
      <c r="AS13" s="59">
        <f ca="1"/>
        <v>3102</v>
      </c>
      <c r="AT13" s="59">
        <f ca="1"/>
        <v>3102</v>
      </c>
      <c r="AU13" s="59">
        <f ca="1"/>
        <v>3102</v>
      </c>
      <c r="AV13" s="59">
        <f ca="1"/>
        <v>3102</v>
      </c>
      <c r="AW13" s="59">
        <f ca="1"/>
        <v>3102</v>
      </c>
      <c r="AX13" s="59">
        <f ca="1"/>
        <v>3102</v>
      </c>
      <c r="AY13" s="59">
        <f ca="1"/>
        <v>3102</v>
      </c>
      <c r="AZ13" s="59">
        <f ca="1"/>
        <v>3102</v>
      </c>
      <c r="BA13" s="59">
        <f ca="1"/>
        <v>3102</v>
      </c>
      <c r="BS13" s="5">
        <f t="shared" si="0"/>
        <v>0</v>
      </c>
      <c r="BT13" s="5" t="str">
        <f t="shared" si="1"/>
        <v>2029A_Allg4</v>
      </c>
      <c r="BU13">
        <v>2029</v>
      </c>
      <c r="BV13" t="s">
        <v>85</v>
      </c>
      <c r="BW13">
        <v>4</v>
      </c>
      <c r="BX13">
        <v>2</v>
      </c>
      <c r="BZ13">
        <f>8/12</f>
        <v>0.66666666666666663</v>
      </c>
      <c r="CD13" s="5" t="str">
        <f t="shared" ca="1" si="21"/>
        <v>Amy</v>
      </c>
      <c r="CE13" s="5" t="str">
        <f t="shared" ca="1" si="22"/>
        <v>Unterhaltskosten Leonard</v>
      </c>
      <c r="CF13" s="5" t="str">
        <f t="shared" ca="1" si="23"/>
        <v>Amy - Unterhaltskosten Leonard</v>
      </c>
      <c r="CG13" s="5"/>
    </row>
    <row r="14" spans="1:85" x14ac:dyDescent="0.25">
      <c r="A14" s="57" t="str">
        <f ca="1"/>
        <v>AHV-Ehepaarrente</v>
      </c>
      <c r="B14" s="57">
        <f ca="1"/>
        <v>7</v>
      </c>
      <c r="C14" s="53" t="str">
        <f ca="1"/>
        <v>-</v>
      </c>
      <c r="D14" s="54">
        <f ca="1"/>
        <v>0</v>
      </c>
      <c r="E14" s="54"/>
      <c r="F14" s="59">
        <f ca="1"/>
        <v>0</v>
      </c>
      <c r="G14" s="59">
        <f ca="1"/>
        <v>0</v>
      </c>
      <c r="H14" s="59">
        <f ca="1"/>
        <v>0</v>
      </c>
      <c r="I14" s="59">
        <f ca="1"/>
        <v>0</v>
      </c>
      <c r="J14" s="59">
        <f ca="1"/>
        <v>0</v>
      </c>
      <c r="K14" s="59">
        <f ca="1"/>
        <v>0</v>
      </c>
      <c r="L14" s="59">
        <f ca="1"/>
        <v>0</v>
      </c>
      <c r="M14" s="59">
        <f ca="1"/>
        <v>0</v>
      </c>
      <c r="N14" s="59">
        <f ca="1"/>
        <v>11025</v>
      </c>
      <c r="O14" s="59">
        <f ca="1"/>
        <v>44100</v>
      </c>
      <c r="P14" s="59">
        <f ca="1"/>
        <v>44100</v>
      </c>
      <c r="Q14" s="59">
        <f ca="1"/>
        <v>44100</v>
      </c>
      <c r="R14" s="59">
        <f ca="1"/>
        <v>44100</v>
      </c>
      <c r="S14" s="59">
        <f ca="1"/>
        <v>44100</v>
      </c>
      <c r="T14" s="59">
        <f ca="1"/>
        <v>44100</v>
      </c>
      <c r="U14" s="59">
        <f ca="1"/>
        <v>44100</v>
      </c>
      <c r="V14" s="59">
        <f ca="1"/>
        <v>44100</v>
      </c>
      <c r="W14" s="59">
        <f ca="1"/>
        <v>44100</v>
      </c>
      <c r="X14" s="59">
        <f ca="1"/>
        <v>44100</v>
      </c>
      <c r="Y14" s="59">
        <f ca="1"/>
        <v>44100</v>
      </c>
      <c r="Z14" s="59">
        <f ca="1"/>
        <v>44100</v>
      </c>
      <c r="AA14" s="59">
        <f ca="1"/>
        <v>44100</v>
      </c>
      <c r="AB14" s="59">
        <f ca="1"/>
        <v>44100</v>
      </c>
      <c r="AC14" s="59">
        <f ca="1"/>
        <v>44100</v>
      </c>
      <c r="AD14" s="59">
        <f ca="1"/>
        <v>44100</v>
      </c>
      <c r="AE14" s="59">
        <f ca="1"/>
        <v>44100</v>
      </c>
      <c r="AF14" s="59">
        <f ca="1"/>
        <v>44100</v>
      </c>
      <c r="AG14" s="59">
        <f ca="1"/>
        <v>44100</v>
      </c>
      <c r="AH14" s="59">
        <f ca="1"/>
        <v>44100</v>
      </c>
      <c r="AI14" s="59">
        <f ca="1"/>
        <v>44100</v>
      </c>
      <c r="AJ14" s="59">
        <f ca="1"/>
        <v>44100</v>
      </c>
      <c r="AK14" s="59">
        <f ca="1"/>
        <v>44100</v>
      </c>
      <c r="AL14" s="59">
        <f ca="1"/>
        <v>44100</v>
      </c>
      <c r="AM14" s="59">
        <f ca="1"/>
        <v>44100</v>
      </c>
      <c r="AN14" s="59">
        <f ca="1"/>
        <v>44100</v>
      </c>
      <c r="AO14" s="59">
        <f ca="1"/>
        <v>44100</v>
      </c>
      <c r="AP14" s="59">
        <f ca="1"/>
        <v>44100</v>
      </c>
      <c r="AQ14" s="59">
        <f ca="1"/>
        <v>44100</v>
      </c>
      <c r="AR14" s="59">
        <f ca="1"/>
        <v>44100</v>
      </c>
      <c r="AS14" s="59">
        <f ca="1"/>
        <v>44100</v>
      </c>
      <c r="AT14" s="59">
        <f ca="1"/>
        <v>44100</v>
      </c>
      <c r="AU14" s="59">
        <f ca="1"/>
        <v>44100</v>
      </c>
      <c r="AV14" s="59">
        <f ca="1"/>
        <v>44100</v>
      </c>
      <c r="AW14" s="59">
        <f ca="1"/>
        <v>44100</v>
      </c>
      <c r="AX14" s="59">
        <f ca="1"/>
        <v>44100</v>
      </c>
      <c r="AY14" s="59">
        <f ca="1"/>
        <v>44100</v>
      </c>
      <c r="AZ14" s="59">
        <f ca="1"/>
        <v>44100</v>
      </c>
      <c r="BA14" s="59">
        <f ca="1"/>
        <v>44100</v>
      </c>
      <c r="BS14" s="5">
        <f t="shared" si="0"/>
        <v>0</v>
      </c>
      <c r="BT14" s="5" t="str">
        <f t="shared" si="1"/>
        <v>2030A_Allg4</v>
      </c>
      <c r="BU14">
        <v>2030</v>
      </c>
      <c r="BV14" t="s">
        <v>85</v>
      </c>
      <c r="BW14">
        <v>4</v>
      </c>
      <c r="BX14">
        <v>1</v>
      </c>
      <c r="BY14" s="12">
        <v>0</v>
      </c>
      <c r="CD14" s="5" t="str">
        <f t="shared" ca="1" si="21"/>
        <v>Amy</v>
      </c>
      <c r="CE14" s="5" t="str">
        <f t="shared" ca="1" si="22"/>
        <v>Unterhaltskosten Leonard</v>
      </c>
      <c r="CF14" s="5" t="str">
        <f t="shared" ca="1" si="23"/>
        <v>Amy - Unterhaltskosten Leonard</v>
      </c>
      <c r="CG14" s="5"/>
    </row>
    <row r="15" spans="1:85" x14ac:dyDescent="0.25">
      <c r="A15" s="57"/>
      <c r="B15" s="57"/>
      <c r="C15" s="53"/>
      <c r="D15" s="54"/>
      <c r="E15" s="54"/>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S15" s="5">
        <f t="shared" si="0"/>
        <v>0</v>
      </c>
      <c r="BT15" s="5" t="str">
        <f t="shared" si="1"/>
        <v>2028V_Hypo1</v>
      </c>
      <c r="BU15">
        <v>2028</v>
      </c>
      <c r="BV15" t="s">
        <v>99</v>
      </c>
      <c r="BW15">
        <v>1</v>
      </c>
      <c r="BX15">
        <v>1</v>
      </c>
      <c r="BY15" s="12">
        <v>0</v>
      </c>
      <c r="CB15" t="s">
        <v>294</v>
      </c>
      <c r="CC15">
        <v>1</v>
      </c>
      <c r="CD15" s="5" t="str">
        <f t="shared" ca="1" si="21"/>
        <v>Amy</v>
      </c>
      <c r="CE15" s="5" t="str">
        <f t="shared" ca="1" si="22"/>
        <v>MigrosBank SARON</v>
      </c>
      <c r="CF15" s="5" t="str">
        <f t="shared" ca="1" si="23"/>
        <v>Amy - MigrosBank SARON - Erneuerung Hyporthek</v>
      </c>
      <c r="CG15" s="5"/>
    </row>
    <row r="16" spans="1:85" x14ac:dyDescent="0.25">
      <c r="A16" s="57"/>
      <c r="B16" s="57"/>
      <c r="C16" s="53"/>
      <c r="D16" s="54"/>
      <c r="E16" s="54"/>
      <c r="F16" s="59"/>
      <c r="G16" s="59"/>
      <c r="H16" s="59"/>
      <c r="I16" s="59"/>
      <c r="J16" s="59"/>
      <c r="K16" s="59"/>
      <c r="L16" s="59"/>
      <c r="M16" s="59"/>
      <c r="N16" s="59"/>
      <c r="O16" s="59"/>
      <c r="P16" s="59"/>
      <c r="Q16" s="59"/>
      <c r="R16" s="59"/>
      <c r="S16" s="59"/>
      <c r="T16" s="59"/>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S16" s="5">
        <f t="shared" si="0"/>
        <v>0</v>
      </c>
      <c r="BT16" s="5" t="str">
        <f t="shared" si="1"/>
        <v>2028V_Hypo5</v>
      </c>
      <c r="BU16">
        <v>2028</v>
      </c>
      <c r="BV16" t="s">
        <v>99</v>
      </c>
      <c r="BW16">
        <v>5</v>
      </c>
      <c r="BX16">
        <v>0</v>
      </c>
      <c r="CA16">
        <v>-180000</v>
      </c>
      <c r="CB16" t="s">
        <v>235</v>
      </c>
      <c r="CD16" s="5" t="str">
        <f t="shared" ca="1" si="21"/>
        <v>-</v>
      </c>
      <c r="CE16" s="5" t="str">
        <f t="shared" ca="1" si="22"/>
        <v>Nachfolgehypothek</v>
      </c>
      <c r="CF16" s="5" t="str">
        <f t="shared" ca="1" si="23"/>
        <v>- - Nachfolgehypothek - Erneuerung MigrosBank SARON</v>
      </c>
      <c r="CG16" s="5"/>
    </row>
    <row r="17" spans="1:85" x14ac:dyDescent="0.25">
      <c r="A17" s="57"/>
      <c r="B17" s="57"/>
      <c r="C17" s="53"/>
      <c r="D17" s="54"/>
      <c r="E17" s="54"/>
      <c r="F17" s="59"/>
      <c r="G17" s="59"/>
      <c r="H17" s="59"/>
      <c r="I17" s="59"/>
      <c r="J17" s="59"/>
      <c r="K17" s="59"/>
      <c r="L17" s="59"/>
      <c r="M17" s="59"/>
      <c r="N17" s="59"/>
      <c r="O17" s="59"/>
      <c r="P17" s="59"/>
      <c r="Q17" s="59"/>
      <c r="R17" s="59"/>
      <c r="S17" s="59"/>
      <c r="T17" s="59"/>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c r="BS17" s="5">
        <f t="shared" si="0"/>
        <v>0</v>
      </c>
      <c r="BT17" s="5" t="str">
        <f t="shared" si="1"/>
        <v>2027V_Hypo2</v>
      </c>
      <c r="BU17">
        <v>2027</v>
      </c>
      <c r="BV17" t="s">
        <v>99</v>
      </c>
      <c r="BW17">
        <v>2</v>
      </c>
      <c r="BX17">
        <v>1</v>
      </c>
      <c r="BY17" s="12">
        <v>0</v>
      </c>
      <c r="CB17" t="s">
        <v>294</v>
      </c>
      <c r="CC17">
        <v>1</v>
      </c>
      <c r="CD17" s="5" t="str">
        <f t="shared" ca="1" si="21"/>
        <v>Amy</v>
      </c>
      <c r="CE17" s="5" t="str">
        <f t="shared" ca="1" si="22"/>
        <v>MigrosBank Festhypo</v>
      </c>
      <c r="CF17" s="5" t="str">
        <f t="shared" ca="1" si="23"/>
        <v>Amy - MigrosBank Festhypo - Erneuerung Hyporthek</v>
      </c>
      <c r="CG17" s="5"/>
    </row>
    <row r="18" spans="1:85" x14ac:dyDescent="0.25">
      <c r="A18" s="34"/>
      <c r="B18" s="34"/>
      <c r="C18" s="34"/>
      <c r="D18" s="34"/>
      <c r="E18" s="34"/>
      <c r="F18" s="60"/>
      <c r="G18" s="60"/>
      <c r="H18" s="60"/>
      <c r="I18" s="60"/>
      <c r="J18" s="60"/>
      <c r="K18" s="60"/>
      <c r="L18" s="60"/>
      <c r="M18" s="60"/>
      <c r="N18" s="60"/>
      <c r="O18" s="60"/>
      <c r="P18" s="60"/>
      <c r="Q18" s="60"/>
      <c r="R18" s="60"/>
      <c r="S18" s="60"/>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S18" s="5">
        <f t="shared" si="0"/>
        <v>0</v>
      </c>
      <c r="BT18" s="5" t="str">
        <f t="shared" si="1"/>
        <v>2027V_Hypo5</v>
      </c>
      <c r="BU18">
        <v>2027</v>
      </c>
      <c r="BV18" t="s">
        <v>99</v>
      </c>
      <c r="BW18">
        <v>5</v>
      </c>
      <c r="BX18">
        <v>0</v>
      </c>
      <c r="CA18">
        <v>-200000</v>
      </c>
      <c r="CB18" t="s">
        <v>237</v>
      </c>
      <c r="CD18" s="5" t="str">
        <f t="shared" ca="1" si="21"/>
        <v>-</v>
      </c>
      <c r="CE18" s="5" t="str">
        <f t="shared" ca="1" si="22"/>
        <v>Nachfolgehypothek</v>
      </c>
      <c r="CF18" s="5" t="str">
        <f t="shared" ca="1" si="23"/>
        <v>- - Nachfolgehypothek - Erneuerung MigrosBank FestI</v>
      </c>
      <c r="CG18" s="5"/>
    </row>
    <row r="19" spans="1:85" x14ac:dyDescent="0.25">
      <c r="A19" s="57"/>
      <c r="B19" s="57"/>
      <c r="C19" s="53"/>
      <c r="D19" s="54"/>
      <c r="E19" s="54"/>
      <c r="F19" s="59"/>
      <c r="G19" s="59"/>
      <c r="H19" s="59"/>
      <c r="I19" s="59"/>
      <c r="J19" s="59"/>
      <c r="K19" s="59"/>
      <c r="L19" s="59"/>
      <c r="M19" s="59"/>
      <c r="N19" s="59"/>
      <c r="O19" s="59"/>
      <c r="P19" s="59"/>
      <c r="Q19" s="59"/>
      <c r="R19" s="59"/>
      <c r="S19" s="59"/>
      <c r="T19" s="59"/>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c r="AU19" s="59"/>
      <c r="AV19" s="59"/>
      <c r="AW19" s="59"/>
      <c r="AX19" s="59"/>
      <c r="AY19" s="59"/>
      <c r="AZ19" s="59"/>
      <c r="BA19" s="59"/>
      <c r="BS19" s="5">
        <f t="shared" si="0"/>
        <v>0</v>
      </c>
      <c r="BT19" s="5" t="str">
        <f t="shared" si="1"/>
        <v>2029V_Hypo3</v>
      </c>
      <c r="BU19">
        <v>2029</v>
      </c>
      <c r="BV19" t="s">
        <v>99</v>
      </c>
      <c r="BW19">
        <v>3</v>
      </c>
      <c r="BX19">
        <v>1</v>
      </c>
      <c r="BY19" s="12">
        <v>0</v>
      </c>
      <c r="CB19" t="s">
        <v>294</v>
      </c>
      <c r="CC19">
        <v>1</v>
      </c>
      <c r="CD19" s="5" t="str">
        <f t="shared" ca="1" si="21"/>
        <v>Amy</v>
      </c>
      <c r="CE19" s="5" t="str">
        <f t="shared" ca="1" si="22"/>
        <v>MigrosBank Festhypo II</v>
      </c>
      <c r="CF19" s="5" t="str">
        <f t="shared" ca="1" si="23"/>
        <v>Amy - MigrosBank Festhypo II - Erneuerung Hyporthek</v>
      </c>
      <c r="CG19" s="5"/>
    </row>
    <row r="20" spans="1:85" ht="27.75" customHeight="1" x14ac:dyDescent="0.25">
      <c r="A20" s="56" t="s">
        <v>84</v>
      </c>
      <c r="B20" s="57" t="s">
        <v>85</v>
      </c>
      <c r="C20" s="53"/>
      <c r="D20" s="54"/>
      <c r="E20" s="54"/>
      <c r="F20" s="58">
        <f ca="1">SUM(F21:F38)</f>
        <v>-140120</v>
      </c>
      <c r="G20" s="58">
        <f t="shared" ref="G20:BA20" ca="1" si="29">SUM(G21:G38)</f>
        <v>-160079.24838406133</v>
      </c>
      <c r="H20" s="58">
        <f t="shared" ca="1" si="29"/>
        <v>-161906.04463335837</v>
      </c>
      <c r="I20" s="58">
        <f t="shared" ca="1" si="29"/>
        <v>-165524.6674728847</v>
      </c>
      <c r="J20" s="58">
        <f t="shared" ca="1" si="29"/>
        <v>-166825.09103607514</v>
      </c>
      <c r="K20" s="58">
        <f t="shared" ca="1" si="29"/>
        <v>-171003.45281101397</v>
      </c>
      <c r="L20" s="58">
        <f t="shared" ca="1" si="29"/>
        <v>-172414.41393605055</v>
      </c>
      <c r="M20" s="58">
        <f t="shared" ca="1" si="29"/>
        <v>-160260.95596955495</v>
      </c>
      <c r="N20" s="58">
        <f t="shared" ca="1" si="29"/>
        <v>-138849.83093423606</v>
      </c>
      <c r="O20" s="58">
        <f t="shared" ca="1" si="29"/>
        <v>-138173.76685526376</v>
      </c>
      <c r="P20" s="58">
        <f t="shared" ca="1" si="29"/>
        <v>-141928.42788919923</v>
      </c>
      <c r="Q20" s="58">
        <f t="shared" ca="1" si="29"/>
        <v>-143355.02727695269</v>
      </c>
      <c r="R20" s="58">
        <f t="shared" ca="1" si="29"/>
        <v>-144778.39485845098</v>
      </c>
      <c r="S20" s="58">
        <f t="shared" ca="1" si="29"/>
        <v>-146216.00628742061</v>
      </c>
      <c r="T20" s="58">
        <f t="shared" ca="1" si="29"/>
        <v>-147654.55815291475</v>
      </c>
      <c r="U20" s="58">
        <f t="shared" ca="1" si="29"/>
        <v>-149101.25817741058</v>
      </c>
      <c r="V20" s="58">
        <f t="shared" ca="1" si="29"/>
        <v>-150555.31934456574</v>
      </c>
      <c r="W20" s="58">
        <f t="shared" ca="1" si="29"/>
        <v>-152010.22728177154</v>
      </c>
      <c r="X20" s="58">
        <f t="shared" ca="1" si="29"/>
        <v>-153472.05058936999</v>
      </c>
      <c r="Y20" s="58">
        <f t="shared" ca="1" si="29"/>
        <v>-154940.5432864516</v>
      </c>
      <c r="Z20" s="58">
        <f t="shared" ca="1" si="29"/>
        <v>-156415.43268635354</v>
      </c>
      <c r="AA20" s="58">
        <f t="shared" ca="1" si="29"/>
        <v>-157896.4328742353</v>
      </c>
      <c r="AB20" s="58">
        <f t="shared" ca="1" si="29"/>
        <v>-159376.9783688598</v>
      </c>
      <c r="AC20" s="58">
        <f t="shared" ca="1" si="29"/>
        <v>-160863.08543632933</v>
      </c>
      <c r="AD20" s="58">
        <f t="shared" ca="1" si="29"/>
        <v>-162355.01479463556</v>
      </c>
      <c r="AE20" s="58">
        <f t="shared" ca="1" si="29"/>
        <v>-163845.04388431556</v>
      </c>
      <c r="AF20" s="58">
        <f t="shared" ca="1" si="29"/>
        <v>-165339.71115170498</v>
      </c>
      <c r="AG20" s="58">
        <f t="shared" ca="1" si="29"/>
        <v>-166839.23684502934</v>
      </c>
      <c r="AH20" s="58">
        <f t="shared" ca="1" si="29"/>
        <v>-168335.90191620024</v>
      </c>
      <c r="AI20" s="58">
        <f t="shared" ca="1" si="29"/>
        <v>-169836.17415222639</v>
      </c>
      <c r="AJ20" s="58">
        <f t="shared" ca="1" si="29"/>
        <v>-171339.66632004094</v>
      </c>
      <c r="AK20" s="58">
        <f t="shared" ca="1" si="29"/>
        <v>-172839.24961044054</v>
      </c>
      <c r="AL20" s="58">
        <f t="shared" ca="1" si="29"/>
        <v>-174341.30179819252</v>
      </c>
      <c r="AM20" s="58">
        <f t="shared" ca="1" si="29"/>
        <v>-175839.2884028253</v>
      </c>
      <c r="AN20" s="58">
        <f t="shared" ca="1" si="29"/>
        <v>-177341.71349115996</v>
      </c>
      <c r="AO20" s="58">
        <f t="shared" ca="1" si="29"/>
        <v>-178850.79873076166</v>
      </c>
      <c r="AP20" s="58">
        <f t="shared" ca="1" si="29"/>
        <v>-180360.89166057541</v>
      </c>
      <c r="AQ20" s="58">
        <f t="shared" ca="1" si="29"/>
        <v>-181903.26991143514</v>
      </c>
      <c r="AR20" s="58">
        <f t="shared" ca="1" si="29"/>
        <v>-183442.95235213733</v>
      </c>
      <c r="AS20" s="58">
        <f t="shared" ca="1" si="29"/>
        <v>-184978.97431598979</v>
      </c>
      <c r="AT20" s="58">
        <f t="shared" ca="1" si="29"/>
        <v>-186526.99398028929</v>
      </c>
      <c r="AU20" s="58">
        <f t="shared" ca="1" si="29"/>
        <v>-188067.6121138437</v>
      </c>
      <c r="AV20" s="58">
        <f t="shared" ca="1" si="29"/>
        <v>-189608.58618480578</v>
      </c>
      <c r="AW20" s="58">
        <f t="shared" ca="1" si="29"/>
        <v>-191148.88865841102</v>
      </c>
      <c r="AX20" s="58">
        <f t="shared" ca="1" si="29"/>
        <v>-192722.3849839434</v>
      </c>
      <c r="AY20" s="58">
        <f t="shared" ca="1" si="29"/>
        <v>-194314.80825867062</v>
      </c>
      <c r="AZ20" s="58">
        <f t="shared" ca="1" si="29"/>
        <v>-195902.99296357849</v>
      </c>
      <c r="BA20" s="58">
        <f t="shared" ca="1" si="29"/>
        <v>-197506.49555506822</v>
      </c>
      <c r="BS20" s="5">
        <f t="shared" si="0"/>
        <v>1</v>
      </c>
      <c r="BT20" s="5" t="str">
        <f t="shared" si="1"/>
        <v>2029V_Hypo5</v>
      </c>
      <c r="BU20">
        <v>2029</v>
      </c>
      <c r="BV20" t="s">
        <v>99</v>
      </c>
      <c r="BW20">
        <v>5</v>
      </c>
      <c r="BX20">
        <v>0</v>
      </c>
      <c r="CA20">
        <v>-200000</v>
      </c>
      <c r="CB20" t="s">
        <v>236</v>
      </c>
      <c r="CD20" s="5" t="str">
        <f t="shared" ca="1" si="21"/>
        <v>-</v>
      </c>
      <c r="CE20" s="5" t="str">
        <f t="shared" ca="1" si="22"/>
        <v>Nachfolgehypothek</v>
      </c>
      <c r="CF20" s="5" t="str">
        <f t="shared" ca="1" si="23"/>
        <v>- - Nachfolgehypothek - Erneuerung MigrosBank FestII</v>
      </c>
      <c r="CG20" s="5"/>
    </row>
    <row r="21" spans="1:85" x14ac:dyDescent="0.25">
      <c r="A21" s="57" t="str" cm="1">
        <f t="array" aca="1" ref="A21:A25" ca="1">INDIRECT($B20&amp;"[Titel]")</f>
        <v>Unterhaltskosten Leonard</v>
      </c>
      <c r="B21" s="57" cm="1">
        <f t="array" aca="1" ref="B21:B25" ca="1">INDIRECT($B20&amp;"[Id]")</f>
        <v>4</v>
      </c>
      <c r="C21" s="53" t="str" cm="1">
        <f t="array" aca="1" ref="C21:C25" ca="1">INDIRECT($B20&amp;"[Zugehörigkeit Bezeichnung]")</f>
        <v>Amy</v>
      </c>
      <c r="D21" s="54" cm="1">
        <f t="array" aca="1" ref="D21:D25" ca="1">INDIRECT($B20&amp;"[Rendite / Zins]")</f>
        <v>0</v>
      </c>
      <c r="E21" s="54"/>
      <c r="F21" s="59" cm="1">
        <f t="array" aca="1" ref="F21:F25" ca="1">INDIRECT($B20&amp;"[Betrag]")</f>
        <v>-12000</v>
      </c>
      <c r="G21" s="59" cm="1">
        <f t="array" aca="1" ref="G21:G25" ca="1">_xlfn.SWITCH(IFERROR(VLOOKUP(G$3&amp;$B$20&amp;_xlfn.ANCHORARRAY($B21),$BT:$CA,5,0),0),
0,_xlfn.ANCHORARRAY(F21)*(1+_xlfn.ANCHORARRAY($D21))+SUMIF($BT:$BT,G$3&amp;$B$20&amp;_xlfn.ANCHORARRAY($B21),$CA:$CA),
1,VLOOKUP(G$3&amp;$B$20&amp;_xlfn.ANCHORARRAY($B21),$BT:$CA,6,0),
2,_xlfn.ANCHORARRAY(F21)*(1+_xlfn.ANCHORARRAY($D21))*VLOOKUP(G$3&amp;$B$20&amp;_xlfn.ANCHORARRAY($B21),$BT:$CA,7,0))</f>
        <v>-12000</v>
      </c>
      <c r="H21" s="59" cm="1">
        <f t="array" aca="1" ref="H21:H25" ca="1">_xlfn.SWITCH(IFERROR(VLOOKUP(H$3&amp;$B$20&amp;_xlfn.ANCHORARRAY($B21),$BT:$CA,5,0),0),
0,_xlfn.ANCHORARRAY(G21)*(1+_xlfn.ANCHORARRAY($D21))+SUMIF($BT:$BT,H$3&amp;$B$20&amp;_xlfn.ANCHORARRAY($B21),$CA:$CA),
1,VLOOKUP(H$3&amp;$B$20&amp;_xlfn.ANCHORARRAY($B21),$BT:$CA,6,0),
2,_xlfn.ANCHORARRAY(G21)*(1+_xlfn.ANCHORARRAY($D21))*VLOOKUP(H$3&amp;$B$20&amp;_xlfn.ANCHORARRAY($B21),$BT:$CA,7,0))</f>
        <v>-12000</v>
      </c>
      <c r="I21" s="59" cm="1">
        <f t="array" aca="1" ref="I21:I25" ca="1">_xlfn.SWITCH(IFERROR(VLOOKUP(I$3&amp;$B$20&amp;_xlfn.ANCHORARRAY($B21),$BT:$CA,5,0),0),
0,_xlfn.ANCHORARRAY(H21)*(1+_xlfn.ANCHORARRAY($D21))+SUMIF($BT:$BT,I$3&amp;$B$20&amp;_xlfn.ANCHORARRAY($B21),$CA:$CA),
1,VLOOKUP(I$3&amp;$B$20&amp;_xlfn.ANCHORARRAY($B21),$BT:$CA,6,0),
2,_xlfn.ANCHORARRAY(H21)*(1+_xlfn.ANCHORARRAY($D21))*VLOOKUP(I$3&amp;$B$20&amp;_xlfn.ANCHORARRAY($B21),$BT:$CA,7,0))</f>
        <v>-12000</v>
      </c>
      <c r="J21" s="59" cm="1">
        <f t="array" aca="1" ref="J21:J25" ca="1">_xlfn.SWITCH(IFERROR(VLOOKUP(J$3&amp;$B$20&amp;_xlfn.ANCHORARRAY($B21),$BT:$CA,5,0),0),
0,_xlfn.ANCHORARRAY(I21)*(1+_xlfn.ANCHORARRAY($D21))+SUMIF($BT:$BT,J$3&amp;$B$20&amp;_xlfn.ANCHORARRAY($B21),$CA:$CA),
1,VLOOKUP(J$3&amp;$B$20&amp;_xlfn.ANCHORARRAY($B21),$BT:$CA,6,0),
2,_xlfn.ANCHORARRAY(I21)*(1+_xlfn.ANCHORARRAY($D21))*VLOOKUP(J$3&amp;$B$20&amp;_xlfn.ANCHORARRAY($B21),$BT:$CA,7,0))</f>
        <v>-12000</v>
      </c>
      <c r="K21" s="59" cm="1">
        <f t="array" aca="1" ref="K21:K25" ca="1">_xlfn.SWITCH(IFERROR(VLOOKUP(K$3&amp;$B$20&amp;_xlfn.ANCHORARRAY($B21),$BT:$CA,5,0),0),
0,_xlfn.ANCHORARRAY(J21)*(1+_xlfn.ANCHORARRAY($D21))+SUMIF($BT:$BT,K$3&amp;$B$20&amp;_xlfn.ANCHORARRAY($B21),$CA:$CA),
1,VLOOKUP(K$3&amp;$B$20&amp;_xlfn.ANCHORARRAY($B21),$BT:$CA,6,0),
2,_xlfn.ANCHORARRAY(J21)*(1+_xlfn.ANCHORARRAY($D21))*VLOOKUP(K$3&amp;$B$20&amp;_xlfn.ANCHORARRAY($B21),$BT:$CA,7,0))</f>
        <v>-8000</v>
      </c>
      <c r="L21" s="59" cm="1">
        <f t="array" aca="1" ref="L21:L25" ca="1">_xlfn.SWITCH(IFERROR(VLOOKUP(L$3&amp;$B$20&amp;_xlfn.ANCHORARRAY($B21),$BT:$CA,5,0),0),
0,_xlfn.ANCHORARRAY(K21)*(1+_xlfn.ANCHORARRAY($D21))+SUMIF($BT:$BT,L$3&amp;$B$20&amp;_xlfn.ANCHORARRAY($B21),$CA:$CA),
1,VLOOKUP(L$3&amp;$B$20&amp;_xlfn.ANCHORARRAY($B21),$BT:$CA,6,0),
2,_xlfn.ANCHORARRAY(K21)*(1+_xlfn.ANCHORARRAY($D21))*VLOOKUP(L$3&amp;$B$20&amp;_xlfn.ANCHORARRAY($B21),$BT:$CA,7,0))</f>
        <v>0</v>
      </c>
      <c r="M21" s="59" cm="1">
        <f t="array" aca="1" ref="M21:M25" ca="1">_xlfn.SWITCH(IFERROR(VLOOKUP(M$3&amp;$B$20&amp;_xlfn.ANCHORARRAY($B21),$BT:$CA,5,0),0),
0,_xlfn.ANCHORARRAY(L21)*(1+_xlfn.ANCHORARRAY($D21))+SUMIF($BT:$BT,M$3&amp;$B$20&amp;_xlfn.ANCHORARRAY($B21),$CA:$CA),
1,VLOOKUP(M$3&amp;$B$20&amp;_xlfn.ANCHORARRAY($B21),$BT:$CA,6,0),
2,_xlfn.ANCHORARRAY(L21)*(1+_xlfn.ANCHORARRAY($D21))*VLOOKUP(M$3&amp;$B$20&amp;_xlfn.ANCHORARRAY($B21),$BT:$CA,7,0))</f>
        <v>0</v>
      </c>
      <c r="N21" s="59" cm="1">
        <f t="array" aca="1" ref="N21:N25" ca="1">_xlfn.SWITCH(IFERROR(VLOOKUP(N$3&amp;$B$20&amp;_xlfn.ANCHORARRAY($B21),$BT:$CA,5,0),0),
0,_xlfn.ANCHORARRAY(M21)*(1+_xlfn.ANCHORARRAY($D21))+SUMIF($BT:$BT,N$3&amp;$B$20&amp;_xlfn.ANCHORARRAY($B21),$CA:$CA),
1,VLOOKUP(N$3&amp;$B$20&amp;_xlfn.ANCHORARRAY($B21),$BT:$CA,6,0),
2,_xlfn.ANCHORARRAY(M21)*(1+_xlfn.ANCHORARRAY($D21))*VLOOKUP(N$3&amp;$B$20&amp;_xlfn.ANCHORARRAY($B21),$BT:$CA,7,0))</f>
        <v>0</v>
      </c>
      <c r="O21" s="59" cm="1">
        <f t="array" aca="1" ref="O21:O25" ca="1">_xlfn.SWITCH(IFERROR(VLOOKUP(O$3&amp;$B$20&amp;_xlfn.ANCHORARRAY($B21),$BT:$CA,5,0),0),
0,_xlfn.ANCHORARRAY(N21)*(1+_xlfn.ANCHORARRAY($D21))+SUMIF($BT:$BT,O$3&amp;$B$20&amp;_xlfn.ANCHORARRAY($B21),$CA:$CA),
1,VLOOKUP(O$3&amp;$B$20&amp;_xlfn.ANCHORARRAY($B21),$BT:$CA,6,0),
2,_xlfn.ANCHORARRAY(N21)*(1+_xlfn.ANCHORARRAY($D21))*VLOOKUP(O$3&amp;$B$20&amp;_xlfn.ANCHORARRAY($B21),$BT:$CA,7,0))</f>
        <v>0</v>
      </c>
      <c r="P21" s="59" cm="1">
        <f t="array" aca="1" ref="P21:P25" ca="1">_xlfn.SWITCH(IFERROR(VLOOKUP(P$3&amp;$B$20&amp;_xlfn.ANCHORARRAY($B21),$BT:$CA,5,0),0),
0,_xlfn.ANCHORARRAY(O21)*(1+_xlfn.ANCHORARRAY($D21))+SUMIF($BT:$BT,P$3&amp;$B$20&amp;_xlfn.ANCHORARRAY($B21),$CA:$CA),
1,VLOOKUP(P$3&amp;$B$20&amp;_xlfn.ANCHORARRAY($B21),$BT:$CA,6,0),
2,_xlfn.ANCHORARRAY(O21)*(1+_xlfn.ANCHORARRAY($D21))*VLOOKUP(P$3&amp;$B$20&amp;_xlfn.ANCHORARRAY($B21),$BT:$CA,7,0))</f>
        <v>0</v>
      </c>
      <c r="Q21" s="59" cm="1">
        <f t="array" aca="1" ref="Q21:Q25" ca="1">_xlfn.SWITCH(IFERROR(VLOOKUP(Q$3&amp;$B$20&amp;_xlfn.ANCHORARRAY($B21),$BT:$CA,5,0),0),
0,_xlfn.ANCHORARRAY(P21)*(1+_xlfn.ANCHORARRAY($D21))+SUMIF($BT:$BT,Q$3&amp;$B$20&amp;_xlfn.ANCHORARRAY($B21),$CA:$CA),
1,VLOOKUP(Q$3&amp;$B$20&amp;_xlfn.ANCHORARRAY($B21),$BT:$CA,6,0),
2,_xlfn.ANCHORARRAY(P21)*(1+_xlfn.ANCHORARRAY($D21))*VLOOKUP(Q$3&amp;$B$20&amp;_xlfn.ANCHORARRAY($B21),$BT:$CA,7,0))</f>
        <v>0</v>
      </c>
      <c r="R21" s="59" cm="1">
        <f t="array" aca="1" ref="R21:R25" ca="1">_xlfn.SWITCH(IFERROR(VLOOKUP(R$3&amp;$B$20&amp;_xlfn.ANCHORARRAY($B21),$BT:$CA,5,0),0),
0,_xlfn.ANCHORARRAY(Q21)*(1+_xlfn.ANCHORARRAY($D21))+SUMIF($BT:$BT,R$3&amp;$B$20&amp;_xlfn.ANCHORARRAY($B21),$CA:$CA),
1,VLOOKUP(R$3&amp;$B$20&amp;_xlfn.ANCHORARRAY($B21),$BT:$CA,6,0),
2,_xlfn.ANCHORARRAY(Q21)*(1+_xlfn.ANCHORARRAY($D21))*VLOOKUP(R$3&amp;$B$20&amp;_xlfn.ANCHORARRAY($B21),$BT:$CA,7,0))</f>
        <v>0</v>
      </c>
      <c r="S21" s="59" cm="1">
        <f t="array" aca="1" ref="S21:S25" ca="1">_xlfn.SWITCH(IFERROR(VLOOKUP(S$3&amp;$B$20&amp;_xlfn.ANCHORARRAY($B21),$BT:$CA,5,0),0),
0,_xlfn.ANCHORARRAY(R21)*(1+_xlfn.ANCHORARRAY($D21))+SUMIF($BT:$BT,S$3&amp;$B$20&amp;_xlfn.ANCHORARRAY($B21),$CA:$CA),
1,VLOOKUP(S$3&amp;$B$20&amp;_xlfn.ANCHORARRAY($B21),$BT:$CA,6,0),
2,_xlfn.ANCHORARRAY(R21)*(1+_xlfn.ANCHORARRAY($D21))*VLOOKUP(S$3&amp;$B$20&amp;_xlfn.ANCHORARRAY($B21),$BT:$CA,7,0))</f>
        <v>0</v>
      </c>
      <c r="T21" s="59" cm="1">
        <f t="array" aca="1" ref="T21:T25" ca="1">_xlfn.SWITCH(IFERROR(VLOOKUP(T$3&amp;$B$20&amp;_xlfn.ANCHORARRAY($B21),$BT:$CA,5,0),0),
0,_xlfn.ANCHORARRAY(S21)*(1+_xlfn.ANCHORARRAY($D21))+SUMIF($BT:$BT,T$3&amp;$B$20&amp;_xlfn.ANCHORARRAY($B21),$CA:$CA),
1,VLOOKUP(T$3&amp;$B$20&amp;_xlfn.ANCHORARRAY($B21),$BT:$CA,6,0),
2,_xlfn.ANCHORARRAY(S21)*(1+_xlfn.ANCHORARRAY($D21))*VLOOKUP(T$3&amp;$B$20&amp;_xlfn.ANCHORARRAY($B21),$BT:$CA,7,0))</f>
        <v>0</v>
      </c>
      <c r="U21" s="59" cm="1">
        <f t="array" aca="1" ref="U21:U25" ca="1">_xlfn.SWITCH(IFERROR(VLOOKUP(U$3&amp;$B$20&amp;_xlfn.ANCHORARRAY($B21),$BT:$CA,5,0),0),
0,_xlfn.ANCHORARRAY(T21)*(1+_xlfn.ANCHORARRAY($D21))+SUMIF($BT:$BT,U$3&amp;$B$20&amp;_xlfn.ANCHORARRAY($B21),$CA:$CA),
1,VLOOKUP(U$3&amp;$B$20&amp;_xlfn.ANCHORARRAY($B21),$BT:$CA,6,0),
2,_xlfn.ANCHORARRAY(T21)*(1+_xlfn.ANCHORARRAY($D21))*VLOOKUP(U$3&amp;$B$20&amp;_xlfn.ANCHORARRAY($B21),$BT:$CA,7,0))</f>
        <v>0</v>
      </c>
      <c r="V21" s="59" cm="1">
        <f t="array" aca="1" ref="V21:V25" ca="1">_xlfn.SWITCH(IFERROR(VLOOKUP(V$3&amp;$B$20&amp;_xlfn.ANCHORARRAY($B21),$BT:$CA,5,0),0),
0,_xlfn.ANCHORARRAY(U21)*(1+_xlfn.ANCHORARRAY($D21))+SUMIF($BT:$BT,V$3&amp;$B$20&amp;_xlfn.ANCHORARRAY($B21),$CA:$CA),
1,VLOOKUP(V$3&amp;$B$20&amp;_xlfn.ANCHORARRAY($B21),$BT:$CA,6,0),
2,_xlfn.ANCHORARRAY(U21)*(1+_xlfn.ANCHORARRAY($D21))*VLOOKUP(V$3&amp;$B$20&amp;_xlfn.ANCHORARRAY($B21),$BT:$CA,7,0))</f>
        <v>0</v>
      </c>
      <c r="W21" s="59" cm="1">
        <f t="array" aca="1" ref="W21:W25" ca="1">_xlfn.SWITCH(IFERROR(VLOOKUP(W$3&amp;$B$20&amp;_xlfn.ANCHORARRAY($B21),$BT:$CA,5,0),0),
0,_xlfn.ANCHORARRAY(V21)*(1+_xlfn.ANCHORARRAY($D21))+SUMIF($BT:$BT,W$3&amp;$B$20&amp;_xlfn.ANCHORARRAY($B21),$CA:$CA),
1,VLOOKUP(W$3&amp;$B$20&amp;_xlfn.ANCHORARRAY($B21),$BT:$CA,6,0),
2,_xlfn.ANCHORARRAY(V21)*(1+_xlfn.ANCHORARRAY($D21))*VLOOKUP(W$3&amp;$B$20&amp;_xlfn.ANCHORARRAY($B21),$BT:$CA,7,0))</f>
        <v>0</v>
      </c>
      <c r="X21" s="59" cm="1">
        <f t="array" aca="1" ref="X21:X25" ca="1">_xlfn.SWITCH(IFERROR(VLOOKUP(X$3&amp;$B$20&amp;_xlfn.ANCHORARRAY($B21),$BT:$CA,5,0),0),
0,_xlfn.ANCHORARRAY(W21)*(1+_xlfn.ANCHORARRAY($D21))+SUMIF($BT:$BT,X$3&amp;$B$20&amp;_xlfn.ANCHORARRAY($B21),$CA:$CA),
1,VLOOKUP(X$3&amp;$B$20&amp;_xlfn.ANCHORARRAY($B21),$BT:$CA,6,0),
2,_xlfn.ANCHORARRAY(W21)*(1+_xlfn.ANCHORARRAY($D21))*VLOOKUP(X$3&amp;$B$20&amp;_xlfn.ANCHORARRAY($B21),$BT:$CA,7,0))</f>
        <v>0</v>
      </c>
      <c r="Y21" s="59" cm="1">
        <f t="array" aca="1" ref="Y21:Y25" ca="1">_xlfn.SWITCH(IFERROR(VLOOKUP(Y$3&amp;$B$20&amp;_xlfn.ANCHORARRAY($B21),$BT:$CA,5,0),0),
0,_xlfn.ANCHORARRAY(X21)*(1+_xlfn.ANCHORARRAY($D21))+SUMIF($BT:$BT,Y$3&amp;$B$20&amp;_xlfn.ANCHORARRAY($B21),$CA:$CA),
1,VLOOKUP(Y$3&amp;$B$20&amp;_xlfn.ANCHORARRAY($B21),$BT:$CA,6,0),
2,_xlfn.ANCHORARRAY(X21)*(1+_xlfn.ANCHORARRAY($D21))*VLOOKUP(Y$3&amp;$B$20&amp;_xlfn.ANCHORARRAY($B21),$BT:$CA,7,0))</f>
        <v>0</v>
      </c>
      <c r="Z21" s="59" cm="1">
        <f t="array" aca="1" ref="Z21:Z25" ca="1">_xlfn.SWITCH(IFERROR(VLOOKUP(Z$3&amp;$B$20&amp;_xlfn.ANCHORARRAY($B21),$BT:$CA,5,0),0),
0,_xlfn.ANCHORARRAY(Y21)*(1+_xlfn.ANCHORARRAY($D21))+SUMIF($BT:$BT,Z$3&amp;$B$20&amp;_xlfn.ANCHORARRAY($B21),$CA:$CA),
1,VLOOKUP(Z$3&amp;$B$20&amp;_xlfn.ANCHORARRAY($B21),$BT:$CA,6,0),
2,_xlfn.ANCHORARRAY(Y21)*(1+_xlfn.ANCHORARRAY($D21))*VLOOKUP(Z$3&amp;$B$20&amp;_xlfn.ANCHORARRAY($B21),$BT:$CA,7,0))</f>
        <v>0</v>
      </c>
      <c r="AA21" s="59" cm="1">
        <f t="array" aca="1" ref="AA21:AA25" ca="1">_xlfn.SWITCH(IFERROR(VLOOKUP(AA$3&amp;$B$20&amp;_xlfn.ANCHORARRAY($B21),$BT:$CA,5,0),0),
0,_xlfn.ANCHORARRAY(Z21)*(1+_xlfn.ANCHORARRAY($D21))+SUMIF($BT:$BT,AA$3&amp;$B$20&amp;_xlfn.ANCHORARRAY($B21),$CA:$CA),
1,VLOOKUP(AA$3&amp;$B$20&amp;_xlfn.ANCHORARRAY($B21),$BT:$CA,6,0),
2,_xlfn.ANCHORARRAY(Z21)*(1+_xlfn.ANCHORARRAY($D21))*VLOOKUP(AA$3&amp;$B$20&amp;_xlfn.ANCHORARRAY($B21),$BT:$CA,7,0))</f>
        <v>0</v>
      </c>
      <c r="AB21" s="59" cm="1">
        <f t="array" aca="1" ref="AB21:AB25" ca="1">_xlfn.SWITCH(IFERROR(VLOOKUP(AB$3&amp;$B$20&amp;_xlfn.ANCHORARRAY($B21),$BT:$CA,5,0),0),
0,_xlfn.ANCHORARRAY(AA21)*(1+_xlfn.ANCHORARRAY($D21))+SUMIF($BT:$BT,AB$3&amp;$B$20&amp;_xlfn.ANCHORARRAY($B21),$CA:$CA),
1,VLOOKUP(AB$3&amp;$B$20&amp;_xlfn.ANCHORARRAY($B21),$BT:$CA,6,0),
2,_xlfn.ANCHORARRAY(AA21)*(1+_xlfn.ANCHORARRAY($D21))*VLOOKUP(AB$3&amp;$B$20&amp;_xlfn.ANCHORARRAY($B21),$BT:$CA,7,0))</f>
        <v>0</v>
      </c>
      <c r="AC21" s="59" cm="1">
        <f t="array" aca="1" ref="AC21:AC25" ca="1">_xlfn.SWITCH(IFERROR(VLOOKUP(AC$3&amp;$B$20&amp;_xlfn.ANCHORARRAY($B21),$BT:$CA,5,0),0),
0,_xlfn.ANCHORARRAY(AB21)*(1+_xlfn.ANCHORARRAY($D21))+SUMIF($BT:$BT,AC$3&amp;$B$20&amp;_xlfn.ANCHORARRAY($B21),$CA:$CA),
1,VLOOKUP(AC$3&amp;$B$20&amp;_xlfn.ANCHORARRAY($B21),$BT:$CA,6,0),
2,_xlfn.ANCHORARRAY(AB21)*(1+_xlfn.ANCHORARRAY($D21))*VLOOKUP(AC$3&amp;$B$20&amp;_xlfn.ANCHORARRAY($B21),$BT:$CA,7,0))</f>
        <v>0</v>
      </c>
      <c r="AD21" s="59" cm="1">
        <f t="array" aca="1" ref="AD21:AD25" ca="1">_xlfn.SWITCH(IFERROR(VLOOKUP(AD$3&amp;$B$20&amp;_xlfn.ANCHORARRAY($B21),$BT:$CA,5,0),0),
0,_xlfn.ANCHORARRAY(AC21)*(1+_xlfn.ANCHORARRAY($D21))+SUMIF($BT:$BT,AD$3&amp;$B$20&amp;_xlfn.ANCHORARRAY($B21),$CA:$CA),
1,VLOOKUP(AD$3&amp;$B$20&amp;_xlfn.ANCHORARRAY($B21),$BT:$CA,6,0),
2,_xlfn.ANCHORARRAY(AC21)*(1+_xlfn.ANCHORARRAY($D21))*VLOOKUP(AD$3&amp;$B$20&amp;_xlfn.ANCHORARRAY($B21),$BT:$CA,7,0))</f>
        <v>0</v>
      </c>
      <c r="AE21" s="59" cm="1">
        <f t="array" aca="1" ref="AE21:AE25" ca="1">_xlfn.SWITCH(IFERROR(VLOOKUP(AE$3&amp;$B$20&amp;_xlfn.ANCHORARRAY($B21),$BT:$CA,5,0),0),
0,_xlfn.ANCHORARRAY(AD21)*(1+_xlfn.ANCHORARRAY($D21))+SUMIF($BT:$BT,AE$3&amp;$B$20&amp;_xlfn.ANCHORARRAY($B21),$CA:$CA),
1,VLOOKUP(AE$3&amp;$B$20&amp;_xlfn.ANCHORARRAY($B21),$BT:$CA,6,0),
2,_xlfn.ANCHORARRAY(AD21)*(1+_xlfn.ANCHORARRAY($D21))*VLOOKUP(AE$3&amp;$B$20&amp;_xlfn.ANCHORARRAY($B21),$BT:$CA,7,0))</f>
        <v>0</v>
      </c>
      <c r="AF21" s="59" cm="1">
        <f t="array" aca="1" ref="AF21:AF25" ca="1">_xlfn.SWITCH(IFERROR(VLOOKUP(AF$3&amp;$B$20&amp;_xlfn.ANCHORARRAY($B21),$BT:$CA,5,0),0),
0,_xlfn.ANCHORARRAY(AE21)*(1+_xlfn.ANCHORARRAY($D21))+SUMIF($BT:$BT,AF$3&amp;$B$20&amp;_xlfn.ANCHORARRAY($B21),$CA:$CA),
1,VLOOKUP(AF$3&amp;$B$20&amp;_xlfn.ANCHORARRAY($B21),$BT:$CA,6,0),
2,_xlfn.ANCHORARRAY(AE21)*(1+_xlfn.ANCHORARRAY($D21))*VLOOKUP(AF$3&amp;$B$20&amp;_xlfn.ANCHORARRAY($B21),$BT:$CA,7,0))</f>
        <v>0</v>
      </c>
      <c r="AG21" s="59" cm="1">
        <f t="array" aca="1" ref="AG21:AG25" ca="1">_xlfn.SWITCH(IFERROR(VLOOKUP(AG$3&amp;$B$20&amp;_xlfn.ANCHORARRAY($B21),$BT:$CA,5,0),0),
0,_xlfn.ANCHORARRAY(AF21)*(1+_xlfn.ANCHORARRAY($D21))+SUMIF($BT:$BT,AG$3&amp;$B$20&amp;_xlfn.ANCHORARRAY($B21),$CA:$CA),
1,VLOOKUP(AG$3&amp;$B$20&amp;_xlfn.ANCHORARRAY($B21),$BT:$CA,6,0),
2,_xlfn.ANCHORARRAY(AF21)*(1+_xlfn.ANCHORARRAY($D21))*VLOOKUP(AG$3&amp;$B$20&amp;_xlfn.ANCHORARRAY($B21),$BT:$CA,7,0))</f>
        <v>0</v>
      </c>
      <c r="AH21" s="59" cm="1">
        <f t="array" aca="1" ref="AH21:AH25" ca="1">_xlfn.SWITCH(IFERROR(VLOOKUP(AH$3&amp;$B$20&amp;_xlfn.ANCHORARRAY($B21),$BT:$CA,5,0),0),
0,_xlfn.ANCHORARRAY(AG21)*(1+_xlfn.ANCHORARRAY($D21))+SUMIF($BT:$BT,AH$3&amp;$B$20&amp;_xlfn.ANCHORARRAY($B21),$CA:$CA),
1,VLOOKUP(AH$3&amp;$B$20&amp;_xlfn.ANCHORARRAY($B21),$BT:$CA,6,0),
2,_xlfn.ANCHORARRAY(AG21)*(1+_xlfn.ANCHORARRAY($D21))*VLOOKUP(AH$3&amp;$B$20&amp;_xlfn.ANCHORARRAY($B21),$BT:$CA,7,0))</f>
        <v>0</v>
      </c>
      <c r="AI21" s="59" cm="1">
        <f t="array" aca="1" ref="AI21:AI25" ca="1">_xlfn.SWITCH(IFERROR(VLOOKUP(AI$3&amp;$B$20&amp;_xlfn.ANCHORARRAY($B21),$BT:$CA,5,0),0),
0,_xlfn.ANCHORARRAY(AH21)*(1+_xlfn.ANCHORARRAY($D21))+SUMIF($BT:$BT,AI$3&amp;$B$20&amp;_xlfn.ANCHORARRAY($B21),$CA:$CA),
1,VLOOKUP(AI$3&amp;$B$20&amp;_xlfn.ANCHORARRAY($B21),$BT:$CA,6,0),
2,_xlfn.ANCHORARRAY(AH21)*(1+_xlfn.ANCHORARRAY($D21))*VLOOKUP(AI$3&amp;$B$20&amp;_xlfn.ANCHORARRAY($B21),$BT:$CA,7,0))</f>
        <v>0</v>
      </c>
      <c r="AJ21" s="59" cm="1">
        <f t="array" aca="1" ref="AJ21:AJ25" ca="1">_xlfn.SWITCH(IFERROR(VLOOKUP(AJ$3&amp;$B$20&amp;_xlfn.ANCHORARRAY($B21),$BT:$CA,5,0),0),
0,_xlfn.ANCHORARRAY(AI21)*(1+_xlfn.ANCHORARRAY($D21))+SUMIF($BT:$BT,AJ$3&amp;$B$20&amp;_xlfn.ANCHORARRAY($B21),$CA:$CA),
1,VLOOKUP(AJ$3&amp;$B$20&amp;_xlfn.ANCHORARRAY($B21),$BT:$CA,6,0),
2,_xlfn.ANCHORARRAY(AI21)*(1+_xlfn.ANCHORARRAY($D21))*VLOOKUP(AJ$3&amp;$B$20&amp;_xlfn.ANCHORARRAY($B21),$BT:$CA,7,0))</f>
        <v>0</v>
      </c>
      <c r="AK21" s="59" cm="1">
        <f t="array" aca="1" ref="AK21:AK25" ca="1">_xlfn.SWITCH(IFERROR(VLOOKUP(AK$3&amp;$B$20&amp;_xlfn.ANCHORARRAY($B21),$BT:$CA,5,0),0),
0,_xlfn.ANCHORARRAY(AJ21)*(1+_xlfn.ANCHORARRAY($D21))+SUMIF($BT:$BT,AK$3&amp;$B$20&amp;_xlfn.ANCHORARRAY($B21),$CA:$CA),
1,VLOOKUP(AK$3&amp;$B$20&amp;_xlfn.ANCHORARRAY($B21),$BT:$CA,6,0),
2,_xlfn.ANCHORARRAY(AJ21)*(1+_xlfn.ANCHORARRAY($D21))*VLOOKUP(AK$3&amp;$B$20&amp;_xlfn.ANCHORARRAY($B21),$BT:$CA,7,0))</f>
        <v>0</v>
      </c>
      <c r="AL21" s="59" cm="1">
        <f t="array" aca="1" ref="AL21:AL25" ca="1">_xlfn.SWITCH(IFERROR(VLOOKUP(AL$3&amp;$B$20&amp;_xlfn.ANCHORARRAY($B21),$BT:$CA,5,0),0),
0,_xlfn.ANCHORARRAY(AK21)*(1+_xlfn.ANCHORARRAY($D21))+SUMIF($BT:$BT,AL$3&amp;$B$20&amp;_xlfn.ANCHORARRAY($B21),$CA:$CA),
1,VLOOKUP(AL$3&amp;$B$20&amp;_xlfn.ANCHORARRAY($B21),$BT:$CA,6,0),
2,_xlfn.ANCHORARRAY(AK21)*(1+_xlfn.ANCHORARRAY($D21))*VLOOKUP(AL$3&amp;$B$20&amp;_xlfn.ANCHORARRAY($B21),$BT:$CA,7,0))</f>
        <v>0</v>
      </c>
      <c r="AM21" s="59" cm="1">
        <f t="array" aca="1" ref="AM21:AM25" ca="1">_xlfn.SWITCH(IFERROR(VLOOKUP(AM$3&amp;$B$20&amp;_xlfn.ANCHORARRAY($B21),$BT:$CA,5,0),0),
0,_xlfn.ANCHORARRAY(AL21)*(1+_xlfn.ANCHORARRAY($D21))+SUMIF($BT:$BT,AM$3&amp;$B$20&amp;_xlfn.ANCHORARRAY($B21),$CA:$CA),
1,VLOOKUP(AM$3&amp;$B$20&amp;_xlfn.ANCHORARRAY($B21),$BT:$CA,6,0),
2,_xlfn.ANCHORARRAY(AL21)*(1+_xlfn.ANCHORARRAY($D21))*VLOOKUP(AM$3&amp;$B$20&amp;_xlfn.ANCHORARRAY($B21),$BT:$CA,7,0))</f>
        <v>0</v>
      </c>
      <c r="AN21" s="59" cm="1">
        <f t="array" aca="1" ref="AN21:AN25" ca="1">_xlfn.SWITCH(IFERROR(VLOOKUP(AN$3&amp;$B$20&amp;_xlfn.ANCHORARRAY($B21),$BT:$CA,5,0),0),
0,_xlfn.ANCHORARRAY(AM21)*(1+_xlfn.ANCHORARRAY($D21))+SUMIF($BT:$BT,AN$3&amp;$B$20&amp;_xlfn.ANCHORARRAY($B21),$CA:$CA),
1,VLOOKUP(AN$3&amp;$B$20&amp;_xlfn.ANCHORARRAY($B21),$BT:$CA,6,0),
2,_xlfn.ANCHORARRAY(AM21)*(1+_xlfn.ANCHORARRAY($D21))*VLOOKUP(AN$3&amp;$B$20&amp;_xlfn.ANCHORARRAY($B21),$BT:$CA,7,0))</f>
        <v>0</v>
      </c>
      <c r="AO21" s="59" cm="1">
        <f t="array" aca="1" ref="AO21:AO25" ca="1">_xlfn.SWITCH(IFERROR(VLOOKUP(AO$3&amp;$B$20&amp;_xlfn.ANCHORARRAY($B21),$BT:$CA,5,0),0),
0,_xlfn.ANCHORARRAY(AN21)*(1+_xlfn.ANCHORARRAY($D21))+SUMIF($BT:$BT,AO$3&amp;$B$20&amp;_xlfn.ANCHORARRAY($B21),$CA:$CA),
1,VLOOKUP(AO$3&amp;$B$20&amp;_xlfn.ANCHORARRAY($B21),$BT:$CA,6,0),
2,_xlfn.ANCHORARRAY(AN21)*(1+_xlfn.ANCHORARRAY($D21))*VLOOKUP(AO$3&amp;$B$20&amp;_xlfn.ANCHORARRAY($B21),$BT:$CA,7,0))</f>
        <v>0</v>
      </c>
      <c r="AP21" s="59" cm="1">
        <f t="array" aca="1" ref="AP21:AP25" ca="1">_xlfn.SWITCH(IFERROR(VLOOKUP(AP$3&amp;$B$20&amp;_xlfn.ANCHORARRAY($B21),$BT:$CA,5,0),0),
0,_xlfn.ANCHORARRAY(AO21)*(1+_xlfn.ANCHORARRAY($D21))+SUMIF($BT:$BT,AP$3&amp;$B$20&amp;_xlfn.ANCHORARRAY($B21),$CA:$CA),
1,VLOOKUP(AP$3&amp;$B$20&amp;_xlfn.ANCHORARRAY($B21),$BT:$CA,6,0),
2,_xlfn.ANCHORARRAY(AO21)*(1+_xlfn.ANCHORARRAY($D21))*VLOOKUP(AP$3&amp;$B$20&amp;_xlfn.ANCHORARRAY($B21),$BT:$CA,7,0))</f>
        <v>0</v>
      </c>
      <c r="AQ21" s="59" cm="1">
        <f t="array" aca="1" ref="AQ21:AQ25" ca="1">_xlfn.SWITCH(IFERROR(VLOOKUP(AQ$3&amp;$B$20&amp;_xlfn.ANCHORARRAY($B21),$BT:$CA,5,0),0),
0,_xlfn.ANCHORARRAY(AP21)*(1+_xlfn.ANCHORARRAY($D21))+SUMIF($BT:$BT,AQ$3&amp;$B$20&amp;_xlfn.ANCHORARRAY($B21),$CA:$CA),
1,VLOOKUP(AQ$3&amp;$B$20&amp;_xlfn.ANCHORARRAY($B21),$BT:$CA,6,0),
2,_xlfn.ANCHORARRAY(AP21)*(1+_xlfn.ANCHORARRAY($D21))*VLOOKUP(AQ$3&amp;$B$20&amp;_xlfn.ANCHORARRAY($B21),$BT:$CA,7,0))</f>
        <v>0</v>
      </c>
      <c r="AR21" s="59" cm="1">
        <f t="array" aca="1" ref="AR21:AR25" ca="1">_xlfn.SWITCH(IFERROR(VLOOKUP(AR$3&amp;$B$20&amp;_xlfn.ANCHORARRAY($B21),$BT:$CA,5,0),0),
0,_xlfn.ANCHORARRAY(AQ21)*(1+_xlfn.ANCHORARRAY($D21))+SUMIF($BT:$BT,AR$3&amp;$B$20&amp;_xlfn.ANCHORARRAY($B21),$CA:$CA),
1,VLOOKUP(AR$3&amp;$B$20&amp;_xlfn.ANCHORARRAY($B21),$BT:$CA,6,0),
2,_xlfn.ANCHORARRAY(AQ21)*(1+_xlfn.ANCHORARRAY($D21))*VLOOKUP(AR$3&amp;$B$20&amp;_xlfn.ANCHORARRAY($B21),$BT:$CA,7,0))</f>
        <v>0</v>
      </c>
      <c r="AS21" s="59" cm="1">
        <f t="array" aca="1" ref="AS21:AS25" ca="1">_xlfn.SWITCH(IFERROR(VLOOKUP(AS$3&amp;$B$20&amp;_xlfn.ANCHORARRAY($B21),$BT:$CA,5,0),0),
0,_xlfn.ANCHORARRAY(AR21)*(1+_xlfn.ANCHORARRAY($D21))+SUMIF($BT:$BT,AS$3&amp;$B$20&amp;_xlfn.ANCHORARRAY($B21),$CA:$CA),
1,VLOOKUP(AS$3&amp;$B$20&amp;_xlfn.ANCHORARRAY($B21),$BT:$CA,6,0),
2,_xlfn.ANCHORARRAY(AR21)*(1+_xlfn.ANCHORARRAY($D21))*VLOOKUP(AS$3&amp;$B$20&amp;_xlfn.ANCHORARRAY($B21),$BT:$CA,7,0))</f>
        <v>0</v>
      </c>
      <c r="AT21" s="59" cm="1">
        <f t="array" aca="1" ref="AT21:AT25" ca="1">_xlfn.SWITCH(IFERROR(VLOOKUP(AT$3&amp;$B$20&amp;_xlfn.ANCHORARRAY($B21),$BT:$CA,5,0),0),
0,_xlfn.ANCHORARRAY(AS21)*(1+_xlfn.ANCHORARRAY($D21))+SUMIF($BT:$BT,AT$3&amp;$B$20&amp;_xlfn.ANCHORARRAY($B21),$CA:$CA),
1,VLOOKUP(AT$3&amp;$B$20&amp;_xlfn.ANCHORARRAY($B21),$BT:$CA,6,0),
2,_xlfn.ANCHORARRAY(AS21)*(1+_xlfn.ANCHORARRAY($D21))*VLOOKUP(AT$3&amp;$B$20&amp;_xlfn.ANCHORARRAY($B21),$BT:$CA,7,0))</f>
        <v>0</v>
      </c>
      <c r="AU21" s="59" cm="1">
        <f t="array" aca="1" ref="AU21:AU25" ca="1">_xlfn.SWITCH(IFERROR(VLOOKUP(AU$3&amp;$B$20&amp;_xlfn.ANCHORARRAY($B21),$BT:$CA,5,0),0),
0,_xlfn.ANCHORARRAY(AT21)*(1+_xlfn.ANCHORARRAY($D21))+SUMIF($BT:$BT,AU$3&amp;$B$20&amp;_xlfn.ANCHORARRAY($B21),$CA:$CA),
1,VLOOKUP(AU$3&amp;$B$20&amp;_xlfn.ANCHORARRAY($B21),$BT:$CA,6,0),
2,_xlfn.ANCHORARRAY(AT21)*(1+_xlfn.ANCHORARRAY($D21))*VLOOKUP(AU$3&amp;$B$20&amp;_xlfn.ANCHORARRAY($B21),$BT:$CA,7,0))</f>
        <v>0</v>
      </c>
      <c r="AV21" s="59" cm="1">
        <f t="array" aca="1" ref="AV21:AV25" ca="1">_xlfn.SWITCH(IFERROR(VLOOKUP(AV$3&amp;$B$20&amp;_xlfn.ANCHORARRAY($B21),$BT:$CA,5,0),0),
0,_xlfn.ANCHORARRAY(AU21)*(1+_xlfn.ANCHORARRAY($D21))+SUMIF($BT:$BT,AV$3&amp;$B$20&amp;_xlfn.ANCHORARRAY($B21),$CA:$CA),
1,VLOOKUP(AV$3&amp;$B$20&amp;_xlfn.ANCHORARRAY($B21),$BT:$CA,6,0),
2,_xlfn.ANCHORARRAY(AU21)*(1+_xlfn.ANCHORARRAY($D21))*VLOOKUP(AV$3&amp;$B$20&amp;_xlfn.ANCHORARRAY($B21),$BT:$CA,7,0))</f>
        <v>0</v>
      </c>
      <c r="AW21" s="59" cm="1">
        <f t="array" aca="1" ref="AW21:AW25" ca="1">_xlfn.SWITCH(IFERROR(VLOOKUP(AW$3&amp;$B$20&amp;_xlfn.ANCHORARRAY($B21),$BT:$CA,5,0),0),
0,_xlfn.ANCHORARRAY(AV21)*(1+_xlfn.ANCHORARRAY($D21))+SUMIF($BT:$BT,AW$3&amp;$B$20&amp;_xlfn.ANCHORARRAY($B21),$CA:$CA),
1,VLOOKUP(AW$3&amp;$B$20&amp;_xlfn.ANCHORARRAY($B21),$BT:$CA,6,0),
2,_xlfn.ANCHORARRAY(AV21)*(1+_xlfn.ANCHORARRAY($D21))*VLOOKUP(AW$3&amp;$B$20&amp;_xlfn.ANCHORARRAY($B21),$BT:$CA,7,0))</f>
        <v>0</v>
      </c>
      <c r="AX21" s="59" cm="1">
        <f t="array" aca="1" ref="AX21:AX25" ca="1">_xlfn.SWITCH(IFERROR(VLOOKUP(AX$3&amp;$B$20&amp;_xlfn.ANCHORARRAY($B21),$BT:$CA,5,0),0),
0,_xlfn.ANCHORARRAY(AW21)*(1+_xlfn.ANCHORARRAY($D21))+SUMIF($BT:$BT,AX$3&amp;$B$20&amp;_xlfn.ANCHORARRAY($B21),$CA:$CA),
1,VLOOKUP(AX$3&amp;$B$20&amp;_xlfn.ANCHORARRAY($B21),$BT:$CA,6,0),
2,_xlfn.ANCHORARRAY(AW21)*(1+_xlfn.ANCHORARRAY($D21))*VLOOKUP(AX$3&amp;$B$20&amp;_xlfn.ANCHORARRAY($B21),$BT:$CA,7,0))</f>
        <v>0</v>
      </c>
      <c r="AY21" s="59" cm="1">
        <f t="array" aca="1" ref="AY21:AY25" ca="1">_xlfn.SWITCH(IFERROR(VLOOKUP(AY$3&amp;$B$20&amp;_xlfn.ANCHORARRAY($B21),$BT:$CA,5,0),0),
0,_xlfn.ANCHORARRAY(AX21)*(1+_xlfn.ANCHORARRAY($D21))+SUMIF($BT:$BT,AY$3&amp;$B$20&amp;_xlfn.ANCHORARRAY($B21),$CA:$CA),
1,VLOOKUP(AY$3&amp;$B$20&amp;_xlfn.ANCHORARRAY($B21),$BT:$CA,6,0),
2,_xlfn.ANCHORARRAY(AX21)*(1+_xlfn.ANCHORARRAY($D21))*VLOOKUP(AY$3&amp;$B$20&amp;_xlfn.ANCHORARRAY($B21),$BT:$CA,7,0))</f>
        <v>0</v>
      </c>
      <c r="AZ21" s="59" cm="1">
        <f t="array" aca="1" ref="AZ21:AZ25" ca="1">_xlfn.SWITCH(IFERROR(VLOOKUP(AZ$3&amp;$B$20&amp;_xlfn.ANCHORARRAY($B21),$BT:$CA,5,0),0),
0,_xlfn.ANCHORARRAY(AY21)*(1+_xlfn.ANCHORARRAY($D21))+SUMIF($BT:$BT,AZ$3&amp;$B$20&amp;_xlfn.ANCHORARRAY($B21),$CA:$CA),
1,VLOOKUP(AZ$3&amp;$B$20&amp;_xlfn.ANCHORARRAY($B21),$BT:$CA,6,0),
2,_xlfn.ANCHORARRAY(AY21)*(1+_xlfn.ANCHORARRAY($D21))*VLOOKUP(AZ$3&amp;$B$20&amp;_xlfn.ANCHORARRAY($B21),$BT:$CA,7,0))</f>
        <v>0</v>
      </c>
      <c r="BA21" s="59" cm="1">
        <f t="array" aca="1" ref="BA21:BA25" ca="1">_xlfn.SWITCH(IFERROR(VLOOKUP(BA$3&amp;$B$20&amp;_xlfn.ANCHORARRAY($B21),$BT:$CA,5,0),0),
0,_xlfn.ANCHORARRAY(AZ21)*(1+_xlfn.ANCHORARRAY($D21))+SUMIF($BT:$BT,BA$3&amp;$B$20&amp;_xlfn.ANCHORARRAY($B21),$CA:$CA),
1,VLOOKUP(BA$3&amp;$B$20&amp;_xlfn.ANCHORARRAY($B21),$BT:$CA,6,0),
2,_xlfn.ANCHORARRAY(AZ21)*(1+_xlfn.ANCHORARRAY($D21))*VLOOKUP(BA$3&amp;$B$20&amp;_xlfn.ANCHORARRAY($B21),$BT:$CA,7,0))</f>
        <v>0</v>
      </c>
      <c r="BS21" s="5">
        <f t="shared" si="0"/>
        <v>0</v>
      </c>
      <c r="BT21" s="5" t="str">
        <f t="shared" si="1"/>
        <v>2029V_Hypo4</v>
      </c>
      <c r="BU21">
        <v>2029</v>
      </c>
      <c r="BV21" t="s">
        <v>99</v>
      </c>
      <c r="BW21">
        <v>4</v>
      </c>
      <c r="BX21">
        <v>1</v>
      </c>
      <c r="BY21" s="12">
        <v>0</v>
      </c>
      <c r="CB21" t="s">
        <v>294</v>
      </c>
      <c r="CC21">
        <v>1</v>
      </c>
      <c r="CD21" s="5" t="str">
        <f t="shared" ca="1" si="21"/>
        <v>Sheldon</v>
      </c>
      <c r="CE21" s="5" t="str">
        <f t="shared" ca="1" si="22"/>
        <v>PostFinance Festhypo</v>
      </c>
      <c r="CF21" s="5" t="str">
        <f t="shared" ca="1" si="23"/>
        <v>Sheldon - PostFinance Festhypo - Erneuerung Hyporthek</v>
      </c>
      <c r="CG21" s="5"/>
    </row>
    <row r="22" spans="1:85" x14ac:dyDescent="0.25">
      <c r="A22" s="57" t="str">
        <f ca="1"/>
        <v>Säule 3a Beitrag</v>
      </c>
      <c r="B22" s="57">
        <f ca="1"/>
        <v>6</v>
      </c>
      <c r="C22" s="53" t="str">
        <f ca="1"/>
        <v>Amy</v>
      </c>
      <c r="D22" s="54">
        <f ca="1"/>
        <v>0</v>
      </c>
      <c r="E22" s="54"/>
      <c r="F22" s="59">
        <f ca="1"/>
        <v>-7056</v>
      </c>
      <c r="G22" s="59">
        <f ca="1"/>
        <v>-7056</v>
      </c>
      <c r="H22" s="59">
        <f ca="1"/>
        <v>-7056</v>
      </c>
      <c r="I22" s="59">
        <f ca="1"/>
        <v>-7056</v>
      </c>
      <c r="J22" s="59">
        <f ca="1"/>
        <v>-7056</v>
      </c>
      <c r="K22" s="59">
        <f ca="1"/>
        <v>-7056</v>
      </c>
      <c r="L22" s="59">
        <f ca="1"/>
        <v>-5600</v>
      </c>
      <c r="M22" s="59">
        <f ca="1"/>
        <v>-2800</v>
      </c>
      <c r="N22" s="59">
        <f ca="1"/>
        <v>0</v>
      </c>
      <c r="O22" s="59">
        <f ca="1"/>
        <v>0</v>
      </c>
      <c r="P22" s="59">
        <f ca="1"/>
        <v>0</v>
      </c>
      <c r="Q22" s="59">
        <f ca="1"/>
        <v>0</v>
      </c>
      <c r="R22" s="59">
        <f ca="1"/>
        <v>0</v>
      </c>
      <c r="S22" s="59">
        <f ca="1"/>
        <v>0</v>
      </c>
      <c r="T22" s="59">
        <f ca="1"/>
        <v>0</v>
      </c>
      <c r="U22" s="59">
        <f ca="1"/>
        <v>0</v>
      </c>
      <c r="V22" s="59">
        <f ca="1"/>
        <v>0</v>
      </c>
      <c r="W22" s="59">
        <f ca="1"/>
        <v>0</v>
      </c>
      <c r="X22" s="59">
        <f ca="1"/>
        <v>0</v>
      </c>
      <c r="Y22" s="59">
        <f ca="1"/>
        <v>0</v>
      </c>
      <c r="Z22" s="59">
        <f ca="1"/>
        <v>0</v>
      </c>
      <c r="AA22" s="59">
        <f ca="1"/>
        <v>0</v>
      </c>
      <c r="AB22" s="59">
        <f ca="1"/>
        <v>0</v>
      </c>
      <c r="AC22" s="59">
        <f ca="1"/>
        <v>0</v>
      </c>
      <c r="AD22" s="59">
        <f ca="1"/>
        <v>0</v>
      </c>
      <c r="AE22" s="59">
        <f ca="1"/>
        <v>0</v>
      </c>
      <c r="AF22" s="59">
        <f ca="1"/>
        <v>0</v>
      </c>
      <c r="AG22" s="59">
        <f ca="1"/>
        <v>0</v>
      </c>
      <c r="AH22" s="59">
        <f ca="1"/>
        <v>0</v>
      </c>
      <c r="AI22" s="59">
        <f ca="1"/>
        <v>0</v>
      </c>
      <c r="AJ22" s="59">
        <f ca="1"/>
        <v>0</v>
      </c>
      <c r="AK22" s="59">
        <f ca="1"/>
        <v>0</v>
      </c>
      <c r="AL22" s="59">
        <f ca="1"/>
        <v>0</v>
      </c>
      <c r="AM22" s="59">
        <f ca="1"/>
        <v>0</v>
      </c>
      <c r="AN22" s="59">
        <f ca="1"/>
        <v>0</v>
      </c>
      <c r="AO22" s="59">
        <f ca="1"/>
        <v>0</v>
      </c>
      <c r="AP22" s="59">
        <f ca="1"/>
        <v>0</v>
      </c>
      <c r="AQ22" s="59">
        <f ca="1"/>
        <v>0</v>
      </c>
      <c r="AR22" s="59">
        <f ca="1"/>
        <v>0</v>
      </c>
      <c r="AS22" s="59">
        <f ca="1"/>
        <v>0</v>
      </c>
      <c r="AT22" s="59">
        <f ca="1"/>
        <v>0</v>
      </c>
      <c r="AU22" s="59">
        <f ca="1"/>
        <v>0</v>
      </c>
      <c r="AV22" s="59">
        <f ca="1"/>
        <v>0</v>
      </c>
      <c r="AW22" s="59">
        <f ca="1"/>
        <v>0</v>
      </c>
      <c r="AX22" s="59">
        <f ca="1"/>
        <v>0</v>
      </c>
      <c r="AY22" s="59">
        <f ca="1"/>
        <v>0</v>
      </c>
      <c r="AZ22" s="59">
        <f ca="1"/>
        <v>0</v>
      </c>
      <c r="BA22" s="59">
        <f ca="1"/>
        <v>0</v>
      </c>
      <c r="BS22" s="5">
        <f t="shared" si="0"/>
        <v>1</v>
      </c>
      <c r="BT22" s="5" t="str">
        <f t="shared" si="1"/>
        <v>2029V_Hypo5</v>
      </c>
      <c r="BU22">
        <v>2029</v>
      </c>
      <c r="BV22" t="s">
        <v>99</v>
      </c>
      <c r="BW22">
        <v>5</v>
      </c>
      <c r="BX22">
        <v>0</v>
      </c>
      <c r="CA22">
        <v>-300000</v>
      </c>
      <c r="CB22" t="s">
        <v>238</v>
      </c>
      <c r="CD22" s="5" t="str">
        <f t="shared" ca="1" si="21"/>
        <v>-</v>
      </c>
      <c r="CE22" s="5" t="str">
        <f t="shared" ca="1" si="22"/>
        <v>Nachfolgehypothek</v>
      </c>
      <c r="CF22" s="5" t="str">
        <f t="shared" ca="1" si="23"/>
        <v>- - Nachfolgehypothek - Erneuerung Festhypo Raiffeisen</v>
      </c>
      <c r="CG22" s="5"/>
    </row>
    <row r="23" spans="1:85" x14ac:dyDescent="0.25">
      <c r="A23" s="57" t="str">
        <f ca="1"/>
        <v>Säule 3b Beitrag</v>
      </c>
      <c r="B23" s="57">
        <f ca="1"/>
        <v>7</v>
      </c>
      <c r="C23" s="53" t="str">
        <f ca="1"/>
        <v>Amy</v>
      </c>
      <c r="D23" s="54">
        <f ca="1"/>
        <v>0</v>
      </c>
      <c r="E23" s="54"/>
      <c r="F23" s="59">
        <f ca="1"/>
        <v>-2868</v>
      </c>
      <c r="G23" s="59">
        <f ca="1"/>
        <v>-2868</v>
      </c>
      <c r="H23" s="59">
        <f ca="1"/>
        <v>-2868</v>
      </c>
      <c r="I23" s="59">
        <f ca="1"/>
        <v>-2868</v>
      </c>
      <c r="J23" s="59">
        <f ca="1"/>
        <v>-2868</v>
      </c>
      <c r="K23" s="59">
        <f ca="1"/>
        <v>-1912</v>
      </c>
      <c r="L23" s="59">
        <f ca="1"/>
        <v>0</v>
      </c>
      <c r="M23" s="59">
        <f ca="1"/>
        <v>0</v>
      </c>
      <c r="N23" s="59">
        <f ca="1"/>
        <v>0</v>
      </c>
      <c r="O23" s="59">
        <f ca="1"/>
        <v>0</v>
      </c>
      <c r="P23" s="59">
        <f ca="1"/>
        <v>0</v>
      </c>
      <c r="Q23" s="59">
        <f ca="1"/>
        <v>0</v>
      </c>
      <c r="R23" s="59">
        <f ca="1"/>
        <v>0</v>
      </c>
      <c r="S23" s="59">
        <f ca="1"/>
        <v>0</v>
      </c>
      <c r="T23" s="59">
        <f ca="1"/>
        <v>0</v>
      </c>
      <c r="U23" s="59">
        <f ca="1"/>
        <v>0</v>
      </c>
      <c r="V23" s="59">
        <f ca="1"/>
        <v>0</v>
      </c>
      <c r="W23" s="59">
        <f ca="1"/>
        <v>0</v>
      </c>
      <c r="X23" s="59">
        <f ca="1"/>
        <v>0</v>
      </c>
      <c r="Y23" s="59">
        <f ca="1"/>
        <v>0</v>
      </c>
      <c r="Z23" s="59">
        <f ca="1"/>
        <v>0</v>
      </c>
      <c r="AA23" s="59">
        <f ca="1"/>
        <v>0</v>
      </c>
      <c r="AB23" s="59">
        <f ca="1"/>
        <v>0</v>
      </c>
      <c r="AC23" s="59">
        <f ca="1"/>
        <v>0</v>
      </c>
      <c r="AD23" s="59">
        <f ca="1"/>
        <v>0</v>
      </c>
      <c r="AE23" s="59">
        <f ca="1"/>
        <v>0</v>
      </c>
      <c r="AF23" s="59">
        <f ca="1"/>
        <v>0</v>
      </c>
      <c r="AG23" s="59">
        <f ca="1"/>
        <v>0</v>
      </c>
      <c r="AH23" s="59">
        <f ca="1"/>
        <v>0</v>
      </c>
      <c r="AI23" s="59">
        <f ca="1"/>
        <v>0</v>
      </c>
      <c r="AJ23" s="59">
        <f ca="1"/>
        <v>0</v>
      </c>
      <c r="AK23" s="59">
        <f ca="1"/>
        <v>0</v>
      </c>
      <c r="AL23" s="59">
        <f ca="1"/>
        <v>0</v>
      </c>
      <c r="AM23" s="59">
        <f ca="1"/>
        <v>0</v>
      </c>
      <c r="AN23" s="59">
        <f ca="1"/>
        <v>0</v>
      </c>
      <c r="AO23" s="59">
        <f ca="1"/>
        <v>0</v>
      </c>
      <c r="AP23" s="59">
        <f ca="1"/>
        <v>0</v>
      </c>
      <c r="AQ23" s="59">
        <f ca="1"/>
        <v>0</v>
      </c>
      <c r="AR23" s="59">
        <f ca="1"/>
        <v>0</v>
      </c>
      <c r="AS23" s="59">
        <f ca="1"/>
        <v>0</v>
      </c>
      <c r="AT23" s="59">
        <f ca="1"/>
        <v>0</v>
      </c>
      <c r="AU23" s="59">
        <f ca="1"/>
        <v>0</v>
      </c>
      <c r="AV23" s="59">
        <f ca="1"/>
        <v>0</v>
      </c>
      <c r="AW23" s="59">
        <f ca="1"/>
        <v>0</v>
      </c>
      <c r="AX23" s="59">
        <f ca="1"/>
        <v>0</v>
      </c>
      <c r="AY23" s="59">
        <f ca="1"/>
        <v>0</v>
      </c>
      <c r="AZ23" s="59">
        <f ca="1"/>
        <v>0</v>
      </c>
      <c r="BA23" s="59">
        <f ca="1"/>
        <v>0</v>
      </c>
      <c r="BS23" s="5">
        <f t="shared" si="0"/>
        <v>0</v>
      </c>
      <c r="BT23" s="5" t="str">
        <f t="shared" si="1"/>
        <v>2024V_Vorsorg5</v>
      </c>
      <c r="BU23">
        <v>2024</v>
      </c>
      <c r="BV23" t="s">
        <v>95</v>
      </c>
      <c r="BW23">
        <v>5</v>
      </c>
      <c r="BX23">
        <v>1</v>
      </c>
      <c r="BY23" s="12">
        <v>0</v>
      </c>
      <c r="CB23" t="s">
        <v>244</v>
      </c>
      <c r="CC23">
        <v>1</v>
      </c>
      <c r="CD23" s="5" t="str">
        <f t="shared" ca="1" si="21"/>
        <v>Amy</v>
      </c>
      <c r="CE23" s="5" t="str">
        <f t="shared" ca="1" si="22"/>
        <v>MigrosBank Säule 3a Depot</v>
      </c>
      <c r="CF23" s="5" t="str">
        <f t="shared" ca="1" si="23"/>
        <v>Amy - MigrosBank Säule 3a Depot - Bezug</v>
      </c>
      <c r="CG23" s="5"/>
    </row>
    <row r="24" spans="1:85" x14ac:dyDescent="0.25">
      <c r="A24" s="57" t="str">
        <f ca="1"/>
        <v>Säule 3a Beitrag</v>
      </c>
      <c r="B24" s="57">
        <f ca="1"/>
        <v>5</v>
      </c>
      <c r="C24" s="53" t="str">
        <f ca="1"/>
        <v>Sheldon</v>
      </c>
      <c r="D24" s="54">
        <f ca="1"/>
        <v>0</v>
      </c>
      <c r="E24" s="54"/>
      <c r="F24" s="59">
        <f ca="1"/>
        <v>-7056</v>
      </c>
      <c r="G24" s="59">
        <f ca="1"/>
        <v>-7056</v>
      </c>
      <c r="H24" s="59">
        <f ca="1"/>
        <v>-7056</v>
      </c>
      <c r="I24" s="59">
        <f ca="1"/>
        <v>-7056</v>
      </c>
      <c r="J24" s="59">
        <f ca="1"/>
        <v>-7056</v>
      </c>
      <c r="K24" s="59">
        <f ca="1"/>
        <v>-7056</v>
      </c>
      <c r="L24" s="59">
        <f ca="1"/>
        <v>-7056</v>
      </c>
      <c r="M24" s="59">
        <f ca="1"/>
        <v>0</v>
      </c>
      <c r="N24" s="59">
        <f ca="1"/>
        <v>0</v>
      </c>
      <c r="O24" s="59">
        <f ca="1"/>
        <v>0</v>
      </c>
      <c r="P24" s="59">
        <f ca="1"/>
        <v>0</v>
      </c>
      <c r="Q24" s="59">
        <f ca="1"/>
        <v>0</v>
      </c>
      <c r="R24" s="59">
        <f ca="1"/>
        <v>0</v>
      </c>
      <c r="S24" s="59">
        <f ca="1"/>
        <v>0</v>
      </c>
      <c r="T24" s="59">
        <f ca="1"/>
        <v>0</v>
      </c>
      <c r="U24" s="59">
        <f ca="1"/>
        <v>0</v>
      </c>
      <c r="V24" s="59">
        <f ca="1"/>
        <v>0</v>
      </c>
      <c r="W24" s="59">
        <f ca="1"/>
        <v>0</v>
      </c>
      <c r="X24" s="59">
        <f ca="1"/>
        <v>0</v>
      </c>
      <c r="Y24" s="59">
        <f ca="1"/>
        <v>0</v>
      </c>
      <c r="Z24" s="59">
        <f ca="1"/>
        <v>0</v>
      </c>
      <c r="AA24" s="59">
        <f ca="1"/>
        <v>0</v>
      </c>
      <c r="AB24" s="59">
        <f ca="1"/>
        <v>0</v>
      </c>
      <c r="AC24" s="59">
        <f ca="1"/>
        <v>0</v>
      </c>
      <c r="AD24" s="59">
        <f ca="1"/>
        <v>0</v>
      </c>
      <c r="AE24" s="59">
        <f ca="1"/>
        <v>0</v>
      </c>
      <c r="AF24" s="59">
        <f ca="1"/>
        <v>0</v>
      </c>
      <c r="AG24" s="59">
        <f ca="1"/>
        <v>0</v>
      </c>
      <c r="AH24" s="59">
        <f ca="1"/>
        <v>0</v>
      </c>
      <c r="AI24" s="59">
        <f ca="1"/>
        <v>0</v>
      </c>
      <c r="AJ24" s="59">
        <f ca="1"/>
        <v>0</v>
      </c>
      <c r="AK24" s="59">
        <f ca="1"/>
        <v>0</v>
      </c>
      <c r="AL24" s="59">
        <f ca="1"/>
        <v>0</v>
      </c>
      <c r="AM24" s="59">
        <f ca="1"/>
        <v>0</v>
      </c>
      <c r="AN24" s="59">
        <f ca="1"/>
        <v>0</v>
      </c>
      <c r="AO24" s="59">
        <f ca="1"/>
        <v>0</v>
      </c>
      <c r="AP24" s="59">
        <f ca="1"/>
        <v>0</v>
      </c>
      <c r="AQ24" s="59">
        <f ca="1"/>
        <v>0</v>
      </c>
      <c r="AR24" s="59">
        <f ca="1"/>
        <v>0</v>
      </c>
      <c r="AS24" s="59">
        <f ca="1"/>
        <v>0</v>
      </c>
      <c r="AT24" s="59">
        <f ca="1"/>
        <v>0</v>
      </c>
      <c r="AU24" s="59">
        <f ca="1"/>
        <v>0</v>
      </c>
      <c r="AV24" s="59">
        <f ca="1"/>
        <v>0</v>
      </c>
      <c r="AW24" s="59">
        <f ca="1"/>
        <v>0</v>
      </c>
      <c r="AX24" s="59">
        <f ca="1"/>
        <v>0</v>
      </c>
      <c r="AY24" s="59">
        <f ca="1"/>
        <v>0</v>
      </c>
      <c r="AZ24" s="59">
        <f ca="1"/>
        <v>0</v>
      </c>
      <c r="BA24" s="59">
        <f ca="1"/>
        <v>0</v>
      </c>
      <c r="BS24" s="5">
        <f t="shared" si="0"/>
        <v>0</v>
      </c>
      <c r="BT24" s="5" t="str">
        <f t="shared" si="1"/>
        <v>2024V_Vorsorg2</v>
      </c>
      <c r="BU24">
        <v>2024</v>
      </c>
      <c r="BV24" t="s">
        <v>95</v>
      </c>
      <c r="BW24">
        <v>2</v>
      </c>
      <c r="BX24">
        <v>0</v>
      </c>
      <c r="CA24">
        <v>43128.600000000006</v>
      </c>
      <c r="CD24" s="5" t="str">
        <f t="shared" ca="1" si="21"/>
        <v>Amy</v>
      </c>
      <c r="CE24" s="5" t="str">
        <f t="shared" ca="1" si="22"/>
        <v>Pensionskasse McDonalds</v>
      </c>
      <c r="CF24" s="5" t="str">
        <f t="shared" ca="1" si="23"/>
        <v>Amy - Pensionskasse McDonalds</v>
      </c>
      <c r="CG24" s="5"/>
    </row>
    <row r="25" spans="1:85" x14ac:dyDescent="0.25">
      <c r="A25" s="57" t="str">
        <f ca="1"/>
        <v>Lebenshaltungskosten</v>
      </c>
      <c r="B25" s="57">
        <f ca="1"/>
        <v>1</v>
      </c>
      <c r="C25" s="53" t="str">
        <f ca="1"/>
        <v>-</v>
      </c>
      <c r="D25" s="54">
        <f ca="1"/>
        <v>1.4999999999999999E-2</v>
      </c>
      <c r="E25" s="54"/>
      <c r="F25" s="59">
        <f ca="1"/>
        <v>-75000</v>
      </c>
      <c r="G25" s="59">
        <f ca="1"/>
        <v>-76124.999999999985</v>
      </c>
      <c r="H25" s="59">
        <f ca="1"/>
        <v>-77266.874999999971</v>
      </c>
      <c r="I25" s="59">
        <f ca="1"/>
        <v>-78425.878124999959</v>
      </c>
      <c r="J25" s="59">
        <f ca="1"/>
        <v>-79602.26629687495</v>
      </c>
      <c r="K25" s="59">
        <f ca="1"/>
        <v>-80796.300291328065</v>
      </c>
      <c r="L25" s="59">
        <f ca="1"/>
        <v>-82008.244795697974</v>
      </c>
      <c r="M25" s="59">
        <f ca="1"/>
        <v>-83238.368467633438</v>
      </c>
      <c r="N25" s="59">
        <f ca="1"/>
        <v>-84486.943994647925</v>
      </c>
      <c r="O25" s="59">
        <f ca="1"/>
        <v>-85754.248154567642</v>
      </c>
      <c r="P25" s="59">
        <f ca="1"/>
        <v>-87040.561876886146</v>
      </c>
      <c r="Q25" s="59">
        <f ca="1"/>
        <v>-88346.170305039428</v>
      </c>
      <c r="R25" s="59">
        <f ca="1"/>
        <v>-89671.362859615008</v>
      </c>
      <c r="S25" s="59">
        <f ca="1"/>
        <v>-91016.43330250922</v>
      </c>
      <c r="T25" s="59">
        <f ca="1"/>
        <v>-92381.679802046856</v>
      </c>
      <c r="U25" s="59">
        <f ca="1"/>
        <v>-93767.404999077553</v>
      </c>
      <c r="V25" s="59">
        <f ca="1"/>
        <v>-95173.916074063702</v>
      </c>
      <c r="W25" s="59">
        <f ca="1"/>
        <v>-96601.524815174649</v>
      </c>
      <c r="X25" s="59">
        <f ca="1"/>
        <v>-98050.547687402257</v>
      </c>
      <c r="Y25" s="59">
        <f ca="1"/>
        <v>-99521.305902713284</v>
      </c>
      <c r="Z25" s="59">
        <f ca="1"/>
        <v>-101014.12549125397</v>
      </c>
      <c r="AA25" s="59">
        <f ca="1"/>
        <v>-102529.33737362278</v>
      </c>
      <c r="AB25" s="59">
        <f ca="1"/>
        <v>-104067.27743422712</v>
      </c>
      <c r="AC25" s="59">
        <f ca="1"/>
        <v>-105628.28659574052</v>
      </c>
      <c r="AD25" s="59">
        <f ca="1"/>
        <v>-107212.71089467661</v>
      </c>
      <c r="AE25" s="59">
        <f ca="1"/>
        <v>-108820.90155809675</v>
      </c>
      <c r="AF25" s="59">
        <f ca="1"/>
        <v>-110453.2150814682</v>
      </c>
      <c r="AG25" s="59">
        <f ca="1"/>
        <v>-112110.01330769021</v>
      </c>
      <c r="AH25" s="59">
        <f ca="1"/>
        <v>-113791.66350730555</v>
      </c>
      <c r="AI25" s="59">
        <f ca="1"/>
        <v>-115498.53845991513</v>
      </c>
      <c r="AJ25" s="59">
        <f ca="1"/>
        <v>-117231.01653681384</v>
      </c>
      <c r="AK25" s="59">
        <f ca="1"/>
        <v>-118989.48178486603</v>
      </c>
      <c r="AL25" s="59">
        <f ca="1"/>
        <v>-120774.32401163901</v>
      </c>
      <c r="AM25" s="59">
        <f ca="1"/>
        <v>-122585.93887181357</v>
      </c>
      <c r="AN25" s="59">
        <f ca="1"/>
        <v>-124424.72795489077</v>
      </c>
      <c r="AO25" s="59">
        <f ca="1"/>
        <v>-126291.09887421412</v>
      </c>
      <c r="AP25" s="59">
        <f ca="1"/>
        <v>-128185.46535732732</v>
      </c>
      <c r="AQ25" s="59">
        <f ca="1"/>
        <v>-130108.24733768722</v>
      </c>
      <c r="AR25" s="59">
        <f ca="1"/>
        <v>-132059.87104775253</v>
      </c>
      <c r="AS25" s="59">
        <f ca="1"/>
        <v>-134040.76911346879</v>
      </c>
      <c r="AT25" s="59">
        <f ca="1"/>
        <v>-136051.38065017082</v>
      </c>
      <c r="AU25" s="59">
        <f ca="1"/>
        <v>-138092.15135992336</v>
      </c>
      <c r="AV25" s="59">
        <f ca="1"/>
        <v>-140163.5336303222</v>
      </c>
      <c r="AW25" s="59">
        <f ca="1"/>
        <v>-142265.98663477701</v>
      </c>
      <c r="AX25" s="59">
        <f ca="1"/>
        <v>-144399.97643429865</v>
      </c>
      <c r="AY25" s="59">
        <f ca="1"/>
        <v>-146565.97608081313</v>
      </c>
      <c r="AZ25" s="59">
        <f ca="1"/>
        <v>-148764.46572202531</v>
      </c>
      <c r="BA25" s="59">
        <f ca="1"/>
        <v>-150995.93270785568</v>
      </c>
      <c r="BS25" s="5">
        <f t="shared" si="0"/>
        <v>0</v>
      </c>
      <c r="BT25" s="5" t="str">
        <f t="shared" si="1"/>
        <v>2025V_Vorsorg2</v>
      </c>
      <c r="BU25">
        <v>2025</v>
      </c>
      <c r="BV25" t="s">
        <v>95</v>
      </c>
      <c r="BW25">
        <v>2</v>
      </c>
      <c r="BX25">
        <v>0</v>
      </c>
      <c r="CA25">
        <v>43128.600000000006</v>
      </c>
      <c r="CD25" s="5" t="str">
        <f t="shared" ca="1" si="21"/>
        <v>Amy</v>
      </c>
      <c r="CE25" s="5" t="str">
        <f t="shared" ca="1" si="22"/>
        <v>Pensionskasse McDonalds</v>
      </c>
      <c r="CF25" s="5" t="str">
        <f t="shared" ca="1" si="23"/>
        <v>Amy - Pensionskasse McDonalds</v>
      </c>
      <c r="CG25" s="5"/>
    </row>
    <row r="26" spans="1:85" x14ac:dyDescent="0.25">
      <c r="A26" s="57"/>
      <c r="B26" s="57"/>
      <c r="C26" s="53"/>
      <c r="D26" s="54"/>
      <c r="E26" s="54"/>
      <c r="F26" s="59"/>
      <c r="G26" s="59"/>
      <c r="H26" s="59"/>
      <c r="I26" s="59"/>
      <c r="J26" s="59"/>
      <c r="K26" s="59"/>
      <c r="L26" s="59"/>
      <c r="M26" s="59"/>
      <c r="N26" s="59"/>
      <c r="O26" s="59"/>
      <c r="P26" s="59"/>
      <c r="Q26" s="59"/>
      <c r="R26" s="59"/>
      <c r="S26" s="59"/>
      <c r="T26" s="59"/>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S26" s="5">
        <f t="shared" si="0"/>
        <v>0</v>
      </c>
      <c r="BT26" s="5" t="str">
        <f t="shared" si="1"/>
        <v>2026V_Vorsorg2</v>
      </c>
      <c r="BU26">
        <v>2026</v>
      </c>
      <c r="BV26" t="s">
        <v>95</v>
      </c>
      <c r="BW26">
        <v>2</v>
      </c>
      <c r="BX26">
        <v>0</v>
      </c>
      <c r="CA26">
        <v>43128.600000000006</v>
      </c>
      <c r="CD26" s="5" t="str">
        <f t="shared" ca="1" si="21"/>
        <v>Amy</v>
      </c>
      <c r="CE26" s="5" t="str">
        <f t="shared" ca="1" si="22"/>
        <v>Pensionskasse McDonalds</v>
      </c>
      <c r="CF26" s="5" t="str">
        <f t="shared" ca="1" si="23"/>
        <v>Amy - Pensionskasse McDonalds</v>
      </c>
      <c r="CG26" s="5"/>
    </row>
    <row r="27" spans="1:85" x14ac:dyDescent="0.25">
      <c r="A27" s="57"/>
      <c r="B27" s="57"/>
      <c r="C27" s="53"/>
      <c r="D27" s="54"/>
      <c r="E27" s="63"/>
      <c r="F27" s="59"/>
      <c r="G27" s="59"/>
      <c r="H27" s="59"/>
      <c r="I27" s="59"/>
      <c r="J27" s="59"/>
      <c r="K27" s="59"/>
      <c r="L27" s="59"/>
      <c r="M27" s="59"/>
      <c r="N27" s="59"/>
      <c r="O27" s="59"/>
      <c r="P27" s="59"/>
      <c r="Q27" s="59"/>
      <c r="R27" s="59"/>
      <c r="S27" s="59"/>
      <c r="T27" s="59"/>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c r="AY27" s="59"/>
      <c r="AZ27" s="59"/>
      <c r="BA27" s="59"/>
      <c r="BS27" s="5">
        <f t="shared" si="0"/>
        <v>0</v>
      </c>
      <c r="BT27" s="5" t="str">
        <f t="shared" si="1"/>
        <v>2027V_Vorsorg2</v>
      </c>
      <c r="BU27">
        <v>2027</v>
      </c>
      <c r="BV27" t="s">
        <v>95</v>
      </c>
      <c r="BW27">
        <v>2</v>
      </c>
      <c r="BX27">
        <v>0</v>
      </c>
      <c r="CA27">
        <v>43128.600000000006</v>
      </c>
      <c r="CD27" s="5" t="str">
        <f t="shared" ca="1" si="21"/>
        <v>Amy</v>
      </c>
      <c r="CE27" s="5" t="str">
        <f t="shared" ca="1" si="22"/>
        <v>Pensionskasse McDonalds</v>
      </c>
      <c r="CF27" s="5" t="str">
        <f t="shared" ca="1" si="23"/>
        <v>Amy - Pensionskasse McDonalds</v>
      </c>
      <c r="CG27" s="5"/>
    </row>
    <row r="28" spans="1:85" x14ac:dyDescent="0.25">
      <c r="A28" s="57"/>
      <c r="B28" s="57"/>
      <c r="C28" s="53"/>
      <c r="D28" s="54"/>
      <c r="E28" s="63"/>
      <c r="F28" s="59"/>
      <c r="G28" s="59"/>
      <c r="H28" s="59"/>
      <c r="I28" s="59"/>
      <c r="J28" s="59"/>
      <c r="K28" s="59"/>
      <c r="L28" s="59"/>
      <c r="M28" s="59"/>
      <c r="N28" s="59"/>
      <c r="O28" s="59"/>
      <c r="P28" s="59"/>
      <c r="Q28" s="59"/>
      <c r="R28" s="59"/>
      <c r="S28" s="59"/>
      <c r="T28" s="59"/>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c r="AY28" s="59"/>
      <c r="AZ28" s="59"/>
      <c r="BA28" s="59"/>
      <c r="BS28" s="5">
        <f t="shared" si="0"/>
        <v>0</v>
      </c>
      <c r="BT28" s="5" t="str">
        <f t="shared" si="1"/>
        <v>2028V_Vorsorg2</v>
      </c>
      <c r="BU28">
        <v>2028</v>
      </c>
      <c r="BV28" t="s">
        <v>95</v>
      </c>
      <c r="BW28">
        <v>2</v>
      </c>
      <c r="BX28">
        <v>0</v>
      </c>
      <c r="BZ28">
        <v>0.8</v>
      </c>
      <c r="CA28">
        <v>43128.600000000006</v>
      </c>
      <c r="CB28" t="s">
        <v>240</v>
      </c>
      <c r="CC28">
        <v>1</v>
      </c>
      <c r="CD28" s="5" t="str">
        <f t="shared" ca="1" si="21"/>
        <v>Amy</v>
      </c>
      <c r="CE28" s="5" t="str">
        <f t="shared" ca="1" si="22"/>
        <v>Pensionskasse McDonalds</v>
      </c>
      <c r="CF28" s="5" t="str">
        <f t="shared" ca="1" si="23"/>
        <v>Amy - Pensionskasse McDonalds - Teilpensionierung 20%, Kapitalbezug 135'000</v>
      </c>
      <c r="CG28" s="5"/>
    </row>
    <row r="29" spans="1:85" x14ac:dyDescent="0.25">
      <c r="A29" s="57"/>
      <c r="B29" s="57"/>
      <c r="C29" s="53"/>
      <c r="D29" s="54"/>
      <c r="E29" s="63"/>
      <c r="F29" s="59"/>
      <c r="G29" s="59"/>
      <c r="H29" s="59"/>
      <c r="I29" s="59"/>
      <c r="J29" s="59"/>
      <c r="K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S29" s="5">
        <f t="shared" si="0"/>
        <v>0</v>
      </c>
      <c r="BT29" s="5" t="str">
        <f t="shared" si="1"/>
        <v>2029V_Vorsorg2</v>
      </c>
      <c r="BU29">
        <v>2029</v>
      </c>
      <c r="BV29" t="s">
        <v>95</v>
      </c>
      <c r="BW29">
        <v>2</v>
      </c>
      <c r="BX29">
        <v>1</v>
      </c>
      <c r="CA29">
        <v>28752.400000000001</v>
      </c>
      <c r="CB29" t="s">
        <v>241</v>
      </c>
      <c r="CC29">
        <v>1</v>
      </c>
      <c r="CD29" s="5" t="str">
        <f t="shared" ca="1" si="21"/>
        <v>Amy</v>
      </c>
      <c r="CE29" s="5" t="str">
        <f t="shared" ca="1" si="22"/>
        <v>Pensionskasse McDonalds</v>
      </c>
      <c r="CF29" s="5" t="str">
        <f t="shared" ca="1" si="23"/>
        <v>Amy - Pensionskasse McDonalds - Pensionierung, Kapitalbezug 135'000</v>
      </c>
      <c r="CG29" s="5"/>
    </row>
    <row r="30" spans="1:85" x14ac:dyDescent="0.25">
      <c r="A30" s="57"/>
      <c r="B30" s="57"/>
      <c r="C30" s="53"/>
      <c r="D30" s="54"/>
      <c r="E30" s="63"/>
      <c r="F30" s="59"/>
      <c r="G30" s="59"/>
      <c r="H30" s="59"/>
      <c r="I30" s="59"/>
      <c r="J30" s="59"/>
      <c r="K30" s="59"/>
      <c r="L30" s="59"/>
      <c r="M30" s="59"/>
      <c r="N30" s="59"/>
      <c r="O30" s="59"/>
      <c r="P30" s="59"/>
      <c r="Q30" s="59"/>
      <c r="R30" s="59"/>
      <c r="S30" s="59"/>
      <c r="T30" s="59"/>
      <c r="U30" s="59"/>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W30" s="59"/>
      <c r="AX30" s="59"/>
      <c r="AY30" s="59"/>
      <c r="AZ30" s="59"/>
      <c r="BA30" s="59"/>
      <c r="BS30" s="5">
        <f t="shared" si="0"/>
        <v>0</v>
      </c>
      <c r="BT30" s="5" t="str">
        <f t="shared" si="1"/>
        <v>2028E_Erwerb5</v>
      </c>
      <c r="BU30">
        <v>2028</v>
      </c>
      <c r="BV30" t="s">
        <v>74</v>
      </c>
      <c r="BW30">
        <v>5</v>
      </c>
      <c r="BX30">
        <v>1</v>
      </c>
      <c r="BY30" s="12">
        <f>4388.45*0.2*5</f>
        <v>4388.4500000000007</v>
      </c>
      <c r="CD30" s="5" t="str">
        <f t="shared" ca="1" si="21"/>
        <v>Amy</v>
      </c>
      <c r="CE30" s="5" t="str">
        <f t="shared" ca="1" si="22"/>
        <v>Rente aus Pensionskasse</v>
      </c>
      <c r="CF30" s="5" t="str">
        <f t="shared" ca="1" si="23"/>
        <v>Amy - Rente aus Pensionskasse</v>
      </c>
      <c r="CG30" s="5"/>
    </row>
    <row r="31" spans="1:85" ht="27" x14ac:dyDescent="0.25">
      <c r="A31" s="57"/>
      <c r="B31" s="57"/>
      <c r="C31" s="53"/>
      <c r="D31" s="54"/>
      <c r="E31" s="63"/>
      <c r="F31" s="59"/>
      <c r="G31" s="59"/>
      <c r="H31" s="59"/>
      <c r="I31" s="59"/>
      <c r="J31" s="59"/>
      <c r="K31" s="59"/>
      <c r="L31" s="59"/>
      <c r="M31" s="59"/>
      <c r="N31" s="59"/>
      <c r="O31" s="59"/>
      <c r="P31" s="59"/>
      <c r="Q31" s="59"/>
      <c r="R31" s="59"/>
      <c r="S31" s="59"/>
      <c r="T31" s="59"/>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c r="BS31" s="5">
        <f t="shared" si="0"/>
        <v>0</v>
      </c>
      <c r="BT31" s="5" t="str">
        <f t="shared" si="1"/>
        <v>2029E_Erwerb5</v>
      </c>
      <c r="BU31">
        <v>2029</v>
      </c>
      <c r="BV31" t="s">
        <v>74</v>
      </c>
      <c r="BW31">
        <v>5</v>
      </c>
      <c r="BX31">
        <v>1</v>
      </c>
      <c r="BY31" s="12">
        <f>4388*8/12+52815*4/12</f>
        <v>20530.333333333332</v>
      </c>
      <c r="CD31" s="5" t="str">
        <f t="shared" ca="1" si="21"/>
        <v>Amy</v>
      </c>
      <c r="CE31" s="5" t="str">
        <f t="shared" ca="1" si="22"/>
        <v>Rente aus Pensionskasse</v>
      </c>
      <c r="CF31" s="5" t="str">
        <f t="shared" ca="1" si="23"/>
        <v>Amy - Rente aus Pensionskasse</v>
      </c>
      <c r="CG31" s="5"/>
    </row>
    <row r="32" spans="1:85" x14ac:dyDescent="0.25">
      <c r="A32" s="57"/>
      <c r="B32" s="57"/>
      <c r="C32" s="53"/>
      <c r="D32" s="54"/>
      <c r="E32" s="63"/>
      <c r="F32" s="59"/>
      <c r="G32" s="59"/>
      <c r="H32" s="59"/>
      <c r="I32" s="59"/>
      <c r="J32" s="59"/>
      <c r="K32" s="59"/>
      <c r="L32" s="59"/>
      <c r="M32" s="59"/>
      <c r="N32" s="59"/>
      <c r="O32" s="59"/>
      <c r="P32" s="59"/>
      <c r="Q32" s="59"/>
      <c r="R32" s="59"/>
      <c r="S32" s="59"/>
      <c r="T32" s="59"/>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c r="AY32" s="59"/>
      <c r="AZ32" s="59"/>
      <c r="BA32" s="59"/>
      <c r="BS32" s="5">
        <f t="shared" si="0"/>
        <v>0</v>
      </c>
      <c r="BT32" s="5" t="str">
        <f t="shared" si="1"/>
        <v>2030E_Erwerb5</v>
      </c>
      <c r="BU32">
        <v>2030</v>
      </c>
      <c r="BV32" t="s">
        <v>74</v>
      </c>
      <c r="BW32">
        <v>5</v>
      </c>
      <c r="BX32">
        <v>1</v>
      </c>
      <c r="BY32" s="12">
        <v>52815.165925344001</v>
      </c>
      <c r="CD32" s="5" t="str">
        <f t="shared" ca="1" si="21"/>
        <v>Amy</v>
      </c>
      <c r="CE32" s="5" t="str">
        <f t="shared" ca="1" si="22"/>
        <v>Rente aus Pensionskasse</v>
      </c>
      <c r="CF32" s="5" t="str">
        <f t="shared" ca="1" si="23"/>
        <v>Amy - Rente aus Pensionskasse</v>
      </c>
      <c r="CG32" s="5"/>
    </row>
    <row r="33" spans="1:85" hidden="1" x14ac:dyDescent="0.25">
      <c r="A33" s="57"/>
      <c r="B33" s="57"/>
      <c r="C33" s="53"/>
      <c r="D33" s="54"/>
      <c r="E33" s="63"/>
      <c r="F33" s="59"/>
      <c r="G33" s="59"/>
      <c r="H33" s="59"/>
      <c r="I33" s="59"/>
      <c r="J33" s="59"/>
      <c r="K33" s="59"/>
      <c r="L33" s="59"/>
      <c r="M33" s="59"/>
      <c r="N33" s="59"/>
      <c r="O33" s="59"/>
      <c r="P33" s="59"/>
      <c r="Q33" s="59"/>
      <c r="R33" s="59"/>
      <c r="S33" s="59"/>
      <c r="T33" s="59"/>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S33" s="5">
        <f t="shared" si="0"/>
        <v>0</v>
      </c>
      <c r="BT33" s="5" t="str">
        <f t="shared" si="1"/>
        <v>2024V_Vorsorg7</v>
      </c>
      <c r="BU33">
        <v>2024</v>
      </c>
      <c r="BV33" t="s">
        <v>95</v>
      </c>
      <c r="BW33">
        <v>7</v>
      </c>
      <c r="BX33">
        <v>0</v>
      </c>
      <c r="CA33">
        <v>7056</v>
      </c>
      <c r="CB33" t="s">
        <v>243</v>
      </c>
      <c r="CC33">
        <v>1</v>
      </c>
      <c r="CD33" s="5" t="str">
        <f t="shared" ca="1" si="21"/>
        <v>Amy</v>
      </c>
      <c r="CE33" s="5" t="str">
        <f t="shared" ca="1" si="22"/>
        <v>SLM Säule 3a Konto</v>
      </c>
      <c r="CF33" s="5" t="str">
        <f t="shared" ca="1" si="23"/>
        <v>Amy - SLM Säule 3a Konto - Einzahlung Maximalbetrag</v>
      </c>
      <c r="CG33" s="5"/>
    </row>
    <row r="34" spans="1:85" hidden="1" x14ac:dyDescent="0.25">
      <c r="A34" s="57"/>
      <c r="B34" s="57"/>
      <c r="C34" s="53"/>
      <c r="D34" s="54"/>
      <c r="E34" s="63"/>
      <c r="F34" s="59"/>
      <c r="G34" s="59"/>
      <c r="H34" s="59"/>
      <c r="I34" s="59"/>
      <c r="J34" s="59"/>
      <c r="K34" s="59"/>
      <c r="L34" s="59"/>
      <c r="M34" s="59"/>
      <c r="N34" s="59"/>
      <c r="O34" s="59"/>
      <c r="P34" s="59"/>
      <c r="Q34" s="59"/>
      <c r="R34" s="59"/>
      <c r="S34" s="59"/>
      <c r="T34" s="59"/>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S34" s="5">
        <f t="shared" ref="BS34:BS65" si="30">COUNTIF(BT:BT,BT34)-1</f>
        <v>0</v>
      </c>
      <c r="BT34" s="5" t="str">
        <f t="shared" ref="BT34:BT65" si="31">BU34&amp;BV34&amp;BW34</f>
        <v>2025V_Vorsorg7</v>
      </c>
      <c r="BU34">
        <v>2025</v>
      </c>
      <c r="BV34" t="s">
        <v>95</v>
      </c>
      <c r="BW34">
        <v>7</v>
      </c>
      <c r="BX34">
        <v>1</v>
      </c>
      <c r="BY34" s="12">
        <v>0</v>
      </c>
      <c r="CB34" t="s">
        <v>245</v>
      </c>
      <c r="CC34">
        <v>1</v>
      </c>
      <c r="CD34" s="5" t="str">
        <f t="shared" ca="1" si="21"/>
        <v>Amy</v>
      </c>
      <c r="CE34" s="5" t="str">
        <f t="shared" ca="1" si="22"/>
        <v>SLM Säule 3a Konto</v>
      </c>
      <c r="CF34" s="5" t="str">
        <f t="shared" ca="1" si="23"/>
        <v>Amy - SLM Säule 3a Konto - Einzahlung Maximalbetrag und Bezug</v>
      </c>
      <c r="CG34" s="5"/>
    </row>
    <row r="35" spans="1:85" hidden="1" x14ac:dyDescent="0.25">
      <c r="A35" s="57"/>
      <c r="B35" s="57"/>
      <c r="C35" s="53"/>
      <c r="D35" s="54"/>
      <c r="E35" s="63"/>
      <c r="F35" s="59"/>
      <c r="G35" s="59"/>
      <c r="H35" s="59"/>
      <c r="I35" s="59"/>
      <c r="J35" s="59"/>
      <c r="K35" s="59"/>
      <c r="L35" s="59"/>
      <c r="M35" s="59"/>
      <c r="N35" s="59"/>
      <c r="O35" s="59"/>
      <c r="P35" s="59"/>
      <c r="Q35" s="59"/>
      <c r="R35" s="59"/>
      <c r="S35" s="59"/>
      <c r="T35" s="59"/>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S35" s="5">
        <f t="shared" si="30"/>
        <v>0</v>
      </c>
      <c r="BT35" s="5" t="str">
        <f t="shared" si="31"/>
        <v>2026V_Vorsorg6</v>
      </c>
      <c r="BU35">
        <v>2026</v>
      </c>
      <c r="BV35" t="s">
        <v>95</v>
      </c>
      <c r="BW35">
        <v>6</v>
      </c>
      <c r="BX35">
        <v>0</v>
      </c>
      <c r="CA35">
        <v>7056</v>
      </c>
      <c r="CB35" t="s">
        <v>243</v>
      </c>
      <c r="CC35">
        <v>1</v>
      </c>
      <c r="CD35" s="5" t="str">
        <f t="shared" ca="1" si="21"/>
        <v>Amy</v>
      </c>
      <c r="CE35" s="5" t="str">
        <f t="shared" ca="1" si="22"/>
        <v>Pictet Säule 3a Depot</v>
      </c>
      <c r="CF35" s="5" t="str">
        <f t="shared" ca="1" si="23"/>
        <v>Amy - Pictet Säule 3a Depot - Einzahlung Maximalbetrag</v>
      </c>
      <c r="CG35" s="5"/>
    </row>
    <row r="36" spans="1:85" x14ac:dyDescent="0.25">
      <c r="A36" s="57" t="s">
        <v>89</v>
      </c>
      <c r="B36" s="57"/>
      <c r="C36" s="53" t="s">
        <v>67</v>
      </c>
      <c r="D36" s="54"/>
      <c r="E36" s="63"/>
      <c r="F36" s="59">
        <f>BP4</f>
        <v>-15000</v>
      </c>
      <c r="G36" s="59">
        <f ca="1">F148</f>
        <v>-33834.248384061349</v>
      </c>
      <c r="H36" s="59">
        <f t="shared" ref="H36:BA36" ca="1" si="32">G148</f>
        <v>-34519.169633358382</v>
      </c>
      <c r="I36" s="59">
        <f t="shared" ca="1" si="32"/>
        <v>-35478.789347884755</v>
      </c>
      <c r="J36" s="59">
        <f t="shared" ca="1" si="32"/>
        <v>-35602.824739200187</v>
      </c>
      <c r="K36" s="59">
        <f t="shared" ca="1" si="32"/>
        <v>-41833.152519685893</v>
      </c>
      <c r="L36" s="59">
        <f t="shared" ca="1" si="32"/>
        <v>-53400.169140352562</v>
      </c>
      <c r="M36" s="59">
        <f t="shared" ca="1" si="32"/>
        <v>-49872.587501921502</v>
      </c>
      <c r="N36" s="59">
        <f t="shared" ca="1" si="32"/>
        <v>-30012.886939588148</v>
      </c>
      <c r="O36" s="59">
        <f t="shared" ca="1" si="32"/>
        <v>-28069.518700696128</v>
      </c>
      <c r="P36" s="59">
        <f t="shared" ca="1" si="32"/>
        <v>-30537.866012313094</v>
      </c>
      <c r="Q36" s="59">
        <f t="shared" ca="1" si="32"/>
        <v>-30658.856971913283</v>
      </c>
      <c r="R36" s="59">
        <f t="shared" ca="1" si="32"/>
        <v>-30757.031998835955</v>
      </c>
      <c r="S36" s="59">
        <f t="shared" ca="1" si="32"/>
        <v>-30849.572984911381</v>
      </c>
      <c r="T36" s="59">
        <f t="shared" ca="1" si="32"/>
        <v>-30922.878350867908</v>
      </c>
      <c r="U36" s="59">
        <f t="shared" ca="1" si="32"/>
        <v>-30983.853178333015</v>
      </c>
      <c r="V36" s="59">
        <f t="shared" ca="1" si="32"/>
        <v>-31031.403270502029</v>
      </c>
      <c r="W36" s="59">
        <f t="shared" ca="1" si="32"/>
        <v>-31058.702466596882</v>
      </c>
      <c r="X36" s="59">
        <f t="shared" ca="1" si="32"/>
        <v>-31071.502901967728</v>
      </c>
      <c r="Y36" s="59">
        <f t="shared" ca="1" si="32"/>
        <v>-31069.237383738306</v>
      </c>
      <c r="Z36" s="59">
        <f t="shared" ca="1" si="32"/>
        <v>-31051.307195099565</v>
      </c>
      <c r="AA36" s="59">
        <f t="shared" ca="1" si="32"/>
        <v>-31017.095500612511</v>
      </c>
      <c r="AB36" s="59">
        <f t="shared" ca="1" si="32"/>
        <v>-30959.700934632685</v>
      </c>
      <c r="AC36" s="59">
        <f t="shared" ca="1" si="32"/>
        <v>-30884.798840588817</v>
      </c>
      <c r="AD36" s="59">
        <f t="shared" ca="1" si="32"/>
        <v>-30792.303899958948</v>
      </c>
      <c r="AE36" s="59">
        <f t="shared" ca="1" si="32"/>
        <v>-30674.142326218793</v>
      </c>
      <c r="AF36" s="59">
        <f t="shared" ca="1" si="32"/>
        <v>-30536.496070236793</v>
      </c>
      <c r="AG36" s="59">
        <f t="shared" ca="1" si="32"/>
        <v>-30379.223537339145</v>
      </c>
      <c r="AH36" s="59">
        <f t="shared" ca="1" si="32"/>
        <v>-30194.2384088947</v>
      </c>
      <c r="AI36" s="59">
        <f t="shared" ca="1" si="32"/>
        <v>-29987.635692311251</v>
      </c>
      <c r="AJ36" s="59">
        <f t="shared" ca="1" si="32"/>
        <v>-29758.649783227102</v>
      </c>
      <c r="AK36" s="59">
        <f t="shared" ca="1" si="32"/>
        <v>-29499.767825574509</v>
      </c>
      <c r="AL36" s="59">
        <f t="shared" ca="1" si="32"/>
        <v>-29216.977786553525</v>
      </c>
      <c r="AM36" s="59">
        <f t="shared" ca="1" si="32"/>
        <v>-28903.349531011736</v>
      </c>
      <c r="AN36" s="59">
        <f t="shared" ca="1" si="32"/>
        <v>-28566.985536269203</v>
      </c>
      <c r="AO36" s="59">
        <f t="shared" ca="1" si="32"/>
        <v>-28209.699856547548</v>
      </c>
      <c r="AP36" s="59">
        <f t="shared" ca="1" si="32"/>
        <v>-27825.426303248074</v>
      </c>
      <c r="AQ36" s="59">
        <f t="shared" ca="1" si="32"/>
        <v>-27445.022573747923</v>
      </c>
      <c r="AR36" s="59">
        <f t="shared" ca="1" si="32"/>
        <v>-27033.081304384792</v>
      </c>
      <c r="AS36" s="59">
        <f t="shared" ca="1" si="32"/>
        <v>-26588.205202521003</v>
      </c>
      <c r="AT36" s="59">
        <f t="shared" ca="1" si="32"/>
        <v>-26125.613330118485</v>
      </c>
      <c r="AU36" s="59">
        <f t="shared" ca="1" si="32"/>
        <v>-25625.460753920346</v>
      </c>
      <c r="AV36" s="59">
        <f t="shared" ca="1" si="32"/>
        <v>-25095.052554483573</v>
      </c>
      <c r="AW36" s="59">
        <f t="shared" ca="1" si="32"/>
        <v>-24532.902023633997</v>
      </c>
      <c r="AX36" s="59">
        <f t="shared" ca="1" si="32"/>
        <v>-23972.408549644748</v>
      </c>
      <c r="AY36" s="59">
        <f t="shared" ca="1" si="32"/>
        <v>-23398.83217785749</v>
      </c>
      <c r="AZ36" s="59">
        <f t="shared" ca="1" si="32"/>
        <v>-22788.527241553194</v>
      </c>
      <c r="BA36" s="59">
        <f t="shared" ca="1" si="32"/>
        <v>-22160.562847212535</v>
      </c>
      <c r="BS36" s="5">
        <f t="shared" si="30"/>
        <v>0</v>
      </c>
      <c r="BT36" s="5" t="str">
        <f t="shared" si="31"/>
        <v>2027V_Vorsorg6</v>
      </c>
      <c r="BU36">
        <v>2027</v>
      </c>
      <c r="BV36" t="s">
        <v>95</v>
      </c>
      <c r="BW36">
        <v>6</v>
      </c>
      <c r="BX36">
        <v>1</v>
      </c>
      <c r="BY36" s="12">
        <v>0</v>
      </c>
      <c r="CB36" t="s">
        <v>245</v>
      </c>
      <c r="CC36">
        <v>1</v>
      </c>
      <c r="CD36" s="5" t="str">
        <f t="shared" ca="1" si="21"/>
        <v>Amy</v>
      </c>
      <c r="CE36" s="5" t="str">
        <f t="shared" ca="1" si="22"/>
        <v>Pictet Säule 3a Depot</v>
      </c>
      <c r="CF36" s="5" t="str">
        <f t="shared" ca="1" si="23"/>
        <v>Amy - Pictet Säule 3a Depot - Einzahlung Maximalbetrag und Bezug</v>
      </c>
      <c r="CG36" s="5"/>
    </row>
    <row r="37" spans="1:85" x14ac:dyDescent="0.25">
      <c r="A37" s="57" t="s">
        <v>100</v>
      </c>
      <c r="B37" s="57"/>
      <c r="C37" s="53"/>
      <c r="D37" s="54"/>
      <c r="E37" s="63"/>
      <c r="F37" s="59">
        <f t="shared" ref="F37:BA37" ca="1" si="33">SUMPRODUCT(_xlfn.ANCHORARRAY(F71),_xlfn.ANCHORARRAY($D71))</f>
        <v>-14390</v>
      </c>
      <c r="G37" s="59">
        <f t="shared" ca="1" si="33"/>
        <v>-14390</v>
      </c>
      <c r="H37" s="59">
        <f t="shared" ca="1" si="33"/>
        <v>-14390</v>
      </c>
      <c r="I37" s="59">
        <f t="shared" ca="1" si="33"/>
        <v>-15890</v>
      </c>
      <c r="J37" s="59">
        <f t="shared" ca="1" si="33"/>
        <v>-15890</v>
      </c>
      <c r="K37" s="59">
        <f t="shared" ca="1" si="33"/>
        <v>-17600</v>
      </c>
      <c r="L37" s="59">
        <f t="shared" ca="1" si="33"/>
        <v>-17600</v>
      </c>
      <c r="M37" s="59">
        <f t="shared" ca="1" si="33"/>
        <v>-17600</v>
      </c>
      <c r="N37" s="59">
        <f t="shared" ca="1" si="33"/>
        <v>-17600</v>
      </c>
      <c r="O37" s="59">
        <f t="shared" ca="1" si="33"/>
        <v>-17600</v>
      </c>
      <c r="P37" s="59">
        <f t="shared" ca="1" si="33"/>
        <v>-17600</v>
      </c>
      <c r="Q37" s="59">
        <f t="shared" ca="1" si="33"/>
        <v>-17600</v>
      </c>
      <c r="R37" s="59">
        <f t="shared" ca="1" si="33"/>
        <v>-17600</v>
      </c>
      <c r="S37" s="59">
        <f t="shared" ca="1" si="33"/>
        <v>-17600</v>
      </c>
      <c r="T37" s="59">
        <f t="shared" ca="1" si="33"/>
        <v>-17600</v>
      </c>
      <c r="U37" s="59">
        <f t="shared" ca="1" si="33"/>
        <v>-17600</v>
      </c>
      <c r="V37" s="59">
        <f t="shared" ca="1" si="33"/>
        <v>-17600</v>
      </c>
      <c r="W37" s="59">
        <f t="shared" ca="1" si="33"/>
        <v>-17600</v>
      </c>
      <c r="X37" s="59">
        <f t="shared" ca="1" si="33"/>
        <v>-17600</v>
      </c>
      <c r="Y37" s="59">
        <f t="shared" ca="1" si="33"/>
        <v>-17600</v>
      </c>
      <c r="Z37" s="59">
        <f t="shared" ca="1" si="33"/>
        <v>-17600</v>
      </c>
      <c r="AA37" s="59">
        <f t="shared" ca="1" si="33"/>
        <v>-17600</v>
      </c>
      <c r="AB37" s="59">
        <f t="shared" ca="1" si="33"/>
        <v>-17600</v>
      </c>
      <c r="AC37" s="59">
        <f t="shared" ca="1" si="33"/>
        <v>-17600</v>
      </c>
      <c r="AD37" s="59">
        <f t="shared" ca="1" si="33"/>
        <v>-17600</v>
      </c>
      <c r="AE37" s="59">
        <f t="shared" ca="1" si="33"/>
        <v>-17600</v>
      </c>
      <c r="AF37" s="59">
        <f t="shared" ca="1" si="33"/>
        <v>-17600</v>
      </c>
      <c r="AG37" s="59">
        <f t="shared" ca="1" si="33"/>
        <v>-17600</v>
      </c>
      <c r="AH37" s="59">
        <f t="shared" ca="1" si="33"/>
        <v>-17600</v>
      </c>
      <c r="AI37" s="59">
        <f t="shared" ca="1" si="33"/>
        <v>-17600</v>
      </c>
      <c r="AJ37" s="59">
        <f t="shared" ca="1" si="33"/>
        <v>-17600</v>
      </c>
      <c r="AK37" s="59">
        <f t="shared" ca="1" si="33"/>
        <v>-17600</v>
      </c>
      <c r="AL37" s="59">
        <f t="shared" ca="1" si="33"/>
        <v>-17600</v>
      </c>
      <c r="AM37" s="59">
        <f t="shared" ca="1" si="33"/>
        <v>-17600</v>
      </c>
      <c r="AN37" s="59">
        <f t="shared" ca="1" si="33"/>
        <v>-17600</v>
      </c>
      <c r="AO37" s="59">
        <f t="shared" ca="1" si="33"/>
        <v>-17600</v>
      </c>
      <c r="AP37" s="59">
        <f t="shared" ca="1" si="33"/>
        <v>-17600</v>
      </c>
      <c r="AQ37" s="59">
        <f t="shared" ca="1" si="33"/>
        <v>-17600</v>
      </c>
      <c r="AR37" s="59">
        <f t="shared" ca="1" si="33"/>
        <v>-17600</v>
      </c>
      <c r="AS37" s="59">
        <f t="shared" ca="1" si="33"/>
        <v>-17600</v>
      </c>
      <c r="AT37" s="59">
        <f t="shared" ca="1" si="33"/>
        <v>-17600</v>
      </c>
      <c r="AU37" s="59">
        <f t="shared" ca="1" si="33"/>
        <v>-17600</v>
      </c>
      <c r="AV37" s="59">
        <f t="shared" ca="1" si="33"/>
        <v>-17600</v>
      </c>
      <c r="AW37" s="59">
        <f t="shared" ca="1" si="33"/>
        <v>-17600</v>
      </c>
      <c r="AX37" s="59">
        <f t="shared" ca="1" si="33"/>
        <v>-17600</v>
      </c>
      <c r="AY37" s="59">
        <f t="shared" ca="1" si="33"/>
        <v>-17600</v>
      </c>
      <c r="AZ37" s="59">
        <f t="shared" ca="1" si="33"/>
        <v>-17600</v>
      </c>
      <c r="BA37" s="59">
        <f t="shared" ca="1" si="33"/>
        <v>-17600</v>
      </c>
      <c r="BS37" s="5">
        <f t="shared" si="30"/>
        <v>0</v>
      </c>
      <c r="BT37" s="5" t="str">
        <f t="shared" si="31"/>
        <v>2028V_Vorsorg9</v>
      </c>
      <c r="BU37">
        <v>2028</v>
      </c>
      <c r="BV37" t="s">
        <v>95</v>
      </c>
      <c r="BW37">
        <v>9</v>
      </c>
      <c r="BX37">
        <v>0</v>
      </c>
      <c r="BY37" s="12">
        <v>0</v>
      </c>
      <c r="CA37">
        <v>7056</v>
      </c>
      <c r="CB37" t="s">
        <v>243</v>
      </c>
      <c r="CC37">
        <v>1</v>
      </c>
      <c r="CD37" s="5" t="str">
        <f t="shared" ca="1" si="21"/>
        <v>Amy</v>
      </c>
      <c r="CE37" s="5" t="str">
        <f t="shared" ca="1" si="22"/>
        <v>Neues Säule 3a Gefäss</v>
      </c>
      <c r="CF37" s="5" t="str">
        <f t="shared" ca="1" si="23"/>
        <v>Amy - Neues Säule 3a Gefäss - Einzahlung Maximalbetrag</v>
      </c>
      <c r="CG37" s="5"/>
    </row>
    <row r="38" spans="1:85" x14ac:dyDescent="0.25">
      <c r="A38" s="57" t="s">
        <v>109</v>
      </c>
      <c r="B38" s="57"/>
      <c r="C38" s="53"/>
      <c r="D38" s="54">
        <v>5.0000000000000001E-3</v>
      </c>
      <c r="E38" s="63"/>
      <c r="F38" s="59">
        <f t="shared" ref="F38:BA38" ca="1" si="34">-F65*$D38</f>
        <v>-6750</v>
      </c>
      <c r="G38" s="59">
        <f ca="1">-G65*$D38</f>
        <v>-6750</v>
      </c>
      <c r="H38" s="59">
        <f t="shared" ca="1" si="34"/>
        <v>-6750</v>
      </c>
      <c r="I38" s="59">
        <f t="shared" ca="1" si="34"/>
        <v>-6750</v>
      </c>
      <c r="J38" s="59">
        <f t="shared" ca="1" si="34"/>
        <v>-6750</v>
      </c>
      <c r="K38" s="59">
        <f t="shared" ca="1" si="34"/>
        <v>-6750</v>
      </c>
      <c r="L38" s="59">
        <f t="shared" ca="1" si="34"/>
        <v>-6750</v>
      </c>
      <c r="M38" s="59">
        <f t="shared" ca="1" si="34"/>
        <v>-6750</v>
      </c>
      <c r="N38" s="59">
        <f t="shared" ca="1" si="34"/>
        <v>-6750</v>
      </c>
      <c r="O38" s="59">
        <f t="shared" ca="1" si="34"/>
        <v>-6750</v>
      </c>
      <c r="P38" s="59">
        <f t="shared" ca="1" si="34"/>
        <v>-6750</v>
      </c>
      <c r="Q38" s="59">
        <f t="shared" ca="1" si="34"/>
        <v>-6750</v>
      </c>
      <c r="R38" s="59">
        <f t="shared" ca="1" si="34"/>
        <v>-6750</v>
      </c>
      <c r="S38" s="59">
        <f t="shared" ca="1" si="34"/>
        <v>-6750</v>
      </c>
      <c r="T38" s="59">
        <f t="shared" ca="1" si="34"/>
        <v>-6750</v>
      </c>
      <c r="U38" s="59">
        <f t="shared" ca="1" si="34"/>
        <v>-6750</v>
      </c>
      <c r="V38" s="59">
        <f t="shared" ca="1" si="34"/>
        <v>-6750</v>
      </c>
      <c r="W38" s="59">
        <f t="shared" ca="1" si="34"/>
        <v>-6750</v>
      </c>
      <c r="X38" s="59">
        <f t="shared" ca="1" si="34"/>
        <v>-6750</v>
      </c>
      <c r="Y38" s="59">
        <f t="shared" ca="1" si="34"/>
        <v>-6750</v>
      </c>
      <c r="Z38" s="59">
        <f t="shared" ca="1" si="34"/>
        <v>-6750</v>
      </c>
      <c r="AA38" s="59">
        <f t="shared" ca="1" si="34"/>
        <v>-6750</v>
      </c>
      <c r="AB38" s="59">
        <f t="shared" ca="1" si="34"/>
        <v>-6750</v>
      </c>
      <c r="AC38" s="59">
        <f t="shared" ca="1" si="34"/>
        <v>-6750</v>
      </c>
      <c r="AD38" s="59">
        <f t="shared" ca="1" si="34"/>
        <v>-6750</v>
      </c>
      <c r="AE38" s="59">
        <f t="shared" ca="1" si="34"/>
        <v>-6750</v>
      </c>
      <c r="AF38" s="59">
        <f t="shared" ca="1" si="34"/>
        <v>-6750</v>
      </c>
      <c r="AG38" s="59">
        <f t="shared" ca="1" si="34"/>
        <v>-6750</v>
      </c>
      <c r="AH38" s="59">
        <f t="shared" ca="1" si="34"/>
        <v>-6750</v>
      </c>
      <c r="AI38" s="59">
        <f t="shared" ca="1" si="34"/>
        <v>-6750</v>
      </c>
      <c r="AJ38" s="59">
        <f t="shared" ca="1" si="34"/>
        <v>-6750</v>
      </c>
      <c r="AK38" s="59">
        <f t="shared" ca="1" si="34"/>
        <v>-6750</v>
      </c>
      <c r="AL38" s="59">
        <f t="shared" ca="1" si="34"/>
        <v>-6750</v>
      </c>
      <c r="AM38" s="59">
        <f t="shared" ca="1" si="34"/>
        <v>-6750</v>
      </c>
      <c r="AN38" s="59">
        <f t="shared" ca="1" si="34"/>
        <v>-6750</v>
      </c>
      <c r="AO38" s="59">
        <f t="shared" ca="1" si="34"/>
        <v>-6750</v>
      </c>
      <c r="AP38" s="59">
        <f t="shared" ca="1" si="34"/>
        <v>-6750</v>
      </c>
      <c r="AQ38" s="59">
        <f t="shared" ca="1" si="34"/>
        <v>-6750</v>
      </c>
      <c r="AR38" s="59">
        <f t="shared" ca="1" si="34"/>
        <v>-6750</v>
      </c>
      <c r="AS38" s="59">
        <f t="shared" ca="1" si="34"/>
        <v>-6750</v>
      </c>
      <c r="AT38" s="59">
        <f t="shared" ca="1" si="34"/>
        <v>-6750</v>
      </c>
      <c r="AU38" s="59">
        <f t="shared" ca="1" si="34"/>
        <v>-6750</v>
      </c>
      <c r="AV38" s="59">
        <f t="shared" ca="1" si="34"/>
        <v>-6750</v>
      </c>
      <c r="AW38" s="59">
        <f t="shared" ca="1" si="34"/>
        <v>-6750</v>
      </c>
      <c r="AX38" s="59">
        <f t="shared" ca="1" si="34"/>
        <v>-6750</v>
      </c>
      <c r="AY38" s="59">
        <f t="shared" ca="1" si="34"/>
        <v>-6750</v>
      </c>
      <c r="AZ38" s="59">
        <f t="shared" ca="1" si="34"/>
        <v>-6750</v>
      </c>
      <c r="BA38" s="59">
        <f t="shared" ca="1" si="34"/>
        <v>-6750</v>
      </c>
      <c r="BS38" s="5">
        <f t="shared" si="30"/>
        <v>0</v>
      </c>
      <c r="BT38" s="5" t="str">
        <f t="shared" si="31"/>
        <v>2029V_Vorsorg9</v>
      </c>
      <c r="BU38">
        <v>2029</v>
      </c>
      <c r="BV38" t="s">
        <v>95</v>
      </c>
      <c r="BW38">
        <v>9</v>
      </c>
      <c r="BX38">
        <v>0</v>
      </c>
      <c r="CA38">
        <v>7056</v>
      </c>
      <c r="CB38" t="s">
        <v>243</v>
      </c>
      <c r="CC38">
        <v>1</v>
      </c>
      <c r="CD38" s="5" t="str">
        <f t="shared" ca="1" si="21"/>
        <v>Amy</v>
      </c>
      <c r="CE38" s="5" t="str">
        <f t="shared" ca="1" si="22"/>
        <v>Neues Säule 3a Gefäss</v>
      </c>
      <c r="CF38" s="5" t="str">
        <f t="shared" ca="1" si="23"/>
        <v>Amy - Neues Säule 3a Gefäss - Einzahlung Maximalbetrag</v>
      </c>
      <c r="CG38" s="5"/>
    </row>
    <row r="39" spans="1:85" ht="27.75" customHeight="1" x14ac:dyDescent="0.25">
      <c r="A39" s="56" t="s">
        <v>86</v>
      </c>
      <c r="B39" s="57"/>
      <c r="C39" s="53"/>
      <c r="D39" s="54"/>
      <c r="E39" s="63"/>
      <c r="F39" s="58"/>
      <c r="G39" s="58"/>
      <c r="H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c r="BA39" s="58"/>
      <c r="BS39" s="5">
        <f t="shared" si="30"/>
        <v>0</v>
      </c>
      <c r="BT39" s="5" t="str">
        <f t="shared" si="31"/>
        <v>2030V_Vorsorg9</v>
      </c>
      <c r="BU39">
        <v>2030</v>
      </c>
      <c r="BV39" t="s">
        <v>95</v>
      </c>
      <c r="BW39">
        <v>9</v>
      </c>
      <c r="BX39">
        <v>0</v>
      </c>
      <c r="CA39">
        <f>28000*0.2</f>
        <v>5600</v>
      </c>
      <c r="CB39" t="s">
        <v>249</v>
      </c>
      <c r="CC39">
        <v>1</v>
      </c>
      <c r="CD39" s="5" t="str">
        <f t="shared" ca="1" si="21"/>
        <v>Amy</v>
      </c>
      <c r="CE39" s="5" t="str">
        <f t="shared" ca="1" si="22"/>
        <v>Neues Säule 3a Gefäss</v>
      </c>
      <c r="CF39" s="5" t="str">
        <f t="shared" ca="1" si="23"/>
        <v>Amy - Neues Säule 3a Gefäss - Einzahlung Maximalbetrag (20% Erwerbeinkommen</v>
      </c>
      <c r="CG39" s="5"/>
    </row>
    <row r="40" spans="1:85" x14ac:dyDescent="0.25">
      <c r="A40" s="57" t="s">
        <v>262</v>
      </c>
      <c r="B40" s="57"/>
      <c r="C40" s="53"/>
      <c r="D40" s="54"/>
      <c r="E40" s="63"/>
      <c r="F40" s="59">
        <f ca="1">IF(F$20+F$6&lt;0,0,F$20+F$6)</f>
        <v>59880</v>
      </c>
      <c r="G40" s="59">
        <f t="shared" ref="G40:AH40" ca="1" si="35">IF(G$20+G$6&lt;0,0,G$20+G$6)</f>
        <v>39920.751615938672</v>
      </c>
      <c r="H40" s="59">
        <f t="shared" ca="1" si="35"/>
        <v>38093.955366641632</v>
      </c>
      <c r="I40" s="59">
        <f t="shared" ca="1" si="35"/>
        <v>34475.332527115301</v>
      </c>
      <c r="J40" s="59">
        <f t="shared" ca="1" si="35"/>
        <v>30230.025630591525</v>
      </c>
      <c r="K40" s="59">
        <f t="shared" ca="1" si="35"/>
        <v>23215.769411208283</v>
      </c>
      <c r="L40" s="59">
        <f t="shared" ca="1" si="35"/>
        <v>12152.751989293436</v>
      </c>
      <c r="M40" s="59">
        <f t="shared" ca="1" si="35"/>
        <v>0</v>
      </c>
      <c r="N40" s="59">
        <f t="shared" ca="1" si="35"/>
        <v>0</v>
      </c>
      <c r="O40" s="59">
        <f t="shared" ca="1" si="35"/>
        <v>0</v>
      </c>
      <c r="P40" s="59">
        <f t="shared" ca="1" si="35"/>
        <v>0</v>
      </c>
      <c r="Q40" s="59">
        <f t="shared" ca="1" si="35"/>
        <v>0</v>
      </c>
      <c r="R40" s="59">
        <f t="shared" ca="1" si="35"/>
        <v>0</v>
      </c>
      <c r="S40" s="59">
        <f t="shared" ca="1" si="35"/>
        <v>0</v>
      </c>
      <c r="T40" s="59">
        <f t="shared" ca="1" si="35"/>
        <v>0</v>
      </c>
      <c r="U40" s="59">
        <f t="shared" ca="1" si="35"/>
        <v>0</v>
      </c>
      <c r="V40" s="59">
        <f t="shared" ca="1" si="35"/>
        <v>0</v>
      </c>
      <c r="W40" s="59">
        <f t="shared" ca="1" si="35"/>
        <v>0</v>
      </c>
      <c r="X40" s="59">
        <f t="shared" ca="1" si="35"/>
        <v>0</v>
      </c>
      <c r="Y40" s="59">
        <f t="shared" ca="1" si="35"/>
        <v>0</v>
      </c>
      <c r="Z40" s="59">
        <f t="shared" ca="1" si="35"/>
        <v>0</v>
      </c>
      <c r="AA40" s="59">
        <f t="shared" ca="1" si="35"/>
        <v>0</v>
      </c>
      <c r="AB40" s="59">
        <f t="shared" ca="1" si="35"/>
        <v>0</v>
      </c>
      <c r="AC40" s="59">
        <f t="shared" ca="1" si="35"/>
        <v>0</v>
      </c>
      <c r="AD40" s="59">
        <f t="shared" ca="1" si="35"/>
        <v>0</v>
      </c>
      <c r="AE40" s="59">
        <f t="shared" ca="1" si="35"/>
        <v>0</v>
      </c>
      <c r="AF40" s="59">
        <f t="shared" ca="1" si="35"/>
        <v>0</v>
      </c>
      <c r="AG40" s="59">
        <f ca="1">IF(AG$20+AG$6&lt;0,0,AG$20+AG$6)</f>
        <v>0</v>
      </c>
      <c r="AH40" s="59">
        <f t="shared" ca="1" si="35"/>
        <v>0</v>
      </c>
      <c r="AI40" s="59">
        <f t="shared" ref="AI40:BA40" ca="1" si="36">IF(AI$20+AI$6&lt;0,0,AI$20+AI$6)</f>
        <v>0</v>
      </c>
      <c r="AJ40" s="59">
        <f t="shared" ca="1" si="36"/>
        <v>0</v>
      </c>
      <c r="AK40" s="59">
        <f t="shared" ca="1" si="36"/>
        <v>0</v>
      </c>
      <c r="AL40" s="59">
        <f t="shared" ca="1" si="36"/>
        <v>0</v>
      </c>
      <c r="AM40" s="59">
        <f t="shared" ca="1" si="36"/>
        <v>0</v>
      </c>
      <c r="AN40" s="59">
        <f t="shared" ca="1" si="36"/>
        <v>0</v>
      </c>
      <c r="AO40" s="59">
        <f t="shared" ca="1" si="36"/>
        <v>0</v>
      </c>
      <c r="AP40" s="59">
        <f t="shared" ca="1" si="36"/>
        <v>0</v>
      </c>
      <c r="AQ40" s="59">
        <f t="shared" ca="1" si="36"/>
        <v>0</v>
      </c>
      <c r="AR40" s="59">
        <f t="shared" ca="1" si="36"/>
        <v>0</v>
      </c>
      <c r="AS40" s="59">
        <f t="shared" ca="1" si="36"/>
        <v>0</v>
      </c>
      <c r="AT40" s="59">
        <f t="shared" ca="1" si="36"/>
        <v>0</v>
      </c>
      <c r="AU40" s="59">
        <f t="shared" ca="1" si="36"/>
        <v>0</v>
      </c>
      <c r="AV40" s="59">
        <f t="shared" ca="1" si="36"/>
        <v>0</v>
      </c>
      <c r="AW40" s="59">
        <f t="shared" ca="1" si="36"/>
        <v>0</v>
      </c>
      <c r="AX40" s="59">
        <f t="shared" ca="1" si="36"/>
        <v>0</v>
      </c>
      <c r="AY40" s="59">
        <f t="shared" ca="1" si="36"/>
        <v>0</v>
      </c>
      <c r="AZ40" s="59">
        <f t="shared" ca="1" si="36"/>
        <v>0</v>
      </c>
      <c r="BA40" s="59">
        <f t="shared" ca="1" si="36"/>
        <v>0</v>
      </c>
      <c r="BS40" s="5">
        <f t="shared" si="30"/>
        <v>0</v>
      </c>
      <c r="BT40" s="5" t="str">
        <f t="shared" si="31"/>
        <v>2031V_Vorsorg9</v>
      </c>
      <c r="BU40">
        <v>2031</v>
      </c>
      <c r="BV40" t="s">
        <v>95</v>
      </c>
      <c r="BW40">
        <v>9</v>
      </c>
      <c r="BX40">
        <v>1</v>
      </c>
      <c r="BY40" s="12">
        <v>0</v>
      </c>
      <c r="CB40" t="s">
        <v>250</v>
      </c>
      <c r="CC40">
        <v>1</v>
      </c>
      <c r="CD40" s="5" t="str">
        <f t="shared" ca="1" si="21"/>
        <v>Amy</v>
      </c>
      <c r="CE40" s="5" t="str">
        <f t="shared" ca="1" si="22"/>
        <v>Neues Säule 3a Gefäss</v>
      </c>
      <c r="CF40" s="5" t="str">
        <f t="shared" ca="1" si="23"/>
        <v>Amy - Neues Säule 3a Gefäss - Einzahlung Maximalbetrag (20% Erwerbseinkommen) und Bezug</v>
      </c>
      <c r="CG40" s="5"/>
    </row>
    <row r="41" spans="1:85" x14ac:dyDescent="0.25">
      <c r="A41" s="66" t="s">
        <v>112</v>
      </c>
      <c r="B41" s="66"/>
      <c r="C41" s="67"/>
      <c r="D41" s="68"/>
      <c r="E41" s="69"/>
      <c r="F41" s="70">
        <f ca="1">IF(F$20+F$6&gt;0,0,F$20+F$6)</f>
        <v>0</v>
      </c>
      <c r="G41" s="70">
        <f t="shared" ref="G41:BA41" ca="1" si="37">IF(G$20+G$6&gt;0,0,G$20+G$6)</f>
        <v>0</v>
      </c>
      <c r="H41" s="70">
        <f t="shared" ca="1" si="37"/>
        <v>0</v>
      </c>
      <c r="I41" s="70">
        <f t="shared" ca="1" si="37"/>
        <v>0</v>
      </c>
      <c r="J41" s="70">
        <f t="shared" ca="1" si="37"/>
        <v>0</v>
      </c>
      <c r="K41" s="70">
        <f t="shared" ca="1" si="37"/>
        <v>0</v>
      </c>
      <c r="L41" s="70">
        <f t="shared" ca="1" si="37"/>
        <v>0</v>
      </c>
      <c r="M41" s="70">
        <f t="shared" ca="1" si="37"/>
        <v>-45943.790044210953</v>
      </c>
      <c r="N41" s="70">
        <f t="shared" ca="1" si="37"/>
        <v>-34857.665008892058</v>
      </c>
      <c r="O41" s="70">
        <f t="shared" ca="1" si="37"/>
        <v>-23156.600929919761</v>
      </c>
      <c r="P41" s="70">
        <f t="shared" ca="1" si="37"/>
        <v>-26911.261963855228</v>
      </c>
      <c r="Q41" s="70">
        <f t="shared" ca="1" si="37"/>
        <v>-28337.861351608692</v>
      </c>
      <c r="R41" s="70">
        <f t="shared" ca="1" si="37"/>
        <v>-29761.228933106977</v>
      </c>
      <c r="S41" s="70">
        <f t="shared" ca="1" si="37"/>
        <v>-31198.840362076604</v>
      </c>
      <c r="T41" s="70">
        <f t="shared" ca="1" si="37"/>
        <v>-32637.392227570745</v>
      </c>
      <c r="U41" s="70">
        <f t="shared" ca="1" si="37"/>
        <v>-34084.092252066577</v>
      </c>
      <c r="V41" s="70">
        <f t="shared" ca="1" si="37"/>
        <v>-35538.153419221737</v>
      </c>
      <c r="W41" s="70">
        <f t="shared" ca="1" si="37"/>
        <v>-36993.061356427541</v>
      </c>
      <c r="X41" s="70">
        <f t="shared" ca="1" si="37"/>
        <v>-38454.884664025987</v>
      </c>
      <c r="Y41" s="70">
        <f t="shared" ca="1" si="37"/>
        <v>-39923.377361107603</v>
      </c>
      <c r="Z41" s="70">
        <f t="shared" ca="1" si="37"/>
        <v>-41398.266761009538</v>
      </c>
      <c r="AA41" s="70">
        <f t="shared" ca="1" si="37"/>
        <v>-42879.266948891294</v>
      </c>
      <c r="AB41" s="70">
        <f t="shared" ca="1" si="37"/>
        <v>-44359.812443515795</v>
      </c>
      <c r="AC41" s="70">
        <f t="shared" ca="1" si="37"/>
        <v>-45845.919510985332</v>
      </c>
      <c r="AD41" s="70">
        <f t="shared" ca="1" si="37"/>
        <v>-47337.848869291556</v>
      </c>
      <c r="AE41" s="70">
        <f t="shared" ca="1" si="37"/>
        <v>-48827.877958971556</v>
      </c>
      <c r="AF41" s="70">
        <f t="shared" ca="1" si="37"/>
        <v>-50322.545226360977</v>
      </c>
      <c r="AG41" s="70">
        <f t="shared" ca="1" si="37"/>
        <v>-51822.070919685342</v>
      </c>
      <c r="AH41" s="70">
        <f t="shared" ca="1" si="37"/>
        <v>-53318.735990856236</v>
      </c>
      <c r="AI41" s="70">
        <f t="shared" ca="1" si="37"/>
        <v>-54819.00822688239</v>
      </c>
      <c r="AJ41" s="70">
        <f t="shared" ca="1" si="37"/>
        <v>-56322.500394696937</v>
      </c>
      <c r="AK41" s="70">
        <f t="shared" ca="1" si="37"/>
        <v>-57822.083685096542</v>
      </c>
      <c r="AL41" s="70">
        <f t="shared" ca="1" si="37"/>
        <v>-59324.135872848521</v>
      </c>
      <c r="AM41" s="70">
        <f t="shared" ca="1" si="37"/>
        <v>-60822.122477481302</v>
      </c>
      <c r="AN41" s="70">
        <f t="shared" ca="1" si="37"/>
        <v>-62324.547565815956</v>
      </c>
      <c r="AO41" s="70">
        <f t="shared" ca="1" si="37"/>
        <v>-63833.632805417656</v>
      </c>
      <c r="AP41" s="70">
        <f t="shared" ca="1" si="37"/>
        <v>-65343.725735231405</v>
      </c>
      <c r="AQ41" s="70">
        <f t="shared" ca="1" si="37"/>
        <v>-66886.103986091141</v>
      </c>
      <c r="AR41" s="70">
        <f t="shared" ca="1" si="37"/>
        <v>-68425.786426793333</v>
      </c>
      <c r="AS41" s="70">
        <f t="shared" ca="1" si="37"/>
        <v>-69961.80839064579</v>
      </c>
      <c r="AT41" s="70">
        <f t="shared" ca="1" si="37"/>
        <v>-71509.82805494529</v>
      </c>
      <c r="AU41" s="70">
        <f t="shared" ca="1" si="37"/>
        <v>-73050.4461884997</v>
      </c>
      <c r="AV41" s="70">
        <f t="shared" ca="1" si="37"/>
        <v>-74591.420259461782</v>
      </c>
      <c r="AW41" s="70">
        <f t="shared" ca="1" si="37"/>
        <v>-76131.722733067014</v>
      </c>
      <c r="AX41" s="70">
        <f t="shared" ca="1" si="37"/>
        <v>-77705.219058599396</v>
      </c>
      <c r="AY41" s="70">
        <f t="shared" ca="1" si="37"/>
        <v>-79297.642333326614</v>
      </c>
      <c r="AZ41" s="70">
        <f t="shared" ca="1" si="37"/>
        <v>-80885.827038234493</v>
      </c>
      <c r="BA41" s="70">
        <f t="shared" ca="1" si="37"/>
        <v>-82489.32962972422</v>
      </c>
      <c r="BS41" s="5">
        <f t="shared" si="30"/>
        <v>0</v>
      </c>
      <c r="BT41" s="5" t="str">
        <f t="shared" si="31"/>
        <v>2030A_Allg6</v>
      </c>
      <c r="BU41">
        <v>2030</v>
      </c>
      <c r="BV41" t="s">
        <v>85</v>
      </c>
      <c r="BW41">
        <v>6</v>
      </c>
      <c r="BX41">
        <v>1</v>
      </c>
      <c r="BY41" s="12">
        <v>-5600</v>
      </c>
      <c r="CD41" s="5" t="str">
        <f t="shared" ca="1" si="21"/>
        <v>Amy</v>
      </c>
      <c r="CE41" s="5" t="str">
        <f t="shared" ca="1" si="22"/>
        <v>Säule 3a Beitrag</v>
      </c>
      <c r="CF41" s="5" t="str">
        <f t="shared" ca="1" si="23"/>
        <v>Amy - Säule 3a Beitrag</v>
      </c>
      <c r="CG41" s="5"/>
    </row>
    <row r="42" spans="1:85" ht="27.75" customHeight="1" x14ac:dyDescent="0.25">
      <c r="A42" s="71" t="s">
        <v>68</v>
      </c>
      <c r="B42" s="72"/>
      <c r="C42" s="73"/>
      <c r="D42" s="74"/>
      <c r="E42" s="77">
        <f t="shared" ref="E42:AJ42" ca="1" si="38">E$43+E$46+E$65+E$70</f>
        <v>2004700</v>
      </c>
      <c r="F42" s="76">
        <f ca="1">F$43+F$46+F$65+F$70</f>
        <v>2152072.7000000002</v>
      </c>
      <c r="G42" s="76">
        <f t="shared" ca="1" si="38"/>
        <v>1775182.0402692175</v>
      </c>
      <c r="H42" s="76">
        <f t="shared" ca="1" si="38"/>
        <v>1936609.9640031978</v>
      </c>
      <c r="I42" s="76">
        <f t="shared" ca="1" si="38"/>
        <v>2068776.5932358624</v>
      </c>
      <c r="J42" s="76">
        <f t="shared" ca="1" si="38"/>
        <v>2314465.8514164123</v>
      </c>
      <c r="K42" s="76">
        <f t="shared" ca="1" si="38"/>
        <v>1487666.8262721552</v>
      </c>
      <c r="L42" s="76">
        <f t="shared" ca="1" si="38"/>
        <v>1568761.8895749399</v>
      </c>
      <c r="M42" s="76">
        <f t="shared" ca="1" si="38"/>
        <v>1586751.134940078</v>
      </c>
      <c r="N42" s="76">
        <f t="shared" ca="1" si="38"/>
        <v>1616024.5431804988</v>
      </c>
      <c r="O42" s="76">
        <f t="shared" ca="1" si="38"/>
        <v>1629073.560745623</v>
      </c>
      <c r="P42" s="76">
        <f t="shared" ca="1" si="38"/>
        <v>1638758.9263234967</v>
      </c>
      <c r="Q42" s="76">
        <f t="shared" ca="1" si="38"/>
        <v>1647331.7148195575</v>
      </c>
      <c r="R42" s="76">
        <f t="shared" ca="1" si="38"/>
        <v>1654756.2743988056</v>
      </c>
      <c r="S42" s="76">
        <f t="shared" ca="1" si="38"/>
        <v>1660977.9239343507</v>
      </c>
      <c r="T42" s="76">
        <f t="shared" ca="1" si="38"/>
        <v>1665953.6046805</v>
      </c>
      <c r="U42" s="76">
        <f t="shared" ca="1" si="38"/>
        <v>1669631.4169778395</v>
      </c>
      <c r="V42" s="76">
        <f t="shared" ca="1" si="38"/>
        <v>1671958.4454680057</v>
      </c>
      <c r="W42" s="76">
        <f t="shared" ca="1" si="38"/>
        <v>1672886.551129221</v>
      </c>
      <c r="X42" s="76">
        <f t="shared" ca="1" si="38"/>
        <v>1672359.7352730967</v>
      </c>
      <c r="Y42" s="76">
        <f t="shared" ca="1" si="38"/>
        <v>1670320.2895427281</v>
      </c>
      <c r="Z42" s="76">
        <f t="shared" ca="1" si="38"/>
        <v>1666708.7632473968</v>
      </c>
      <c r="AA42" s="76">
        <f t="shared" ca="1" si="38"/>
        <v>1661463.9158405587</v>
      </c>
      <c r="AB42" s="76">
        <f t="shared" ca="1" si="38"/>
        <v>1654529.0437337006</v>
      </c>
      <c r="AC42" s="76">
        <f t="shared" ca="1" si="38"/>
        <v>1645839.3371619526</v>
      </c>
      <c r="AD42" s="76">
        <f t="shared" ca="1" si="38"/>
        <v>1635327.4527381165</v>
      </c>
      <c r="AE42" s="76">
        <f t="shared" ca="1" si="38"/>
        <v>1622931.5477606971</v>
      </c>
      <c r="AF42" s="76">
        <f t="shared" ca="1" si="38"/>
        <v>1608580.9621644993</v>
      </c>
      <c r="AG42" s="76">
        <f t="shared" ca="1" si="38"/>
        <v>1592202.3386794771</v>
      </c>
      <c r="AH42" s="76">
        <f t="shared" ca="1" si="38"/>
        <v>1573727.6066625626</v>
      </c>
      <c r="AI42" s="76">
        <f t="shared" ca="1" si="38"/>
        <v>1553079.7320248992</v>
      </c>
      <c r="AJ42" s="76">
        <f t="shared" ca="1" si="38"/>
        <v>1530179.3784941668</v>
      </c>
      <c r="AK42" s="76">
        <f t="shared" ref="AK42:BA42" ca="1" si="39">AK$43+AK$46+AK$65+AK$70</f>
        <v>1504951.6865918767</v>
      </c>
      <c r="AL42" s="76">
        <f t="shared" ca="1" si="39"/>
        <v>1477312.6873719688</v>
      </c>
      <c r="AM42" s="76">
        <f t="shared" ca="1" si="39"/>
        <v>1447182.1218091506</v>
      </c>
      <c r="AN42" s="76">
        <f t="shared" ca="1" si="39"/>
        <v>1414468.2689242531</v>
      </c>
      <c r="AO42" s="76">
        <f t="shared" ca="1" si="39"/>
        <v>1379073.9369570892</v>
      </c>
      <c r="AP42" s="76">
        <f t="shared" ca="1" si="39"/>
        <v>1340904.2838149895</v>
      </c>
      <c r="AQ42" s="76">
        <f t="shared" ca="1" si="39"/>
        <v>1299829.3229426667</v>
      </c>
      <c r="AR42" s="76">
        <f t="shared" ca="1" si="39"/>
        <v>1255750.1115563978</v>
      </c>
      <c r="AS42" s="76">
        <f t="shared" ca="1" si="39"/>
        <v>1208565.2254233896</v>
      </c>
      <c r="AT42" s="76">
        <f t="shared" ca="1" si="39"/>
        <v>1158153.7582673014</v>
      </c>
      <c r="AU42" s="76">
        <f t="shared" ca="1" si="39"/>
        <v>1104410.3108098586</v>
      </c>
      <c r="AV42" s="76">
        <f t="shared" ca="1" si="39"/>
        <v>1047217.9015742012</v>
      </c>
      <c r="AW42" s="76">
        <f t="shared" ca="1" si="39"/>
        <v>986456.50024840259</v>
      </c>
      <c r="AX42" s="76">
        <f t="shared" ca="1" si="39"/>
        <v>921967.41736497171</v>
      </c>
      <c r="AY42" s="76">
        <f t="shared" ca="1" si="39"/>
        <v>853600.92589858593</v>
      </c>
      <c r="AZ42" s="76">
        <f t="shared" ca="1" si="39"/>
        <v>781225.62929363269</v>
      </c>
      <c r="BA42" s="76">
        <f t="shared" ca="1" si="39"/>
        <v>704685.63342066552</v>
      </c>
      <c r="BS42" s="5">
        <f t="shared" si="30"/>
        <v>0</v>
      </c>
      <c r="BT42" s="5" t="str">
        <f t="shared" si="31"/>
        <v>2031A_Allg6</v>
      </c>
      <c r="BU42">
        <v>2031</v>
      </c>
      <c r="BV42" t="s">
        <v>85</v>
      </c>
      <c r="BW42">
        <v>6</v>
      </c>
      <c r="BX42">
        <v>2</v>
      </c>
      <c r="BZ42">
        <v>0.5</v>
      </c>
      <c r="CD42" s="5" t="str">
        <f t="shared" ca="1" si="21"/>
        <v>Amy</v>
      </c>
      <c r="CE42" s="5" t="str">
        <f t="shared" ca="1" si="22"/>
        <v>Säule 3a Beitrag</v>
      </c>
      <c r="CF42" s="5" t="str">
        <f t="shared" ca="1" si="23"/>
        <v>Amy - Säule 3a Beitrag</v>
      </c>
      <c r="CG42" s="5"/>
    </row>
    <row r="43" spans="1:85" ht="27.75" customHeight="1" x14ac:dyDescent="0.25">
      <c r="A43" s="56" t="s">
        <v>59</v>
      </c>
      <c r="B43" s="57"/>
      <c r="C43" s="53"/>
      <c r="D43" s="54"/>
      <c r="E43" s="64">
        <f t="shared" ref="E43:AJ43" si="40">SUM(E44:E45)</f>
        <v>174700</v>
      </c>
      <c r="F43" s="58">
        <f ca="1">SUM(F44:F45)</f>
        <v>288099.40000000002</v>
      </c>
      <c r="G43" s="58">
        <f t="shared" ca="1" si="40"/>
        <v>377708.08076921757</v>
      </c>
      <c r="H43" s="58">
        <f t="shared" ca="1" si="40"/>
        <v>470281.41250069806</v>
      </c>
      <c r="I43" s="58">
        <f t="shared" ca="1" si="40"/>
        <v>555071.68244706234</v>
      </c>
      <c r="J43" s="58">
        <f t="shared" ca="1" si="40"/>
        <v>736758.24241183628</v>
      </c>
      <c r="K43" s="58">
        <f t="shared" ca="1" si="40"/>
        <v>1017666.826272155</v>
      </c>
      <c r="L43" s="58">
        <f t="shared" ca="1" si="40"/>
        <v>1098761.8895749399</v>
      </c>
      <c r="M43" s="58">
        <f t="shared" ca="1" si="40"/>
        <v>1116751.134940078</v>
      </c>
      <c r="N43" s="58">
        <f t="shared" ca="1" si="40"/>
        <v>1146024.5431804988</v>
      </c>
      <c r="O43" s="58">
        <f t="shared" ca="1" si="40"/>
        <v>1159073.560745623</v>
      </c>
      <c r="P43" s="58">
        <f t="shared" ca="1" si="40"/>
        <v>1168758.926323497</v>
      </c>
      <c r="Q43" s="58">
        <f t="shared" ca="1" si="40"/>
        <v>1177331.7148195575</v>
      </c>
      <c r="R43" s="58">
        <f t="shared" ca="1" si="40"/>
        <v>1184756.2743988056</v>
      </c>
      <c r="S43" s="58">
        <f t="shared" ca="1" si="40"/>
        <v>1190977.9239343507</v>
      </c>
      <c r="T43" s="58">
        <f t="shared" ca="1" si="40"/>
        <v>1195953.6046804998</v>
      </c>
      <c r="U43" s="58">
        <f t="shared" ca="1" si="40"/>
        <v>1199631.4169778395</v>
      </c>
      <c r="V43" s="58">
        <f t="shared" ca="1" si="40"/>
        <v>1201958.4454680057</v>
      </c>
      <c r="W43" s="58">
        <f t="shared" ca="1" si="40"/>
        <v>1202886.5511292208</v>
      </c>
      <c r="X43" s="58">
        <f t="shared" ca="1" si="40"/>
        <v>1202359.7352730969</v>
      </c>
      <c r="Y43" s="58">
        <f t="shared" ca="1" si="40"/>
        <v>1200320.2895427283</v>
      </c>
      <c r="Z43" s="58">
        <f t="shared" ca="1" si="40"/>
        <v>1196708.7632473966</v>
      </c>
      <c r="AA43" s="58">
        <f t="shared" ca="1" si="40"/>
        <v>1191463.9158405585</v>
      </c>
      <c r="AB43" s="58">
        <f t="shared" ca="1" si="40"/>
        <v>1184529.0437337006</v>
      </c>
      <c r="AC43" s="58">
        <f t="shared" ca="1" si="40"/>
        <v>1175839.3371619526</v>
      </c>
      <c r="AD43" s="58">
        <f t="shared" ca="1" si="40"/>
        <v>1165327.4527381167</v>
      </c>
      <c r="AE43" s="58">
        <f t="shared" ca="1" si="40"/>
        <v>1152931.5477606973</v>
      </c>
      <c r="AF43" s="58">
        <f t="shared" ca="1" si="40"/>
        <v>1138580.9621644993</v>
      </c>
      <c r="AG43" s="58">
        <f t="shared" ca="1" si="40"/>
        <v>1122202.3386794771</v>
      </c>
      <c r="AH43" s="58">
        <f t="shared" ca="1" si="40"/>
        <v>1103727.6066625626</v>
      </c>
      <c r="AI43" s="58">
        <f t="shared" ca="1" si="40"/>
        <v>1083079.7320248992</v>
      </c>
      <c r="AJ43" s="58">
        <f t="shared" ca="1" si="40"/>
        <v>1060179.3784941665</v>
      </c>
      <c r="AK43" s="58">
        <f t="shared" ref="AK43:BA43" ca="1" si="41">SUM(AK44:AK45)</f>
        <v>1034951.6865918766</v>
      </c>
      <c r="AL43" s="58">
        <f t="shared" ca="1" si="41"/>
        <v>1007312.6873719689</v>
      </c>
      <c r="AM43" s="58">
        <f t="shared" ca="1" si="41"/>
        <v>977182.12180915056</v>
      </c>
      <c r="AN43" s="58">
        <f t="shared" ca="1" si="41"/>
        <v>944468.26892425306</v>
      </c>
      <c r="AO43" s="58">
        <f t="shared" ca="1" si="41"/>
        <v>909073.93695708946</v>
      </c>
      <c r="AP43" s="58">
        <f t="shared" ca="1" si="41"/>
        <v>870904.28381498961</v>
      </c>
      <c r="AQ43" s="58">
        <f t="shared" ca="1" si="41"/>
        <v>829829.32294266659</v>
      </c>
      <c r="AR43" s="58">
        <f t="shared" ca="1" si="41"/>
        <v>785750.11155639775</v>
      </c>
      <c r="AS43" s="58">
        <f t="shared" ca="1" si="41"/>
        <v>738565.22542338958</v>
      </c>
      <c r="AT43" s="58">
        <f t="shared" ca="1" si="41"/>
        <v>688153.75826730137</v>
      </c>
      <c r="AU43" s="58">
        <f t="shared" ca="1" si="41"/>
        <v>634410.31080985849</v>
      </c>
      <c r="AV43" s="58">
        <f t="shared" ca="1" si="41"/>
        <v>577217.90157420118</v>
      </c>
      <c r="AW43" s="58">
        <f t="shared" ca="1" si="41"/>
        <v>516456.50024840253</v>
      </c>
      <c r="AX43" s="58">
        <f t="shared" ca="1" si="41"/>
        <v>451967.41736497177</v>
      </c>
      <c r="AY43" s="58">
        <f t="shared" ca="1" si="41"/>
        <v>383600.92589858593</v>
      </c>
      <c r="AZ43" s="58">
        <f t="shared" ca="1" si="41"/>
        <v>311225.62929363281</v>
      </c>
      <c r="BA43" s="58">
        <f t="shared" ca="1" si="41"/>
        <v>234685.6334206656</v>
      </c>
      <c r="BS43" s="5">
        <f t="shared" si="30"/>
        <v>0</v>
      </c>
      <c r="BT43" s="5" t="str">
        <f t="shared" si="31"/>
        <v>2032A_Allg6</v>
      </c>
      <c r="BU43">
        <v>2032</v>
      </c>
      <c r="BV43" t="s">
        <v>85</v>
      </c>
      <c r="BW43">
        <v>6</v>
      </c>
      <c r="BX43">
        <v>1</v>
      </c>
      <c r="BY43" s="12">
        <v>0</v>
      </c>
      <c r="CD43" s="5" t="str">
        <f t="shared" ca="1" si="21"/>
        <v>Amy</v>
      </c>
      <c r="CE43" s="5" t="str">
        <f t="shared" ca="1" si="22"/>
        <v>Säule 3a Beitrag</v>
      </c>
      <c r="CF43" s="5" t="str">
        <f t="shared" ca="1" si="23"/>
        <v>Amy - Säule 3a Beitrag</v>
      </c>
      <c r="CG43" s="5"/>
    </row>
    <row r="44" spans="1:85" x14ac:dyDescent="0.25">
      <c r="A44" s="57" t="s">
        <v>82</v>
      </c>
      <c r="B44" s="57"/>
      <c r="C44" s="53"/>
      <c r="D44" s="54"/>
      <c r="E44" s="62">
        <f>MIN($BP$3,SUM(V_Frei[Betrag]))</f>
        <v>100000</v>
      </c>
      <c r="F44" s="59">
        <f>E44</f>
        <v>100000</v>
      </c>
      <c r="G44" s="59">
        <f>F44</f>
        <v>100000</v>
      </c>
      <c r="H44" s="59">
        <f t="shared" ref="H44:AL44" si="42">G44</f>
        <v>100000</v>
      </c>
      <c r="I44" s="59">
        <f t="shared" si="42"/>
        <v>100000</v>
      </c>
      <c r="J44" s="59">
        <f t="shared" si="42"/>
        <v>100000</v>
      </c>
      <c r="K44" s="59">
        <f t="shared" si="42"/>
        <v>100000</v>
      </c>
      <c r="L44" s="59">
        <f t="shared" si="42"/>
        <v>100000</v>
      </c>
      <c r="M44" s="59">
        <f t="shared" si="42"/>
        <v>100000</v>
      </c>
      <c r="N44" s="59">
        <f t="shared" si="42"/>
        <v>100000</v>
      </c>
      <c r="O44" s="59">
        <f t="shared" si="42"/>
        <v>100000</v>
      </c>
      <c r="P44" s="59">
        <f t="shared" si="42"/>
        <v>100000</v>
      </c>
      <c r="Q44" s="59">
        <f t="shared" si="42"/>
        <v>100000</v>
      </c>
      <c r="R44" s="59">
        <f t="shared" si="42"/>
        <v>100000</v>
      </c>
      <c r="S44" s="59">
        <f t="shared" si="42"/>
        <v>100000</v>
      </c>
      <c r="T44" s="59">
        <f t="shared" si="42"/>
        <v>100000</v>
      </c>
      <c r="U44" s="59">
        <f t="shared" si="42"/>
        <v>100000</v>
      </c>
      <c r="V44" s="59">
        <f t="shared" si="42"/>
        <v>100000</v>
      </c>
      <c r="W44" s="59">
        <f t="shared" si="42"/>
        <v>100000</v>
      </c>
      <c r="X44" s="59">
        <f t="shared" si="42"/>
        <v>100000</v>
      </c>
      <c r="Y44" s="59">
        <f t="shared" si="42"/>
        <v>100000</v>
      </c>
      <c r="Z44" s="59">
        <f t="shared" si="42"/>
        <v>100000</v>
      </c>
      <c r="AA44" s="59">
        <f t="shared" si="42"/>
        <v>100000</v>
      </c>
      <c r="AB44" s="59">
        <f t="shared" si="42"/>
        <v>100000</v>
      </c>
      <c r="AC44" s="59">
        <f t="shared" si="42"/>
        <v>100000</v>
      </c>
      <c r="AD44" s="59">
        <f t="shared" si="42"/>
        <v>100000</v>
      </c>
      <c r="AE44" s="59">
        <f t="shared" si="42"/>
        <v>100000</v>
      </c>
      <c r="AF44" s="59">
        <f t="shared" si="42"/>
        <v>100000</v>
      </c>
      <c r="AG44" s="59">
        <f t="shared" si="42"/>
        <v>100000</v>
      </c>
      <c r="AH44" s="59">
        <f t="shared" si="42"/>
        <v>100000</v>
      </c>
      <c r="AI44" s="59">
        <f t="shared" si="42"/>
        <v>100000</v>
      </c>
      <c r="AJ44" s="59">
        <f t="shared" si="42"/>
        <v>100000</v>
      </c>
      <c r="AK44" s="59">
        <f t="shared" si="42"/>
        <v>100000</v>
      </c>
      <c r="AL44" s="59">
        <f t="shared" si="42"/>
        <v>100000</v>
      </c>
      <c r="AM44" s="59">
        <f t="shared" ref="AM44" si="43">AL44</f>
        <v>100000</v>
      </c>
      <c r="AN44" s="59">
        <f t="shared" ref="AN44" si="44">AM44</f>
        <v>100000</v>
      </c>
      <c r="AO44" s="59">
        <f t="shared" ref="AO44" si="45">AN44</f>
        <v>100000</v>
      </c>
      <c r="AP44" s="59">
        <f t="shared" ref="AP44" si="46">AO44</f>
        <v>100000</v>
      </c>
      <c r="AQ44" s="59">
        <f t="shared" ref="AQ44" si="47">AP44</f>
        <v>100000</v>
      </c>
      <c r="AR44" s="59">
        <f t="shared" ref="AR44" si="48">AQ44</f>
        <v>100000</v>
      </c>
      <c r="AS44" s="59">
        <f t="shared" ref="AS44" si="49">AR44</f>
        <v>100000</v>
      </c>
      <c r="AT44" s="59">
        <f t="shared" ref="AT44" si="50">AS44</f>
        <v>100000</v>
      </c>
      <c r="AU44" s="59">
        <f t="shared" ref="AU44" si="51">AT44</f>
        <v>100000</v>
      </c>
      <c r="AV44" s="59">
        <f t="shared" ref="AV44" si="52">AU44</f>
        <v>100000</v>
      </c>
      <c r="AW44" s="59">
        <f t="shared" ref="AW44" si="53">AV44</f>
        <v>100000</v>
      </c>
      <c r="AX44" s="59">
        <f t="shared" ref="AX44" si="54">AW44</f>
        <v>100000</v>
      </c>
      <c r="AY44" s="59">
        <f t="shared" ref="AY44" si="55">AX44</f>
        <v>100000</v>
      </c>
      <c r="AZ44" s="59">
        <f t="shared" ref="AZ44" si="56">AY44</f>
        <v>100000</v>
      </c>
      <c r="BA44" s="59">
        <f t="shared" ref="BA44" si="57">AZ44</f>
        <v>100000</v>
      </c>
      <c r="BS44" s="5">
        <f t="shared" si="30"/>
        <v>0</v>
      </c>
      <c r="BT44" s="5" t="str">
        <f t="shared" si="31"/>
        <v>2029V_Vorsorg8</v>
      </c>
      <c r="BU44">
        <v>2029</v>
      </c>
      <c r="BV44" t="s">
        <v>95</v>
      </c>
      <c r="BW44">
        <v>8</v>
      </c>
      <c r="BX44">
        <v>1</v>
      </c>
      <c r="BY44" s="12">
        <v>0</v>
      </c>
      <c r="CB44" t="s">
        <v>242</v>
      </c>
      <c r="CD44" s="5" t="str">
        <f t="shared" ca="1" si="21"/>
        <v>Amy</v>
      </c>
      <c r="CE44" s="5" t="str">
        <f t="shared" ca="1" si="22"/>
        <v>AXA Säule 3b</v>
      </c>
      <c r="CF44" s="5" t="str">
        <f t="shared" ca="1" si="23"/>
        <v>Amy - AXA Säule 3b - Auszahlung</v>
      </c>
      <c r="CG44" s="5"/>
    </row>
    <row r="45" spans="1:85" x14ac:dyDescent="0.25">
      <c r="A45" s="57" t="s">
        <v>111</v>
      </c>
      <c r="B45" s="57"/>
      <c r="C45" s="53"/>
      <c r="D45" s="54"/>
      <c r="E45" s="62">
        <f>MAX(SUM(V_Frei[Betrag])-E44,0)</f>
        <v>74700</v>
      </c>
      <c r="F45" s="59">
        <f t="shared" ref="F45:BA45" ca="1" si="58">F$82</f>
        <v>188099.4</v>
      </c>
      <c r="G45" s="59">
        <f t="shared" ca="1" si="58"/>
        <v>277708.08076921757</v>
      </c>
      <c r="H45" s="59">
        <f t="shared" ca="1" si="58"/>
        <v>370281.41250069806</v>
      </c>
      <c r="I45" s="59">
        <f t="shared" ca="1" si="58"/>
        <v>455071.68244706228</v>
      </c>
      <c r="J45" s="59">
        <f t="shared" ca="1" si="58"/>
        <v>636758.24241183628</v>
      </c>
      <c r="K45" s="59">
        <f t="shared" ca="1" si="58"/>
        <v>917666.82627215504</v>
      </c>
      <c r="L45" s="59">
        <f t="shared" ca="1" si="58"/>
        <v>998761.88957493985</v>
      </c>
      <c r="M45" s="59">
        <f t="shared" ca="1" si="58"/>
        <v>1016751.1349400781</v>
      </c>
      <c r="N45" s="59">
        <f t="shared" ca="1" si="58"/>
        <v>1046024.5431804988</v>
      </c>
      <c r="O45" s="59">
        <f t="shared" ca="1" si="58"/>
        <v>1059073.560745623</v>
      </c>
      <c r="P45" s="59">
        <f t="shared" ca="1" si="58"/>
        <v>1068758.926323497</v>
      </c>
      <c r="Q45" s="59">
        <f t="shared" ca="1" si="58"/>
        <v>1077331.7148195575</v>
      </c>
      <c r="R45" s="59">
        <f t="shared" ca="1" si="58"/>
        <v>1084756.2743988056</v>
      </c>
      <c r="S45" s="59">
        <f t="shared" ca="1" si="58"/>
        <v>1090977.9239343507</v>
      </c>
      <c r="T45" s="59">
        <f t="shared" ca="1" si="58"/>
        <v>1095953.6046804998</v>
      </c>
      <c r="U45" s="59">
        <f t="shared" ca="1" si="58"/>
        <v>1099631.4169778395</v>
      </c>
      <c r="V45" s="59">
        <f t="shared" ca="1" si="58"/>
        <v>1101958.4454680057</v>
      </c>
      <c r="W45" s="59">
        <f t="shared" ca="1" si="58"/>
        <v>1102886.5511292208</v>
      </c>
      <c r="X45" s="59">
        <f t="shared" ca="1" si="58"/>
        <v>1102359.7352730969</v>
      </c>
      <c r="Y45" s="59">
        <f t="shared" ca="1" si="58"/>
        <v>1100320.2895427283</v>
      </c>
      <c r="Z45" s="59">
        <f t="shared" ca="1" si="58"/>
        <v>1096708.7632473966</v>
      </c>
      <c r="AA45" s="59">
        <f t="shared" ca="1" si="58"/>
        <v>1091463.9158405585</v>
      </c>
      <c r="AB45" s="59">
        <f t="shared" ca="1" si="58"/>
        <v>1084529.0437337006</v>
      </c>
      <c r="AC45" s="59">
        <f t="shared" ca="1" si="58"/>
        <v>1075839.3371619526</v>
      </c>
      <c r="AD45" s="59">
        <f t="shared" ca="1" si="58"/>
        <v>1065327.4527381167</v>
      </c>
      <c r="AE45" s="59">
        <f t="shared" ca="1" si="58"/>
        <v>1052931.5477606973</v>
      </c>
      <c r="AF45" s="59">
        <f t="shared" ca="1" si="58"/>
        <v>1038580.9621644993</v>
      </c>
      <c r="AG45" s="59">
        <f t="shared" ca="1" si="58"/>
        <v>1022202.338679477</v>
      </c>
      <c r="AH45" s="59">
        <f t="shared" ca="1" si="58"/>
        <v>1003727.6066625625</v>
      </c>
      <c r="AI45" s="59">
        <f t="shared" ca="1" si="58"/>
        <v>983079.73202489922</v>
      </c>
      <c r="AJ45" s="59">
        <f t="shared" ca="1" si="58"/>
        <v>960179.37849416654</v>
      </c>
      <c r="AK45" s="59">
        <f t="shared" ca="1" si="58"/>
        <v>934951.68659187655</v>
      </c>
      <c r="AL45" s="59">
        <f t="shared" ca="1" si="58"/>
        <v>907312.68737196887</v>
      </c>
      <c r="AM45" s="59">
        <f t="shared" ca="1" si="58"/>
        <v>877182.12180915056</v>
      </c>
      <c r="AN45" s="59">
        <f t="shared" ca="1" si="58"/>
        <v>844468.26892425306</v>
      </c>
      <c r="AO45" s="59">
        <f t="shared" ca="1" si="58"/>
        <v>809073.93695708946</v>
      </c>
      <c r="AP45" s="59">
        <f t="shared" ca="1" si="58"/>
        <v>770904.28381498961</v>
      </c>
      <c r="AQ45" s="59">
        <f t="shared" ca="1" si="58"/>
        <v>729829.32294266659</v>
      </c>
      <c r="AR45" s="59">
        <f t="shared" ca="1" si="58"/>
        <v>685750.11155639775</v>
      </c>
      <c r="AS45" s="59">
        <f t="shared" ca="1" si="58"/>
        <v>638565.22542338958</v>
      </c>
      <c r="AT45" s="59">
        <f t="shared" ca="1" si="58"/>
        <v>588153.75826730137</v>
      </c>
      <c r="AU45" s="59">
        <f t="shared" ca="1" si="58"/>
        <v>534410.31080985849</v>
      </c>
      <c r="AV45" s="59">
        <f t="shared" ca="1" si="58"/>
        <v>477217.90157420118</v>
      </c>
      <c r="AW45" s="59">
        <f t="shared" ca="1" si="58"/>
        <v>416456.50024840253</v>
      </c>
      <c r="AX45" s="59">
        <f t="shared" ca="1" si="58"/>
        <v>351967.41736497177</v>
      </c>
      <c r="AY45" s="59">
        <f t="shared" ca="1" si="58"/>
        <v>283600.92589858593</v>
      </c>
      <c r="AZ45" s="59">
        <f t="shared" ca="1" si="58"/>
        <v>211225.62929363284</v>
      </c>
      <c r="BA45" s="59">
        <f t="shared" ca="1" si="58"/>
        <v>134685.6334206656</v>
      </c>
      <c r="BS45" s="5">
        <f t="shared" si="30"/>
        <v>0</v>
      </c>
      <c r="BT45" s="5" t="str">
        <f t="shared" si="31"/>
        <v>2029E_Erwerb6</v>
      </c>
      <c r="BU45">
        <v>2029</v>
      </c>
      <c r="BV45" t="s">
        <v>74</v>
      </c>
      <c r="BW45">
        <v>6</v>
      </c>
      <c r="BX45">
        <v>1</v>
      </c>
      <c r="BY45" s="12">
        <f>2450*4</f>
        <v>9800</v>
      </c>
      <c r="CD45" s="5" t="str">
        <f t="shared" ca="1" si="21"/>
        <v>Amy</v>
      </c>
      <c r="CE45" s="5" t="str">
        <f t="shared" ca="1" si="22"/>
        <v>AHV-Einzelrente</v>
      </c>
      <c r="CF45" s="5" t="str">
        <f t="shared" ca="1" si="23"/>
        <v>Amy - AHV-Einzelrente</v>
      </c>
      <c r="CG45" s="5"/>
    </row>
    <row r="46" spans="1:85" ht="27.75" customHeight="1" x14ac:dyDescent="0.25">
      <c r="A46" s="56" t="s">
        <v>91</v>
      </c>
      <c r="B46" s="57" t="s">
        <v>95</v>
      </c>
      <c r="C46" s="53"/>
      <c r="D46" s="54"/>
      <c r="E46" s="64">
        <f ca="1">SUM(E47:E64)</f>
        <v>1360000</v>
      </c>
      <c r="F46" s="58">
        <f ca="1">SUM(F47:F64)</f>
        <v>1393973.3</v>
      </c>
      <c r="G46" s="58">
        <f t="shared" ref="G46" ca="1" si="59">SUM(G47:G50)</f>
        <v>927473.9595</v>
      </c>
      <c r="H46" s="58">
        <f t="shared" ref="H46" ca="1" si="60">SUM(H47:H50)</f>
        <v>996328.55150249996</v>
      </c>
      <c r="I46" s="58">
        <f t="shared" ref="I46" ca="1" si="61">SUM(I47:I50)</f>
        <v>1043704.9107888</v>
      </c>
      <c r="J46" s="58">
        <f t="shared" ref="J46" ca="1" si="62">SUM(J47:J50)</f>
        <v>1107707.609004576</v>
      </c>
      <c r="K46" s="58">
        <f t="shared" ref="K46" ca="1" si="63">SUM(K47:K50)</f>
        <v>0</v>
      </c>
      <c r="L46" s="58">
        <f t="shared" ref="L46" ca="1" si="64">SUM(L47:L50)</f>
        <v>0</v>
      </c>
      <c r="M46" s="58">
        <f t="shared" ref="M46" ca="1" si="65">SUM(M47:M50)</f>
        <v>0</v>
      </c>
      <c r="N46" s="58">
        <f t="shared" ref="N46" ca="1" si="66">SUM(N47:N50)</f>
        <v>0</v>
      </c>
      <c r="O46" s="58">
        <f t="shared" ref="O46" ca="1" si="67">SUM(O47:O50)</f>
        <v>0</v>
      </c>
      <c r="P46" s="58">
        <f t="shared" ref="P46" ca="1" si="68">SUM(P47:P50)</f>
        <v>0</v>
      </c>
      <c r="Q46" s="58">
        <f t="shared" ref="Q46" ca="1" si="69">SUM(Q47:Q50)</f>
        <v>0</v>
      </c>
      <c r="R46" s="58">
        <f t="shared" ref="R46" ca="1" si="70">SUM(R47:R50)</f>
        <v>0</v>
      </c>
      <c r="S46" s="58">
        <f t="shared" ref="S46" ca="1" si="71">SUM(S47:S50)</f>
        <v>0</v>
      </c>
      <c r="T46" s="58">
        <f t="shared" ref="T46" ca="1" si="72">SUM(T47:T50)</f>
        <v>0</v>
      </c>
      <c r="U46" s="58">
        <f t="shared" ref="U46" ca="1" si="73">SUM(U47:U50)</f>
        <v>0</v>
      </c>
      <c r="V46" s="58">
        <f t="shared" ref="V46" ca="1" si="74">SUM(V47:V50)</f>
        <v>0</v>
      </c>
      <c r="W46" s="58">
        <f t="shared" ref="W46" ca="1" si="75">SUM(W47:W50)</f>
        <v>0</v>
      </c>
      <c r="X46" s="58">
        <f t="shared" ref="X46" ca="1" si="76">SUM(X47:X50)</f>
        <v>0</v>
      </c>
      <c r="Y46" s="58">
        <f t="shared" ref="Y46" ca="1" si="77">SUM(Y47:Y50)</f>
        <v>0</v>
      </c>
      <c r="Z46" s="58">
        <f t="shared" ref="Z46" ca="1" si="78">SUM(Z47:Z50)</f>
        <v>0</v>
      </c>
      <c r="AA46" s="58">
        <f t="shared" ref="AA46" ca="1" si="79">SUM(AA47:AA50)</f>
        <v>0</v>
      </c>
      <c r="AB46" s="58">
        <f t="shared" ref="AB46" ca="1" si="80">SUM(AB47:AB50)</f>
        <v>0</v>
      </c>
      <c r="AC46" s="58">
        <f t="shared" ref="AC46" ca="1" si="81">SUM(AC47:AC50)</f>
        <v>0</v>
      </c>
      <c r="AD46" s="58">
        <f t="shared" ref="AD46" ca="1" si="82">SUM(AD47:AD50)</f>
        <v>0</v>
      </c>
      <c r="AE46" s="58">
        <f t="shared" ref="AE46" ca="1" si="83">SUM(AE47:AE50)</f>
        <v>0</v>
      </c>
      <c r="AF46" s="58">
        <f t="shared" ref="AF46" ca="1" si="84">SUM(AF47:AF50)</f>
        <v>0</v>
      </c>
      <c r="AG46" s="58">
        <f t="shared" ref="AG46" ca="1" si="85">SUM(AG47:AG50)</f>
        <v>0</v>
      </c>
      <c r="AH46" s="58">
        <f t="shared" ref="AH46" ca="1" si="86">SUM(AH47:AH50)</f>
        <v>0</v>
      </c>
      <c r="AI46" s="58">
        <f t="shared" ref="AI46" ca="1" si="87">SUM(AI47:AI50)</f>
        <v>0</v>
      </c>
      <c r="AJ46" s="58">
        <f t="shared" ref="AJ46" ca="1" si="88">SUM(AJ47:AJ50)</f>
        <v>0</v>
      </c>
      <c r="AK46" s="58">
        <f t="shared" ref="AK46" ca="1" si="89">SUM(AK47:AK50)</f>
        <v>0</v>
      </c>
      <c r="AL46" s="58">
        <f t="shared" ref="AL46" ca="1" si="90">SUM(AL47:AL50)</f>
        <v>0</v>
      </c>
      <c r="AM46" s="58">
        <f t="shared" ref="AM46" ca="1" si="91">SUM(AM47:AM50)</f>
        <v>0</v>
      </c>
      <c r="AN46" s="58">
        <f t="shared" ref="AN46" ca="1" si="92">SUM(AN47:AN50)</f>
        <v>0</v>
      </c>
      <c r="AO46" s="58">
        <f t="shared" ref="AO46" ca="1" si="93">SUM(AO47:AO50)</f>
        <v>0</v>
      </c>
      <c r="AP46" s="58">
        <f t="shared" ref="AP46" ca="1" si="94">SUM(AP47:AP50)</f>
        <v>0</v>
      </c>
      <c r="AQ46" s="58">
        <f t="shared" ref="AQ46" ca="1" si="95">SUM(AQ47:AQ50)</f>
        <v>0</v>
      </c>
      <c r="AR46" s="58">
        <f t="shared" ref="AR46" ca="1" si="96">SUM(AR47:AR50)</f>
        <v>0</v>
      </c>
      <c r="AS46" s="58">
        <f t="shared" ref="AS46" ca="1" si="97">SUM(AS47:AS50)</f>
        <v>0</v>
      </c>
      <c r="AT46" s="58">
        <f t="shared" ref="AT46" ca="1" si="98">SUM(AT47:AT50)</f>
        <v>0</v>
      </c>
      <c r="AU46" s="58">
        <f t="shared" ref="AU46" ca="1" si="99">SUM(AU47:AU50)</f>
        <v>0</v>
      </c>
      <c r="AV46" s="58">
        <f t="shared" ref="AV46" ca="1" si="100">SUM(AV47:AV50)</f>
        <v>0</v>
      </c>
      <c r="AW46" s="58">
        <f t="shared" ref="AW46" ca="1" si="101">SUM(AW47:AW50)</f>
        <v>0</v>
      </c>
      <c r="AX46" s="58">
        <f t="shared" ref="AX46" ca="1" si="102">SUM(AX47:AX50)</f>
        <v>0</v>
      </c>
      <c r="AY46" s="58">
        <f t="shared" ref="AY46" ca="1" si="103">SUM(AY47:AY50)</f>
        <v>0</v>
      </c>
      <c r="AZ46" s="58">
        <f t="shared" ref="AZ46" ca="1" si="104">SUM(AZ47:AZ50)</f>
        <v>0</v>
      </c>
      <c r="BA46" s="58">
        <f t="shared" ref="BA46" si="105">SUM(BA47:BA50)</f>
        <v>0</v>
      </c>
      <c r="BS46" s="5">
        <f t="shared" si="30"/>
        <v>0</v>
      </c>
      <c r="BT46" s="5" t="str">
        <f t="shared" si="31"/>
        <v>2030E_Erwerb6</v>
      </c>
      <c r="BU46">
        <v>2030</v>
      </c>
      <c r="BV46" t="s">
        <v>74</v>
      </c>
      <c r="BW46">
        <v>6</v>
      </c>
      <c r="BX46">
        <v>1</v>
      </c>
      <c r="BY46" s="12">
        <f>2450*12</f>
        <v>29400</v>
      </c>
      <c r="CD46" s="5" t="str">
        <f t="shared" ca="1" si="21"/>
        <v>Amy</v>
      </c>
      <c r="CE46" s="5" t="str">
        <f t="shared" ca="1" si="22"/>
        <v>AHV-Einzelrente</v>
      </c>
      <c r="CF46" s="5" t="str">
        <f t="shared" ca="1" si="23"/>
        <v>Amy - AHV-Einzelrente</v>
      </c>
      <c r="CG46" s="5"/>
    </row>
    <row r="47" spans="1:85" x14ac:dyDescent="0.25">
      <c r="A47" s="57" t="str" cm="1">
        <f t="array" aca="1" ref="A47:A59" ca="1">INDIRECT($B46&amp;"[Titel]")</f>
        <v>Pensionskasse McDonalds</v>
      </c>
      <c r="B47" s="57" cm="1">
        <f t="array" aca="1" ref="B47:B59" ca="1">INDIRECT($B46&amp;"[Id]")</f>
        <v>2</v>
      </c>
      <c r="C47" s="53" t="str" cm="1">
        <f t="array" aca="1" ref="C47:C59" ca="1">INDIRECT($B46&amp;"[Zugehörigkeit Bezeichnung]")</f>
        <v>Amy</v>
      </c>
      <c r="D47" s="54" cm="1">
        <f t="array" aca="1" ref="D47:D59" ca="1">INDIRECT($B46&amp;"[Rendite / Zins]")</f>
        <v>0.02</v>
      </c>
      <c r="E47" s="62" cm="1">
        <f t="array" aca="1" ref="E47:E59" ca="1">INDIRECT($B46&amp;"[Betrag]")</f>
        <v>800000</v>
      </c>
      <c r="F47" s="59" cm="1">
        <f t="array" aca="1" ref="F47:F59" ca="1">_xlfn.SWITCH(IFERROR(VLOOKUP(F$3&amp;$B$46&amp;_xlfn.ANCHORARRAY($B47),$BT:$CA,5,0),0),
0,_xlfn.ANCHORARRAY(E47)*(1+_xlfn.ANCHORARRAY($D47))+SUMIF($BT:$BT,F$3&amp;$B$46&amp;_xlfn.ANCHORARRAY($B47),$CA:$CA),
1,VLOOKUP(F$3&amp;$B$46&amp;_xlfn.ANCHORARRAY($B47),$BT:$CA,6,0),
2,_xlfn.ANCHORARRAY(E47)*(1+_xlfn.ANCHORARRAY($D47))*VLOOKUP(F$3&amp;$B$46&amp;_xlfn.ANCHORARRAY($B47),$BT:$CA,7,0))</f>
        <v>859128.6</v>
      </c>
      <c r="G47" s="59" cm="1">
        <f t="array" aca="1" ref="G47:G59" ca="1">_xlfn.SWITCH(IFERROR(VLOOKUP(G$3&amp;$B$46&amp;_xlfn.ANCHORARRAY($B47),$BT:$CA,5,0),0),
0,_xlfn.ANCHORARRAY(F47)*(1+_xlfn.ANCHORARRAY($D47))+SUMIF($BT:$BT,G$3&amp;$B$46&amp;_xlfn.ANCHORARRAY($B47),$CA:$CA),
1,VLOOKUP(G$3&amp;$B$46&amp;_xlfn.ANCHORARRAY($B47),$BT:$CA,6,0),
2,_xlfn.ANCHORARRAY(F47)*(1+_xlfn.ANCHORARRAY($D47))*VLOOKUP(G$3&amp;$B$46&amp;_xlfn.ANCHORARRAY($B47),$BT:$CA,7,0))</f>
        <v>919439.772</v>
      </c>
      <c r="H47" s="59" cm="1">
        <f t="array" aca="1" ref="H47:H59" ca="1">_xlfn.SWITCH(IFERROR(VLOOKUP(H$3&amp;$B$46&amp;_xlfn.ANCHORARRAY($B47),$BT:$CA,5,0),0),
0,_xlfn.ANCHORARRAY(G47)*(1+_xlfn.ANCHORARRAY($D47))+SUMIF($BT:$BT,H$3&amp;$B$46&amp;_xlfn.ANCHORARRAY($B47),$CA:$CA),
1,VLOOKUP(H$3&amp;$B$46&amp;_xlfn.ANCHORARRAY($B47),$BT:$CA,6,0),
2,_xlfn.ANCHORARRAY(G47)*(1+_xlfn.ANCHORARRAY($D47))*VLOOKUP(H$3&amp;$B$46&amp;_xlfn.ANCHORARRAY($B47),$BT:$CA,7,0))</f>
        <v>980957.16743999999</v>
      </c>
      <c r="I47" s="59" cm="1">
        <f t="array" aca="1" ref="I47:I59" ca="1">_xlfn.SWITCH(IFERROR(VLOOKUP(I$3&amp;$B$46&amp;_xlfn.ANCHORARRAY($B47),$BT:$CA,5,0),0),
0,_xlfn.ANCHORARRAY(H47)*(1+_xlfn.ANCHORARRAY($D47))+SUMIF($BT:$BT,I$3&amp;$B$46&amp;_xlfn.ANCHORARRAY($B47),$CA:$CA),
1,VLOOKUP(I$3&amp;$B$46&amp;_xlfn.ANCHORARRAY($B47),$BT:$CA,6,0),
2,_xlfn.ANCHORARRAY(H47)*(1+_xlfn.ANCHORARRAY($D47))*VLOOKUP(I$3&amp;$B$46&amp;_xlfn.ANCHORARRAY($B47),$BT:$CA,7,0))</f>
        <v>1043704.9107888</v>
      </c>
      <c r="J47" s="59" cm="1">
        <f t="array" aca="1" ref="J47:J59" ca="1">_xlfn.SWITCH(IFERROR(VLOOKUP(J$3&amp;$B$46&amp;_xlfn.ANCHORARRAY($B47),$BT:$CA,5,0),0),
0,_xlfn.ANCHORARRAY(I47)*(1+_xlfn.ANCHORARRAY($D47))+SUMIF($BT:$BT,J$3&amp;$B$46&amp;_xlfn.ANCHORARRAY($B47),$CA:$CA),
1,VLOOKUP(J$3&amp;$B$46&amp;_xlfn.ANCHORARRAY($B47),$BT:$CA,6,0),
2,_xlfn.ANCHORARRAY(I47)*(1+_xlfn.ANCHORARRAY($D47))*VLOOKUP(J$3&amp;$B$46&amp;_xlfn.ANCHORARRAY($B47),$BT:$CA,7,0))</f>
        <v>1107707.609004576</v>
      </c>
      <c r="K47" s="59" cm="1">
        <f t="array" aca="1" ref="K47:K59" ca="1">_xlfn.SWITCH(IFERROR(VLOOKUP(K$3&amp;$B$46&amp;_xlfn.ANCHORARRAY($B47),$BT:$CA,5,0),0),
0,_xlfn.ANCHORARRAY(J47)*(1+_xlfn.ANCHORARRAY($D47))+SUMIF($BT:$BT,K$3&amp;$B$46&amp;_xlfn.ANCHORARRAY($B47),$CA:$CA),
1,VLOOKUP(K$3&amp;$B$46&amp;_xlfn.ANCHORARRAY($B47),$BT:$CA,6,0),
2,_xlfn.ANCHORARRAY(J47)*(1+_xlfn.ANCHORARRAY($D47))*VLOOKUP(K$3&amp;$B$46&amp;_xlfn.ANCHORARRAY($B47),$BT:$CA,7,0))</f>
        <v>0</v>
      </c>
      <c r="L47" s="59" cm="1">
        <f t="array" aca="1" ref="L47:L59" ca="1">_xlfn.SWITCH(IFERROR(VLOOKUP(L$3&amp;$B$46&amp;_xlfn.ANCHORARRAY($B47),$BT:$CA,5,0),0),
0,_xlfn.ANCHORARRAY(K47)*(1+_xlfn.ANCHORARRAY($D47))+SUMIF($BT:$BT,L$3&amp;$B$46&amp;_xlfn.ANCHORARRAY($B47),$CA:$CA),
1,VLOOKUP(L$3&amp;$B$46&amp;_xlfn.ANCHORARRAY($B47),$BT:$CA,6,0),
2,_xlfn.ANCHORARRAY(K47)*(1+_xlfn.ANCHORARRAY($D47))*VLOOKUP(L$3&amp;$B$46&amp;_xlfn.ANCHORARRAY($B47),$BT:$CA,7,0))</f>
        <v>0</v>
      </c>
      <c r="M47" s="59" cm="1">
        <f t="array" aca="1" ref="M47:M59" ca="1">_xlfn.SWITCH(IFERROR(VLOOKUP(M$3&amp;$B$46&amp;_xlfn.ANCHORARRAY($B47),$BT:$CA,5,0),0),
0,_xlfn.ANCHORARRAY(L47)*(1+_xlfn.ANCHORARRAY($D47))+SUMIF($BT:$BT,M$3&amp;$B$46&amp;_xlfn.ANCHORARRAY($B47),$CA:$CA),
1,VLOOKUP(M$3&amp;$B$46&amp;_xlfn.ANCHORARRAY($B47),$BT:$CA,6,0),
2,_xlfn.ANCHORARRAY(L47)*(1+_xlfn.ANCHORARRAY($D47))*VLOOKUP(M$3&amp;$B$46&amp;_xlfn.ANCHORARRAY($B47),$BT:$CA,7,0))</f>
        <v>0</v>
      </c>
      <c r="N47" s="59" cm="1">
        <f t="array" aca="1" ref="N47:N59" ca="1">_xlfn.SWITCH(IFERROR(VLOOKUP(N$3&amp;$B$46&amp;_xlfn.ANCHORARRAY($B47),$BT:$CA,5,0),0),
0,_xlfn.ANCHORARRAY(M47)*(1+_xlfn.ANCHORARRAY($D47))+SUMIF($BT:$BT,N$3&amp;$B$46&amp;_xlfn.ANCHORARRAY($B47),$CA:$CA),
1,VLOOKUP(N$3&amp;$B$46&amp;_xlfn.ANCHORARRAY($B47),$BT:$CA,6,0),
2,_xlfn.ANCHORARRAY(M47)*(1+_xlfn.ANCHORARRAY($D47))*VLOOKUP(N$3&amp;$B$46&amp;_xlfn.ANCHORARRAY($B47),$BT:$CA,7,0))</f>
        <v>0</v>
      </c>
      <c r="O47" s="59" cm="1">
        <f t="array" aca="1" ref="O47:O59" ca="1">_xlfn.SWITCH(IFERROR(VLOOKUP(O$3&amp;$B$46&amp;_xlfn.ANCHORARRAY($B47),$BT:$CA,5,0),0),
0,_xlfn.ANCHORARRAY(N47)*(1+_xlfn.ANCHORARRAY($D47))+SUMIF($BT:$BT,O$3&amp;$B$46&amp;_xlfn.ANCHORARRAY($B47),$CA:$CA),
1,VLOOKUP(O$3&amp;$B$46&amp;_xlfn.ANCHORARRAY($B47),$BT:$CA,6,0),
2,_xlfn.ANCHORARRAY(N47)*(1+_xlfn.ANCHORARRAY($D47))*VLOOKUP(O$3&amp;$B$46&amp;_xlfn.ANCHORARRAY($B47),$BT:$CA,7,0))</f>
        <v>0</v>
      </c>
      <c r="P47" s="59" cm="1">
        <f t="array" aca="1" ref="P47:P59" ca="1">_xlfn.SWITCH(IFERROR(VLOOKUP(P$3&amp;$B$46&amp;_xlfn.ANCHORARRAY($B47),$BT:$CA,5,0),0),
0,_xlfn.ANCHORARRAY(O47)*(1+_xlfn.ANCHORARRAY($D47))+SUMIF($BT:$BT,P$3&amp;$B$46&amp;_xlfn.ANCHORARRAY($B47),$CA:$CA),
1,VLOOKUP(P$3&amp;$B$46&amp;_xlfn.ANCHORARRAY($B47),$BT:$CA,6,0),
2,_xlfn.ANCHORARRAY(O47)*(1+_xlfn.ANCHORARRAY($D47))*VLOOKUP(P$3&amp;$B$46&amp;_xlfn.ANCHORARRAY($B47),$BT:$CA,7,0))</f>
        <v>0</v>
      </c>
      <c r="Q47" s="59" cm="1">
        <f t="array" aca="1" ref="Q47:Q59" ca="1">_xlfn.SWITCH(IFERROR(VLOOKUP(Q$3&amp;$B$46&amp;_xlfn.ANCHORARRAY($B47),$BT:$CA,5,0),0),
0,_xlfn.ANCHORARRAY(P47)*(1+_xlfn.ANCHORARRAY($D47))+SUMIF($BT:$BT,Q$3&amp;$B$46&amp;_xlfn.ANCHORARRAY($B47),$CA:$CA),
1,VLOOKUP(Q$3&amp;$B$46&amp;_xlfn.ANCHORARRAY($B47),$BT:$CA,6,0),
2,_xlfn.ANCHORARRAY(P47)*(1+_xlfn.ANCHORARRAY($D47))*VLOOKUP(Q$3&amp;$B$46&amp;_xlfn.ANCHORARRAY($B47),$BT:$CA,7,0))</f>
        <v>0</v>
      </c>
      <c r="R47" s="59" cm="1">
        <f t="array" aca="1" ref="R47:R59" ca="1">_xlfn.SWITCH(IFERROR(VLOOKUP(R$3&amp;$B$46&amp;_xlfn.ANCHORARRAY($B47),$BT:$CA,5,0),0),
0,_xlfn.ANCHORARRAY(Q47)*(1+_xlfn.ANCHORARRAY($D47))+SUMIF($BT:$BT,R$3&amp;$B$46&amp;_xlfn.ANCHORARRAY($B47),$CA:$CA),
1,VLOOKUP(R$3&amp;$B$46&amp;_xlfn.ANCHORARRAY($B47),$BT:$CA,6,0),
2,_xlfn.ANCHORARRAY(Q47)*(1+_xlfn.ANCHORARRAY($D47))*VLOOKUP(R$3&amp;$B$46&amp;_xlfn.ANCHORARRAY($B47),$BT:$CA,7,0))</f>
        <v>0</v>
      </c>
      <c r="S47" s="59" cm="1">
        <f t="array" aca="1" ref="S47:S59" ca="1">_xlfn.SWITCH(IFERROR(VLOOKUP(S$3&amp;$B$46&amp;_xlfn.ANCHORARRAY($B47),$BT:$CA,5,0),0),
0,_xlfn.ANCHORARRAY(R47)*(1+_xlfn.ANCHORARRAY($D47))+SUMIF($BT:$BT,S$3&amp;$B$46&amp;_xlfn.ANCHORARRAY($B47),$CA:$CA),
1,VLOOKUP(S$3&amp;$B$46&amp;_xlfn.ANCHORARRAY($B47),$BT:$CA,6,0),
2,_xlfn.ANCHORARRAY(R47)*(1+_xlfn.ANCHORARRAY($D47))*VLOOKUP(S$3&amp;$B$46&amp;_xlfn.ANCHORARRAY($B47),$BT:$CA,7,0))</f>
        <v>0</v>
      </c>
      <c r="T47" s="59" cm="1">
        <f t="array" aca="1" ref="T47:T59" ca="1">_xlfn.SWITCH(IFERROR(VLOOKUP(T$3&amp;$B$46&amp;_xlfn.ANCHORARRAY($B47),$BT:$CA,5,0),0),
0,_xlfn.ANCHORARRAY(S47)*(1+_xlfn.ANCHORARRAY($D47))+SUMIF($BT:$BT,T$3&amp;$B$46&amp;_xlfn.ANCHORARRAY($B47),$CA:$CA),
1,VLOOKUP(T$3&amp;$B$46&amp;_xlfn.ANCHORARRAY($B47),$BT:$CA,6,0),
2,_xlfn.ANCHORARRAY(S47)*(1+_xlfn.ANCHORARRAY($D47))*VLOOKUP(T$3&amp;$B$46&amp;_xlfn.ANCHORARRAY($B47),$BT:$CA,7,0))</f>
        <v>0</v>
      </c>
      <c r="U47" s="59" cm="1">
        <f t="array" aca="1" ref="U47:U59" ca="1">_xlfn.SWITCH(IFERROR(VLOOKUP(U$3&amp;$B$46&amp;_xlfn.ANCHORARRAY($B47),$BT:$CA,5,0),0),
0,_xlfn.ANCHORARRAY(T47)*(1+_xlfn.ANCHORARRAY($D47))+SUMIF($BT:$BT,U$3&amp;$B$46&amp;_xlfn.ANCHORARRAY($B47),$CA:$CA),
1,VLOOKUP(U$3&amp;$B$46&amp;_xlfn.ANCHORARRAY($B47),$BT:$CA,6,0),
2,_xlfn.ANCHORARRAY(T47)*(1+_xlfn.ANCHORARRAY($D47))*VLOOKUP(U$3&amp;$B$46&amp;_xlfn.ANCHORARRAY($B47),$BT:$CA,7,0))</f>
        <v>0</v>
      </c>
      <c r="V47" s="59" cm="1">
        <f t="array" aca="1" ref="V47:V59" ca="1">_xlfn.SWITCH(IFERROR(VLOOKUP(V$3&amp;$B$46&amp;_xlfn.ANCHORARRAY($B47),$BT:$CA,5,0),0),
0,_xlfn.ANCHORARRAY(U47)*(1+_xlfn.ANCHORARRAY($D47))+SUMIF($BT:$BT,V$3&amp;$B$46&amp;_xlfn.ANCHORARRAY($B47),$CA:$CA),
1,VLOOKUP(V$3&amp;$B$46&amp;_xlfn.ANCHORARRAY($B47),$BT:$CA,6,0),
2,_xlfn.ANCHORARRAY(U47)*(1+_xlfn.ANCHORARRAY($D47))*VLOOKUP(V$3&amp;$B$46&amp;_xlfn.ANCHORARRAY($B47),$BT:$CA,7,0))</f>
        <v>0</v>
      </c>
      <c r="W47" s="59" cm="1">
        <f t="array" aca="1" ref="W47:W59" ca="1">_xlfn.SWITCH(IFERROR(VLOOKUP(W$3&amp;$B$46&amp;_xlfn.ANCHORARRAY($B47),$BT:$CA,5,0),0),
0,_xlfn.ANCHORARRAY(V47)*(1+_xlfn.ANCHORARRAY($D47))+SUMIF($BT:$BT,W$3&amp;$B$46&amp;_xlfn.ANCHORARRAY($B47),$CA:$CA),
1,VLOOKUP(W$3&amp;$B$46&amp;_xlfn.ANCHORARRAY($B47),$BT:$CA,6,0),
2,_xlfn.ANCHORARRAY(V47)*(1+_xlfn.ANCHORARRAY($D47))*VLOOKUP(W$3&amp;$B$46&amp;_xlfn.ANCHORARRAY($B47),$BT:$CA,7,0))</f>
        <v>0</v>
      </c>
      <c r="X47" s="59" cm="1">
        <f t="array" aca="1" ref="X47:X59" ca="1">_xlfn.SWITCH(IFERROR(VLOOKUP(X$3&amp;$B$46&amp;_xlfn.ANCHORARRAY($B47),$BT:$CA,5,0),0),
0,_xlfn.ANCHORARRAY(W47)*(1+_xlfn.ANCHORARRAY($D47))+SUMIF($BT:$BT,X$3&amp;$B$46&amp;_xlfn.ANCHORARRAY($B47),$CA:$CA),
1,VLOOKUP(X$3&amp;$B$46&amp;_xlfn.ANCHORARRAY($B47),$BT:$CA,6,0),
2,_xlfn.ANCHORARRAY(W47)*(1+_xlfn.ANCHORARRAY($D47))*VLOOKUP(X$3&amp;$B$46&amp;_xlfn.ANCHORARRAY($B47),$BT:$CA,7,0))</f>
        <v>0</v>
      </c>
      <c r="Y47" s="59" cm="1">
        <f t="array" aca="1" ref="Y47:Y59" ca="1">_xlfn.SWITCH(IFERROR(VLOOKUP(Y$3&amp;$B$46&amp;_xlfn.ANCHORARRAY($B47),$BT:$CA,5,0),0),
0,_xlfn.ANCHORARRAY(X47)*(1+_xlfn.ANCHORARRAY($D47))+SUMIF($BT:$BT,Y$3&amp;$B$46&amp;_xlfn.ANCHORARRAY($B47),$CA:$CA),
1,VLOOKUP(Y$3&amp;$B$46&amp;_xlfn.ANCHORARRAY($B47),$BT:$CA,6,0),
2,_xlfn.ANCHORARRAY(X47)*(1+_xlfn.ANCHORARRAY($D47))*VLOOKUP(Y$3&amp;$B$46&amp;_xlfn.ANCHORARRAY($B47),$BT:$CA,7,0))</f>
        <v>0</v>
      </c>
      <c r="Z47" s="59" cm="1">
        <f t="array" aca="1" ref="Z47:Z59" ca="1">_xlfn.SWITCH(IFERROR(VLOOKUP(Z$3&amp;$B$46&amp;_xlfn.ANCHORARRAY($B47),$BT:$CA,5,0),0),
0,_xlfn.ANCHORARRAY(Y47)*(1+_xlfn.ANCHORARRAY($D47))+SUMIF($BT:$BT,Z$3&amp;$B$46&amp;_xlfn.ANCHORARRAY($B47),$CA:$CA),
1,VLOOKUP(Z$3&amp;$B$46&amp;_xlfn.ANCHORARRAY($B47),$BT:$CA,6,0),
2,_xlfn.ANCHORARRAY(Y47)*(1+_xlfn.ANCHORARRAY($D47))*VLOOKUP(Z$3&amp;$B$46&amp;_xlfn.ANCHORARRAY($B47),$BT:$CA,7,0))</f>
        <v>0</v>
      </c>
      <c r="AA47" s="59" cm="1">
        <f t="array" aca="1" ref="AA47:AA59" ca="1">_xlfn.SWITCH(IFERROR(VLOOKUP(AA$3&amp;$B$46&amp;_xlfn.ANCHORARRAY($B47),$BT:$CA,5,0),0),
0,_xlfn.ANCHORARRAY(Z47)*(1+_xlfn.ANCHORARRAY($D47))+SUMIF($BT:$BT,AA$3&amp;$B$46&amp;_xlfn.ANCHORARRAY($B47),$CA:$CA),
1,VLOOKUP(AA$3&amp;$B$46&amp;_xlfn.ANCHORARRAY($B47),$BT:$CA,6,0),
2,_xlfn.ANCHORARRAY(Z47)*(1+_xlfn.ANCHORARRAY($D47))*VLOOKUP(AA$3&amp;$B$46&amp;_xlfn.ANCHORARRAY($B47),$BT:$CA,7,0))</f>
        <v>0</v>
      </c>
      <c r="AB47" s="59" cm="1">
        <f t="array" aca="1" ref="AB47:AB59" ca="1">_xlfn.SWITCH(IFERROR(VLOOKUP(AB$3&amp;$B$46&amp;_xlfn.ANCHORARRAY($B47),$BT:$CA,5,0),0),
0,_xlfn.ANCHORARRAY(AA47)*(1+_xlfn.ANCHORARRAY($D47))+SUMIF($BT:$BT,AB$3&amp;$B$46&amp;_xlfn.ANCHORARRAY($B47),$CA:$CA),
1,VLOOKUP(AB$3&amp;$B$46&amp;_xlfn.ANCHORARRAY($B47),$BT:$CA,6,0),
2,_xlfn.ANCHORARRAY(AA47)*(1+_xlfn.ANCHORARRAY($D47))*VLOOKUP(AB$3&amp;$B$46&amp;_xlfn.ANCHORARRAY($B47),$BT:$CA,7,0))</f>
        <v>0</v>
      </c>
      <c r="AC47" s="59" cm="1">
        <f t="array" aca="1" ref="AC47:AC59" ca="1">_xlfn.SWITCH(IFERROR(VLOOKUP(AC$3&amp;$B$46&amp;_xlfn.ANCHORARRAY($B47),$BT:$CA,5,0),0),
0,_xlfn.ANCHORARRAY(AB47)*(1+_xlfn.ANCHORARRAY($D47))+SUMIF($BT:$BT,AC$3&amp;$B$46&amp;_xlfn.ANCHORARRAY($B47),$CA:$CA),
1,VLOOKUP(AC$3&amp;$B$46&amp;_xlfn.ANCHORARRAY($B47),$BT:$CA,6,0),
2,_xlfn.ANCHORARRAY(AB47)*(1+_xlfn.ANCHORARRAY($D47))*VLOOKUP(AC$3&amp;$B$46&amp;_xlfn.ANCHORARRAY($B47),$BT:$CA,7,0))</f>
        <v>0</v>
      </c>
      <c r="AD47" s="59" cm="1">
        <f t="array" aca="1" ref="AD47:AD59" ca="1">_xlfn.SWITCH(IFERROR(VLOOKUP(AD$3&amp;$B$46&amp;_xlfn.ANCHORARRAY($B47),$BT:$CA,5,0),0),
0,_xlfn.ANCHORARRAY(AC47)*(1+_xlfn.ANCHORARRAY($D47))+SUMIF($BT:$BT,AD$3&amp;$B$46&amp;_xlfn.ANCHORARRAY($B47),$CA:$CA),
1,VLOOKUP(AD$3&amp;$B$46&amp;_xlfn.ANCHORARRAY($B47),$BT:$CA,6,0),
2,_xlfn.ANCHORARRAY(AC47)*(1+_xlfn.ANCHORARRAY($D47))*VLOOKUP(AD$3&amp;$B$46&amp;_xlfn.ANCHORARRAY($B47),$BT:$CA,7,0))</f>
        <v>0</v>
      </c>
      <c r="AE47" s="59" cm="1">
        <f t="array" aca="1" ref="AE47:AE59" ca="1">_xlfn.SWITCH(IFERROR(VLOOKUP(AE$3&amp;$B$46&amp;_xlfn.ANCHORARRAY($B47),$BT:$CA,5,0),0),
0,_xlfn.ANCHORARRAY(AD47)*(1+_xlfn.ANCHORARRAY($D47))+SUMIF($BT:$BT,AE$3&amp;$B$46&amp;_xlfn.ANCHORARRAY($B47),$CA:$CA),
1,VLOOKUP(AE$3&amp;$B$46&amp;_xlfn.ANCHORARRAY($B47),$BT:$CA,6,0),
2,_xlfn.ANCHORARRAY(AD47)*(1+_xlfn.ANCHORARRAY($D47))*VLOOKUP(AE$3&amp;$B$46&amp;_xlfn.ANCHORARRAY($B47),$BT:$CA,7,0))</f>
        <v>0</v>
      </c>
      <c r="AF47" s="59" cm="1">
        <f t="array" aca="1" ref="AF47:AF59" ca="1">_xlfn.SWITCH(IFERROR(VLOOKUP(AF$3&amp;$B$46&amp;_xlfn.ANCHORARRAY($B47),$BT:$CA,5,0),0),
0,_xlfn.ANCHORARRAY(AE47)*(1+_xlfn.ANCHORARRAY($D47))+SUMIF($BT:$BT,AF$3&amp;$B$46&amp;_xlfn.ANCHORARRAY($B47),$CA:$CA),
1,VLOOKUP(AF$3&amp;$B$46&amp;_xlfn.ANCHORARRAY($B47),$BT:$CA,6,0),
2,_xlfn.ANCHORARRAY(AE47)*(1+_xlfn.ANCHORARRAY($D47))*VLOOKUP(AF$3&amp;$B$46&amp;_xlfn.ANCHORARRAY($B47),$BT:$CA,7,0))</f>
        <v>0</v>
      </c>
      <c r="AG47" s="59" cm="1">
        <f t="array" aca="1" ref="AG47:AG59" ca="1">_xlfn.SWITCH(IFERROR(VLOOKUP(AG$3&amp;$B$46&amp;_xlfn.ANCHORARRAY($B47),$BT:$CA,5,0),0),
0,_xlfn.ANCHORARRAY(AF47)*(1+_xlfn.ANCHORARRAY($D47))+SUMIF($BT:$BT,AG$3&amp;$B$46&amp;_xlfn.ANCHORARRAY($B47),$CA:$CA),
1,VLOOKUP(AG$3&amp;$B$46&amp;_xlfn.ANCHORARRAY($B47),$BT:$CA,6,0),
2,_xlfn.ANCHORARRAY(AF47)*(1+_xlfn.ANCHORARRAY($D47))*VLOOKUP(AG$3&amp;$B$46&amp;_xlfn.ANCHORARRAY($B47),$BT:$CA,7,0))</f>
        <v>0</v>
      </c>
      <c r="AH47" s="59" cm="1">
        <f t="array" aca="1" ref="AH47:AH59" ca="1">_xlfn.SWITCH(IFERROR(VLOOKUP(AH$3&amp;$B$46&amp;_xlfn.ANCHORARRAY($B47),$BT:$CA,5,0),0),
0,_xlfn.ANCHORARRAY(AG47)*(1+_xlfn.ANCHORARRAY($D47))+SUMIF($BT:$BT,AH$3&amp;$B$46&amp;_xlfn.ANCHORARRAY($B47),$CA:$CA),
1,VLOOKUP(AH$3&amp;$B$46&amp;_xlfn.ANCHORARRAY($B47),$BT:$CA,6,0),
2,_xlfn.ANCHORARRAY(AG47)*(1+_xlfn.ANCHORARRAY($D47))*VLOOKUP(AH$3&amp;$B$46&amp;_xlfn.ANCHORARRAY($B47),$BT:$CA,7,0))</f>
        <v>0</v>
      </c>
      <c r="AI47" s="59" cm="1">
        <f t="array" aca="1" ref="AI47:AI59" ca="1">_xlfn.SWITCH(IFERROR(VLOOKUP(AI$3&amp;$B$46&amp;_xlfn.ANCHORARRAY($B47),$BT:$CA,5,0),0),
0,_xlfn.ANCHORARRAY(AH47)*(1+_xlfn.ANCHORARRAY($D47))+SUMIF($BT:$BT,AI$3&amp;$B$46&amp;_xlfn.ANCHORARRAY($B47),$CA:$CA),
1,VLOOKUP(AI$3&amp;$B$46&amp;_xlfn.ANCHORARRAY($B47),$BT:$CA,6,0),
2,_xlfn.ANCHORARRAY(AH47)*(1+_xlfn.ANCHORARRAY($D47))*VLOOKUP(AI$3&amp;$B$46&amp;_xlfn.ANCHORARRAY($B47),$BT:$CA,7,0))</f>
        <v>0</v>
      </c>
      <c r="AJ47" s="59" cm="1">
        <f t="array" aca="1" ref="AJ47:AJ59" ca="1">_xlfn.SWITCH(IFERROR(VLOOKUP(AJ$3&amp;$B$46&amp;_xlfn.ANCHORARRAY($B47),$BT:$CA,5,0),0),
0,_xlfn.ANCHORARRAY(AI47)*(1+_xlfn.ANCHORARRAY($D47))+SUMIF($BT:$BT,AJ$3&amp;$B$46&amp;_xlfn.ANCHORARRAY($B47),$CA:$CA),
1,VLOOKUP(AJ$3&amp;$B$46&amp;_xlfn.ANCHORARRAY($B47),$BT:$CA,6,0),
2,_xlfn.ANCHORARRAY(AI47)*(1+_xlfn.ANCHORARRAY($D47))*VLOOKUP(AJ$3&amp;$B$46&amp;_xlfn.ANCHORARRAY($B47),$BT:$CA,7,0))</f>
        <v>0</v>
      </c>
      <c r="AK47" s="59" cm="1">
        <f t="array" aca="1" ref="AK47:AK59" ca="1">_xlfn.SWITCH(IFERROR(VLOOKUP(AK$3&amp;$B$46&amp;_xlfn.ANCHORARRAY($B47),$BT:$CA,5,0),0),
0,_xlfn.ANCHORARRAY(AJ47)*(1+_xlfn.ANCHORARRAY($D47))+SUMIF($BT:$BT,AK$3&amp;$B$46&amp;_xlfn.ANCHORARRAY($B47),$CA:$CA),
1,VLOOKUP(AK$3&amp;$B$46&amp;_xlfn.ANCHORARRAY($B47),$BT:$CA,6,0),
2,_xlfn.ANCHORARRAY(AJ47)*(1+_xlfn.ANCHORARRAY($D47))*VLOOKUP(AK$3&amp;$B$46&amp;_xlfn.ANCHORARRAY($B47),$BT:$CA,7,0))</f>
        <v>0</v>
      </c>
      <c r="AL47" s="59" cm="1">
        <f t="array" aca="1" ref="AL47:AL59" ca="1">_xlfn.SWITCH(IFERROR(VLOOKUP(AL$3&amp;$B$46&amp;_xlfn.ANCHORARRAY($B47),$BT:$CA,5,0),0),
0,_xlfn.ANCHORARRAY(AK47)*(1+_xlfn.ANCHORARRAY($D47))+SUMIF($BT:$BT,AL$3&amp;$B$46&amp;_xlfn.ANCHORARRAY($B47),$CA:$CA),
1,VLOOKUP(AL$3&amp;$B$46&amp;_xlfn.ANCHORARRAY($B47),$BT:$CA,6,0),
2,_xlfn.ANCHORARRAY(AK47)*(1+_xlfn.ANCHORARRAY($D47))*VLOOKUP(AL$3&amp;$B$46&amp;_xlfn.ANCHORARRAY($B47),$BT:$CA,7,0))</f>
        <v>0</v>
      </c>
      <c r="AM47" s="59" cm="1">
        <f t="array" aca="1" ref="AM47:AM59" ca="1">_xlfn.SWITCH(IFERROR(VLOOKUP(AM$3&amp;$B$46&amp;_xlfn.ANCHORARRAY($B47),$BT:$CA,5,0),0),
0,_xlfn.ANCHORARRAY(AL47)*(1+_xlfn.ANCHORARRAY($D47))+SUMIF($BT:$BT,AM$3&amp;$B$46&amp;_xlfn.ANCHORARRAY($B47),$CA:$CA),
1,VLOOKUP(AM$3&amp;$B$46&amp;_xlfn.ANCHORARRAY($B47),$BT:$CA,6,0),
2,_xlfn.ANCHORARRAY(AL47)*(1+_xlfn.ANCHORARRAY($D47))*VLOOKUP(AM$3&amp;$B$46&amp;_xlfn.ANCHORARRAY($B47),$BT:$CA,7,0))</f>
        <v>0</v>
      </c>
      <c r="AN47" s="59" cm="1">
        <f t="array" aca="1" ref="AN47:AN59" ca="1">_xlfn.SWITCH(IFERROR(VLOOKUP(AN$3&amp;$B$46&amp;_xlfn.ANCHORARRAY($B47),$BT:$CA,5,0),0),
0,_xlfn.ANCHORARRAY(AM47)*(1+_xlfn.ANCHORARRAY($D47))+SUMIF($BT:$BT,AN$3&amp;$B$46&amp;_xlfn.ANCHORARRAY($B47),$CA:$CA),
1,VLOOKUP(AN$3&amp;$B$46&amp;_xlfn.ANCHORARRAY($B47),$BT:$CA,6,0),
2,_xlfn.ANCHORARRAY(AM47)*(1+_xlfn.ANCHORARRAY($D47))*VLOOKUP(AN$3&amp;$B$46&amp;_xlfn.ANCHORARRAY($B47),$BT:$CA,7,0))</f>
        <v>0</v>
      </c>
      <c r="AO47" s="59" cm="1">
        <f t="array" aca="1" ref="AO47:AO59" ca="1">_xlfn.SWITCH(IFERROR(VLOOKUP(AO$3&amp;$B$46&amp;_xlfn.ANCHORARRAY($B47),$BT:$CA,5,0),0),
0,_xlfn.ANCHORARRAY(AN47)*(1+_xlfn.ANCHORARRAY($D47))+SUMIF($BT:$BT,AO$3&amp;$B$46&amp;_xlfn.ANCHORARRAY($B47),$CA:$CA),
1,VLOOKUP(AO$3&amp;$B$46&amp;_xlfn.ANCHORARRAY($B47),$BT:$CA,6,0),
2,_xlfn.ANCHORARRAY(AN47)*(1+_xlfn.ANCHORARRAY($D47))*VLOOKUP(AO$3&amp;$B$46&amp;_xlfn.ANCHORARRAY($B47),$BT:$CA,7,0))</f>
        <v>0</v>
      </c>
      <c r="AP47" s="59" cm="1">
        <f t="array" aca="1" ref="AP47:AP59" ca="1">_xlfn.SWITCH(IFERROR(VLOOKUP(AP$3&amp;$B$46&amp;_xlfn.ANCHORARRAY($B47),$BT:$CA,5,0),0),
0,_xlfn.ANCHORARRAY(AO47)*(1+_xlfn.ANCHORARRAY($D47))+SUMIF($BT:$BT,AP$3&amp;$B$46&amp;_xlfn.ANCHORARRAY($B47),$CA:$CA),
1,VLOOKUP(AP$3&amp;$B$46&amp;_xlfn.ANCHORARRAY($B47),$BT:$CA,6,0),
2,_xlfn.ANCHORARRAY(AO47)*(1+_xlfn.ANCHORARRAY($D47))*VLOOKUP(AP$3&amp;$B$46&amp;_xlfn.ANCHORARRAY($B47),$BT:$CA,7,0))</f>
        <v>0</v>
      </c>
      <c r="AQ47" s="59" cm="1">
        <f t="array" aca="1" ref="AQ47:AQ59" ca="1">_xlfn.SWITCH(IFERROR(VLOOKUP(AQ$3&amp;$B$46&amp;_xlfn.ANCHORARRAY($B47),$BT:$CA,5,0),0),
0,_xlfn.ANCHORARRAY(AP47)*(1+_xlfn.ANCHORARRAY($D47))+SUMIF($BT:$BT,AQ$3&amp;$B$46&amp;_xlfn.ANCHORARRAY($B47),$CA:$CA),
1,VLOOKUP(AQ$3&amp;$B$46&amp;_xlfn.ANCHORARRAY($B47),$BT:$CA,6,0),
2,_xlfn.ANCHORARRAY(AP47)*(1+_xlfn.ANCHORARRAY($D47))*VLOOKUP(AQ$3&amp;$B$46&amp;_xlfn.ANCHORARRAY($B47),$BT:$CA,7,0))</f>
        <v>0</v>
      </c>
      <c r="AR47" s="59" cm="1">
        <f t="array" aca="1" ref="AR47:AR59" ca="1">_xlfn.SWITCH(IFERROR(VLOOKUP(AR$3&amp;$B$46&amp;_xlfn.ANCHORARRAY($B47),$BT:$CA,5,0),0),
0,_xlfn.ANCHORARRAY(AQ47)*(1+_xlfn.ANCHORARRAY($D47))+SUMIF($BT:$BT,AR$3&amp;$B$46&amp;_xlfn.ANCHORARRAY($B47),$CA:$CA),
1,VLOOKUP(AR$3&amp;$B$46&amp;_xlfn.ANCHORARRAY($B47),$BT:$CA,6,0),
2,_xlfn.ANCHORARRAY(AQ47)*(1+_xlfn.ANCHORARRAY($D47))*VLOOKUP(AR$3&amp;$B$46&amp;_xlfn.ANCHORARRAY($B47),$BT:$CA,7,0))</f>
        <v>0</v>
      </c>
      <c r="AS47" s="59" cm="1">
        <f t="array" aca="1" ref="AS47:AS59" ca="1">_xlfn.SWITCH(IFERROR(VLOOKUP(AS$3&amp;$B$46&amp;_xlfn.ANCHORARRAY($B47),$BT:$CA,5,0),0),
0,_xlfn.ANCHORARRAY(AR47)*(1+_xlfn.ANCHORARRAY($D47))+SUMIF($BT:$BT,AS$3&amp;$B$46&amp;_xlfn.ANCHORARRAY($B47),$CA:$CA),
1,VLOOKUP(AS$3&amp;$B$46&amp;_xlfn.ANCHORARRAY($B47),$BT:$CA,6,0),
2,_xlfn.ANCHORARRAY(AR47)*(1+_xlfn.ANCHORARRAY($D47))*VLOOKUP(AS$3&amp;$B$46&amp;_xlfn.ANCHORARRAY($B47),$BT:$CA,7,0))</f>
        <v>0</v>
      </c>
      <c r="AT47" s="59" cm="1">
        <f t="array" aca="1" ref="AT47:AT59" ca="1">_xlfn.SWITCH(IFERROR(VLOOKUP(AT$3&amp;$B$46&amp;_xlfn.ANCHORARRAY($B47),$BT:$CA,5,0),0),
0,_xlfn.ANCHORARRAY(AS47)*(1+_xlfn.ANCHORARRAY($D47))+SUMIF($BT:$BT,AT$3&amp;$B$46&amp;_xlfn.ANCHORARRAY($B47),$CA:$CA),
1,VLOOKUP(AT$3&amp;$B$46&amp;_xlfn.ANCHORARRAY($B47),$BT:$CA,6,0),
2,_xlfn.ANCHORARRAY(AS47)*(1+_xlfn.ANCHORARRAY($D47))*VLOOKUP(AT$3&amp;$B$46&amp;_xlfn.ANCHORARRAY($B47),$BT:$CA,7,0))</f>
        <v>0</v>
      </c>
      <c r="AU47" s="59" cm="1">
        <f t="array" aca="1" ref="AU47:AU59" ca="1">_xlfn.SWITCH(IFERROR(VLOOKUP(AU$3&amp;$B$46&amp;_xlfn.ANCHORARRAY($B47),$BT:$CA,5,0),0),
0,_xlfn.ANCHORARRAY(AT47)*(1+_xlfn.ANCHORARRAY($D47))+SUMIF($BT:$BT,AU$3&amp;$B$46&amp;_xlfn.ANCHORARRAY($B47),$CA:$CA),
1,VLOOKUP(AU$3&amp;$B$46&amp;_xlfn.ANCHORARRAY($B47),$BT:$CA,6,0),
2,_xlfn.ANCHORARRAY(AT47)*(1+_xlfn.ANCHORARRAY($D47))*VLOOKUP(AU$3&amp;$B$46&amp;_xlfn.ANCHORARRAY($B47),$BT:$CA,7,0))</f>
        <v>0</v>
      </c>
      <c r="AV47" s="59" cm="1">
        <f t="array" aca="1" ref="AV47:AV59" ca="1">_xlfn.SWITCH(IFERROR(VLOOKUP(AV$3&amp;$B$46&amp;_xlfn.ANCHORARRAY($B47),$BT:$CA,5,0),0),
0,_xlfn.ANCHORARRAY(AU47)*(1+_xlfn.ANCHORARRAY($D47))+SUMIF($BT:$BT,AV$3&amp;$B$46&amp;_xlfn.ANCHORARRAY($B47),$CA:$CA),
1,VLOOKUP(AV$3&amp;$B$46&amp;_xlfn.ANCHORARRAY($B47),$BT:$CA,6,0),
2,_xlfn.ANCHORARRAY(AU47)*(1+_xlfn.ANCHORARRAY($D47))*VLOOKUP(AV$3&amp;$B$46&amp;_xlfn.ANCHORARRAY($B47),$BT:$CA,7,0))</f>
        <v>0</v>
      </c>
      <c r="AW47" s="59" cm="1">
        <f t="array" aca="1" ref="AW47:AW59" ca="1">_xlfn.SWITCH(IFERROR(VLOOKUP(AW$3&amp;$B$46&amp;_xlfn.ANCHORARRAY($B47),$BT:$CA,5,0),0),
0,_xlfn.ANCHORARRAY(AV47)*(1+_xlfn.ANCHORARRAY($D47))+SUMIF($BT:$BT,AW$3&amp;$B$46&amp;_xlfn.ANCHORARRAY($B47),$CA:$CA),
1,VLOOKUP(AW$3&amp;$B$46&amp;_xlfn.ANCHORARRAY($B47),$BT:$CA,6,0),
2,_xlfn.ANCHORARRAY(AV47)*(1+_xlfn.ANCHORARRAY($D47))*VLOOKUP(AW$3&amp;$B$46&amp;_xlfn.ANCHORARRAY($B47),$BT:$CA,7,0))</f>
        <v>0</v>
      </c>
      <c r="AX47" s="59" cm="1">
        <f t="array" aca="1" ref="AX47:AX59" ca="1">_xlfn.SWITCH(IFERROR(VLOOKUP(AX$3&amp;$B$46&amp;_xlfn.ANCHORARRAY($B47),$BT:$CA,5,0),0),
0,_xlfn.ANCHORARRAY(AW47)*(1+_xlfn.ANCHORARRAY($D47))+SUMIF($BT:$BT,AX$3&amp;$B$46&amp;_xlfn.ANCHORARRAY($B47),$CA:$CA),
1,VLOOKUP(AX$3&amp;$B$46&amp;_xlfn.ANCHORARRAY($B47),$BT:$CA,6,0),
2,_xlfn.ANCHORARRAY(AW47)*(1+_xlfn.ANCHORARRAY($D47))*VLOOKUP(AX$3&amp;$B$46&amp;_xlfn.ANCHORARRAY($B47),$BT:$CA,7,0))</f>
        <v>0</v>
      </c>
      <c r="AY47" s="59" cm="1">
        <f t="array" aca="1" ref="AY47:AY59" ca="1">_xlfn.SWITCH(IFERROR(VLOOKUP(AY$3&amp;$B$46&amp;_xlfn.ANCHORARRAY($B47),$BT:$CA,5,0),0),
0,_xlfn.ANCHORARRAY(AX47)*(1+_xlfn.ANCHORARRAY($D47))+SUMIF($BT:$BT,AY$3&amp;$B$46&amp;_xlfn.ANCHORARRAY($B47),$CA:$CA),
1,VLOOKUP(AY$3&amp;$B$46&amp;_xlfn.ANCHORARRAY($B47),$BT:$CA,6,0),
2,_xlfn.ANCHORARRAY(AX47)*(1+_xlfn.ANCHORARRAY($D47))*VLOOKUP(AY$3&amp;$B$46&amp;_xlfn.ANCHORARRAY($B47),$BT:$CA,7,0))</f>
        <v>0</v>
      </c>
      <c r="AZ47" s="59" cm="1">
        <f t="array" aca="1" ref="AZ47:AZ59" ca="1">_xlfn.SWITCH(IFERROR(VLOOKUP(AZ$3&amp;$B$46&amp;_xlfn.ANCHORARRAY($B47),$BT:$CA,5,0),0),
0,_xlfn.ANCHORARRAY(AY47)*(1+_xlfn.ANCHORARRAY($D47))+SUMIF($BT:$BT,AZ$3&amp;$B$46&amp;_xlfn.ANCHORARRAY($B47),$CA:$CA),
1,VLOOKUP(AZ$3&amp;$B$46&amp;_xlfn.ANCHORARRAY($B47),$BT:$CA,6,0),
2,_xlfn.ANCHORARRAY(AY47)*(1+_xlfn.ANCHORARRAY($D47))*VLOOKUP(AZ$3&amp;$B$46&amp;_xlfn.ANCHORARRAY($B47),$BT:$CA,7,0))</f>
        <v>0</v>
      </c>
      <c r="BS47" s="5">
        <f t="shared" si="30"/>
        <v>0</v>
      </c>
      <c r="BT47" s="5" t="str">
        <f t="shared" si="31"/>
        <v>2032E_Erwerb6</v>
      </c>
      <c r="BU47">
        <v>2032</v>
      </c>
      <c r="BV47" t="s">
        <v>74</v>
      </c>
      <c r="BW47">
        <v>6</v>
      </c>
      <c r="BX47">
        <v>1</v>
      </c>
      <c r="BY47" s="12">
        <f>2450*9</f>
        <v>22050</v>
      </c>
      <c r="CD47" s="5" t="str">
        <f t="shared" ca="1" si="21"/>
        <v>Amy</v>
      </c>
      <c r="CE47" s="5" t="str">
        <f t="shared" ca="1" si="22"/>
        <v>AHV-Einzelrente</v>
      </c>
      <c r="CF47" s="5" t="str">
        <f t="shared" ca="1" si="23"/>
        <v>Amy - AHV-Einzelrente</v>
      </c>
      <c r="CG47" s="5"/>
    </row>
    <row r="48" spans="1:85" x14ac:dyDescent="0.25">
      <c r="A48" s="57" t="str">
        <f ca="1"/>
        <v>MigrosBank Säule 3a Depot</v>
      </c>
      <c r="B48" s="57">
        <f ca="1"/>
        <v>5</v>
      </c>
      <c r="C48" s="53" t="str">
        <f ca="1"/>
        <v>Amy</v>
      </c>
      <c r="D48" s="54">
        <f ca="1"/>
        <v>3.5000000000000003E-2</v>
      </c>
      <c r="E48" s="62">
        <f ca="1"/>
        <v>50000</v>
      </c>
      <c r="F48" s="59">
        <f ca="1"/>
        <v>0</v>
      </c>
      <c r="G48" s="59">
        <f ca="1"/>
        <v>0</v>
      </c>
      <c r="H48" s="59">
        <f ca="1"/>
        <v>0</v>
      </c>
      <c r="I48" s="59">
        <f ca="1"/>
        <v>0</v>
      </c>
      <c r="J48" s="59">
        <f ca="1"/>
        <v>0</v>
      </c>
      <c r="K48" s="59">
        <f ca="1"/>
        <v>0</v>
      </c>
      <c r="L48" s="59">
        <f ca="1"/>
        <v>0</v>
      </c>
      <c r="M48" s="59">
        <f ca="1"/>
        <v>0</v>
      </c>
      <c r="N48" s="59">
        <f ca="1"/>
        <v>0</v>
      </c>
      <c r="O48" s="59">
        <f ca="1"/>
        <v>0</v>
      </c>
      <c r="P48" s="59">
        <f ca="1"/>
        <v>0</v>
      </c>
      <c r="Q48" s="59">
        <f ca="1"/>
        <v>0</v>
      </c>
      <c r="R48" s="59">
        <f ca="1"/>
        <v>0</v>
      </c>
      <c r="S48" s="59">
        <f ca="1"/>
        <v>0</v>
      </c>
      <c r="T48" s="59">
        <f ca="1"/>
        <v>0</v>
      </c>
      <c r="U48" s="59">
        <f ca="1"/>
        <v>0</v>
      </c>
      <c r="V48" s="59">
        <f ca="1"/>
        <v>0</v>
      </c>
      <c r="W48" s="59">
        <f ca="1"/>
        <v>0</v>
      </c>
      <c r="X48" s="59">
        <f ca="1"/>
        <v>0</v>
      </c>
      <c r="Y48" s="59">
        <f ca="1"/>
        <v>0</v>
      </c>
      <c r="Z48" s="59">
        <f ca="1"/>
        <v>0</v>
      </c>
      <c r="AA48" s="59">
        <f ca="1"/>
        <v>0</v>
      </c>
      <c r="AB48" s="59">
        <f ca="1"/>
        <v>0</v>
      </c>
      <c r="AC48" s="59">
        <f ca="1"/>
        <v>0</v>
      </c>
      <c r="AD48" s="59">
        <f ca="1"/>
        <v>0</v>
      </c>
      <c r="AE48" s="59">
        <f ca="1"/>
        <v>0</v>
      </c>
      <c r="AF48" s="59">
        <f ca="1"/>
        <v>0</v>
      </c>
      <c r="AG48" s="59">
        <f ca="1"/>
        <v>0</v>
      </c>
      <c r="AH48" s="59">
        <f ca="1"/>
        <v>0</v>
      </c>
      <c r="AI48" s="59">
        <f ca="1"/>
        <v>0</v>
      </c>
      <c r="AJ48" s="59">
        <f ca="1"/>
        <v>0</v>
      </c>
      <c r="AK48" s="59">
        <f ca="1"/>
        <v>0</v>
      </c>
      <c r="AL48" s="59">
        <f ca="1"/>
        <v>0</v>
      </c>
      <c r="AM48" s="59">
        <f ca="1"/>
        <v>0</v>
      </c>
      <c r="AN48" s="59">
        <f ca="1"/>
        <v>0</v>
      </c>
      <c r="AO48" s="59">
        <f ca="1"/>
        <v>0</v>
      </c>
      <c r="AP48" s="59">
        <f ca="1"/>
        <v>0</v>
      </c>
      <c r="AQ48" s="59">
        <f ca="1"/>
        <v>0</v>
      </c>
      <c r="AR48" s="59">
        <f ca="1"/>
        <v>0</v>
      </c>
      <c r="AS48" s="59">
        <f ca="1"/>
        <v>0</v>
      </c>
      <c r="AT48" s="59">
        <f ca="1"/>
        <v>0</v>
      </c>
      <c r="AU48" s="59">
        <f ca="1"/>
        <v>0</v>
      </c>
      <c r="AV48" s="59">
        <f ca="1"/>
        <v>0</v>
      </c>
      <c r="AW48" s="59">
        <f ca="1"/>
        <v>0</v>
      </c>
      <c r="AX48" s="59">
        <f ca="1"/>
        <v>0</v>
      </c>
      <c r="AY48" s="59">
        <f ca="1"/>
        <v>0</v>
      </c>
      <c r="AZ48" s="59">
        <f ca="1"/>
        <v>0</v>
      </c>
      <c r="BA48" s="59"/>
      <c r="BS48" s="5">
        <f t="shared" si="30"/>
        <v>0</v>
      </c>
      <c r="BT48" s="5" t="str">
        <f t="shared" si="31"/>
        <v>2033E_Erwerb6</v>
      </c>
      <c r="BU48">
        <v>2033</v>
      </c>
      <c r="BV48" t="s">
        <v>74</v>
      </c>
      <c r="BW48">
        <v>6</v>
      </c>
      <c r="BX48">
        <v>1</v>
      </c>
      <c r="BY48" s="12">
        <v>0</v>
      </c>
      <c r="CD48" s="5" t="str">
        <f t="shared" ca="1" si="21"/>
        <v>Amy</v>
      </c>
      <c r="CE48" s="5" t="str">
        <f t="shared" ca="1" si="22"/>
        <v>AHV-Einzelrente</v>
      </c>
      <c r="CF48" s="5" t="str">
        <f t="shared" ca="1" si="23"/>
        <v>Amy - AHV-Einzelrente</v>
      </c>
      <c r="CG48" s="5"/>
    </row>
    <row r="49" spans="1:85" x14ac:dyDescent="0.25">
      <c r="A49" s="57" t="str">
        <f ca="1"/>
        <v>Pictet Säule 3a Depot</v>
      </c>
      <c r="B49" s="57">
        <f ca="1"/>
        <v>6</v>
      </c>
      <c r="C49" s="53" t="str">
        <f ca="1"/>
        <v>Amy</v>
      </c>
      <c r="D49" s="54">
        <f ca="1"/>
        <v>3.5000000000000003E-2</v>
      </c>
      <c r="E49" s="62">
        <f ca="1"/>
        <v>7500</v>
      </c>
      <c r="F49" s="59">
        <f ca="1"/>
        <v>7762.4999999999991</v>
      </c>
      <c r="G49" s="59">
        <f ca="1"/>
        <v>8034.1874999999982</v>
      </c>
      <c r="H49" s="59">
        <f ca="1"/>
        <v>15371.384062499998</v>
      </c>
      <c r="I49" s="59">
        <f ca="1"/>
        <v>0</v>
      </c>
      <c r="J49" s="59">
        <f ca="1"/>
        <v>0</v>
      </c>
      <c r="K49" s="59">
        <f ca="1"/>
        <v>0</v>
      </c>
      <c r="L49" s="59">
        <f ca="1"/>
        <v>0</v>
      </c>
      <c r="M49" s="59">
        <f ca="1"/>
        <v>0</v>
      </c>
      <c r="N49" s="59">
        <f ca="1"/>
        <v>0</v>
      </c>
      <c r="O49" s="59">
        <f ca="1"/>
        <v>0</v>
      </c>
      <c r="P49" s="59">
        <f ca="1"/>
        <v>0</v>
      </c>
      <c r="Q49" s="59">
        <f ca="1"/>
        <v>0</v>
      </c>
      <c r="R49" s="59">
        <f ca="1"/>
        <v>0</v>
      </c>
      <c r="S49" s="59">
        <f ca="1"/>
        <v>0</v>
      </c>
      <c r="T49" s="59">
        <f ca="1"/>
        <v>0</v>
      </c>
      <c r="U49" s="59">
        <f ca="1"/>
        <v>0</v>
      </c>
      <c r="V49" s="59">
        <f ca="1"/>
        <v>0</v>
      </c>
      <c r="W49" s="59">
        <f ca="1"/>
        <v>0</v>
      </c>
      <c r="X49" s="59">
        <f ca="1"/>
        <v>0</v>
      </c>
      <c r="Y49" s="59">
        <f ca="1"/>
        <v>0</v>
      </c>
      <c r="Z49" s="59">
        <f ca="1"/>
        <v>0</v>
      </c>
      <c r="AA49" s="59">
        <f ca="1"/>
        <v>0</v>
      </c>
      <c r="AB49" s="59">
        <f ca="1"/>
        <v>0</v>
      </c>
      <c r="AC49" s="59">
        <f ca="1"/>
        <v>0</v>
      </c>
      <c r="AD49" s="59">
        <f ca="1"/>
        <v>0</v>
      </c>
      <c r="AE49" s="59">
        <f ca="1"/>
        <v>0</v>
      </c>
      <c r="AF49" s="59">
        <f ca="1"/>
        <v>0</v>
      </c>
      <c r="AG49" s="59">
        <f ca="1"/>
        <v>0</v>
      </c>
      <c r="AH49" s="59">
        <f ca="1"/>
        <v>0</v>
      </c>
      <c r="AI49" s="59">
        <f ca="1"/>
        <v>0</v>
      </c>
      <c r="AJ49" s="59">
        <f ca="1"/>
        <v>0</v>
      </c>
      <c r="AK49" s="59">
        <f ca="1"/>
        <v>0</v>
      </c>
      <c r="AL49" s="59">
        <f ca="1"/>
        <v>0</v>
      </c>
      <c r="AM49" s="59">
        <f ca="1"/>
        <v>0</v>
      </c>
      <c r="AN49" s="59">
        <f ca="1"/>
        <v>0</v>
      </c>
      <c r="AO49" s="59">
        <f ca="1"/>
        <v>0</v>
      </c>
      <c r="AP49" s="59">
        <f ca="1"/>
        <v>0</v>
      </c>
      <c r="AQ49" s="59">
        <f ca="1"/>
        <v>0</v>
      </c>
      <c r="AR49" s="59">
        <f ca="1"/>
        <v>0</v>
      </c>
      <c r="AS49" s="59">
        <f ca="1"/>
        <v>0</v>
      </c>
      <c r="AT49" s="59">
        <f ca="1"/>
        <v>0</v>
      </c>
      <c r="AU49" s="59">
        <f ca="1"/>
        <v>0</v>
      </c>
      <c r="AV49" s="59">
        <f ca="1"/>
        <v>0</v>
      </c>
      <c r="AW49" s="59">
        <f ca="1"/>
        <v>0</v>
      </c>
      <c r="AX49" s="59">
        <f ca="1"/>
        <v>0</v>
      </c>
      <c r="AY49" s="59">
        <f ca="1"/>
        <v>0</v>
      </c>
      <c r="AZ49" s="59">
        <f ca="1"/>
        <v>0</v>
      </c>
      <c r="BA49" s="59"/>
      <c r="BS49" s="5">
        <f t="shared" si="30"/>
        <v>0</v>
      </c>
      <c r="BT49" s="5" t="str">
        <f t="shared" si="31"/>
        <v>2032E_Erwerb7</v>
      </c>
      <c r="BU49">
        <v>2032</v>
      </c>
      <c r="BV49" t="s">
        <v>74</v>
      </c>
      <c r="BW49">
        <v>7</v>
      </c>
      <c r="BX49">
        <v>1</v>
      </c>
      <c r="BY49" s="12">
        <f>3675*3</f>
        <v>11025</v>
      </c>
      <c r="CD49" s="5" t="str">
        <f t="shared" ca="1" si="21"/>
        <v>-</v>
      </c>
      <c r="CE49" s="5" t="str">
        <f t="shared" ca="1" si="22"/>
        <v>AHV-Ehepaarrente</v>
      </c>
      <c r="CF49" s="5" t="str">
        <f t="shared" ca="1" si="23"/>
        <v>- - AHV-Ehepaarrente</v>
      </c>
      <c r="CG49" s="5"/>
    </row>
    <row r="50" spans="1:85" x14ac:dyDescent="0.25">
      <c r="A50" s="57" t="str">
        <f ca="1"/>
        <v>SLM Säule 3a Konto</v>
      </c>
      <c r="B50" s="57">
        <f ca="1"/>
        <v>7</v>
      </c>
      <c r="C50" s="53" t="str">
        <f ca="1"/>
        <v>Amy</v>
      </c>
      <c r="D50" s="54">
        <f ca="1"/>
        <v>0.01</v>
      </c>
      <c r="E50" s="62">
        <f ca="1"/>
        <v>7500</v>
      </c>
      <c r="F50" s="59">
        <f ca="1"/>
        <v>14631</v>
      </c>
      <c r="G50" s="59">
        <f ca="1"/>
        <v>0</v>
      </c>
      <c r="H50" s="59">
        <f ca="1"/>
        <v>0</v>
      </c>
      <c r="I50" s="59">
        <f ca="1"/>
        <v>0</v>
      </c>
      <c r="J50" s="59">
        <f ca="1"/>
        <v>0</v>
      </c>
      <c r="K50" s="59">
        <f ca="1"/>
        <v>0</v>
      </c>
      <c r="L50" s="59">
        <f ca="1"/>
        <v>0</v>
      </c>
      <c r="M50" s="59">
        <f ca="1"/>
        <v>0</v>
      </c>
      <c r="N50" s="59">
        <f ca="1"/>
        <v>0</v>
      </c>
      <c r="O50" s="59">
        <f ca="1"/>
        <v>0</v>
      </c>
      <c r="P50" s="59">
        <f ca="1"/>
        <v>0</v>
      </c>
      <c r="Q50" s="59">
        <f ca="1"/>
        <v>0</v>
      </c>
      <c r="R50" s="59">
        <f ca="1"/>
        <v>0</v>
      </c>
      <c r="S50" s="59">
        <f ca="1"/>
        <v>0</v>
      </c>
      <c r="T50" s="59">
        <f ca="1"/>
        <v>0</v>
      </c>
      <c r="U50" s="59">
        <f ca="1"/>
        <v>0</v>
      </c>
      <c r="V50" s="59">
        <f ca="1"/>
        <v>0</v>
      </c>
      <c r="W50" s="59">
        <f ca="1"/>
        <v>0</v>
      </c>
      <c r="X50" s="59">
        <f ca="1"/>
        <v>0</v>
      </c>
      <c r="Y50" s="59">
        <f ca="1"/>
        <v>0</v>
      </c>
      <c r="Z50" s="59">
        <f ca="1"/>
        <v>0</v>
      </c>
      <c r="AA50" s="59">
        <f ca="1"/>
        <v>0</v>
      </c>
      <c r="AB50" s="59">
        <f ca="1"/>
        <v>0</v>
      </c>
      <c r="AC50" s="59">
        <f ca="1"/>
        <v>0</v>
      </c>
      <c r="AD50" s="59">
        <f ca="1"/>
        <v>0</v>
      </c>
      <c r="AE50" s="59">
        <f ca="1"/>
        <v>0</v>
      </c>
      <c r="AF50" s="59">
        <f ca="1"/>
        <v>0</v>
      </c>
      <c r="AG50" s="59">
        <f ca="1"/>
        <v>0</v>
      </c>
      <c r="AH50" s="59">
        <f ca="1"/>
        <v>0</v>
      </c>
      <c r="AI50" s="59">
        <f ca="1"/>
        <v>0</v>
      </c>
      <c r="AJ50" s="59">
        <f ca="1"/>
        <v>0</v>
      </c>
      <c r="AK50" s="59">
        <f ca="1"/>
        <v>0</v>
      </c>
      <c r="AL50" s="59">
        <f ca="1"/>
        <v>0</v>
      </c>
      <c r="AM50" s="59">
        <f ca="1"/>
        <v>0</v>
      </c>
      <c r="AN50" s="59">
        <f ca="1"/>
        <v>0</v>
      </c>
      <c r="AO50" s="59">
        <f ca="1"/>
        <v>0</v>
      </c>
      <c r="AP50" s="59">
        <f ca="1"/>
        <v>0</v>
      </c>
      <c r="AQ50" s="59">
        <f ca="1"/>
        <v>0</v>
      </c>
      <c r="AR50" s="59">
        <f ca="1"/>
        <v>0</v>
      </c>
      <c r="AS50" s="59">
        <f ca="1"/>
        <v>0</v>
      </c>
      <c r="AT50" s="59">
        <f ca="1"/>
        <v>0</v>
      </c>
      <c r="AU50" s="59">
        <f ca="1"/>
        <v>0</v>
      </c>
      <c r="AV50" s="59">
        <f ca="1"/>
        <v>0</v>
      </c>
      <c r="AW50" s="59">
        <f ca="1"/>
        <v>0</v>
      </c>
      <c r="AX50" s="59">
        <f ca="1"/>
        <v>0</v>
      </c>
      <c r="AY50" s="59">
        <f ca="1"/>
        <v>0</v>
      </c>
      <c r="AZ50" s="59">
        <f ca="1"/>
        <v>0</v>
      </c>
      <c r="BA50" s="59"/>
      <c r="BS50" s="5">
        <f t="shared" si="30"/>
        <v>0</v>
      </c>
      <c r="BT50" s="5" t="str">
        <f t="shared" si="31"/>
        <v>2033E_Erwerb7</v>
      </c>
      <c r="BU50">
        <v>2033</v>
      </c>
      <c r="BV50" t="s">
        <v>74</v>
      </c>
      <c r="BW50">
        <v>7</v>
      </c>
      <c r="BX50">
        <v>1</v>
      </c>
      <c r="BY50" s="12">
        <f>3675*12</f>
        <v>44100</v>
      </c>
      <c r="CD50" s="5" t="str">
        <f t="shared" ca="1" si="21"/>
        <v>-</v>
      </c>
      <c r="CE50" s="5" t="str">
        <f t="shared" ca="1" si="22"/>
        <v>AHV-Ehepaarrente</v>
      </c>
      <c r="CF50" s="5" t="str">
        <f t="shared" ca="1" si="23"/>
        <v>- - AHV-Ehepaarrente</v>
      </c>
      <c r="CG50" s="5"/>
    </row>
    <row r="51" spans="1:85" x14ac:dyDescent="0.25">
      <c r="A51" s="57" t="str">
        <f ca="1"/>
        <v>AXA Säule 3b</v>
      </c>
      <c r="B51" s="57">
        <f ca="1"/>
        <v>8</v>
      </c>
      <c r="C51" s="53" t="str">
        <f ca="1"/>
        <v>Amy</v>
      </c>
      <c r="D51" s="54">
        <f ca="1"/>
        <v>0</v>
      </c>
      <c r="E51" s="62">
        <f ca="1"/>
        <v>100000</v>
      </c>
      <c r="F51" s="59">
        <f ca="1"/>
        <v>100000</v>
      </c>
      <c r="G51" s="59">
        <f ca="1"/>
        <v>100000</v>
      </c>
      <c r="H51" s="59">
        <f ca="1"/>
        <v>100000</v>
      </c>
      <c r="I51" s="59">
        <f ca="1"/>
        <v>100000</v>
      </c>
      <c r="J51" s="59">
        <f ca="1"/>
        <v>100000</v>
      </c>
      <c r="K51" s="59">
        <f ca="1"/>
        <v>0</v>
      </c>
      <c r="L51" s="59">
        <f ca="1"/>
        <v>0</v>
      </c>
      <c r="M51" s="59">
        <f ca="1"/>
        <v>0</v>
      </c>
      <c r="N51" s="59">
        <f ca="1"/>
        <v>0</v>
      </c>
      <c r="O51" s="59">
        <f ca="1"/>
        <v>0</v>
      </c>
      <c r="P51" s="59">
        <f ca="1"/>
        <v>0</v>
      </c>
      <c r="Q51" s="59">
        <f ca="1"/>
        <v>0</v>
      </c>
      <c r="R51" s="59">
        <f ca="1"/>
        <v>0</v>
      </c>
      <c r="S51" s="59">
        <f ca="1"/>
        <v>0</v>
      </c>
      <c r="T51" s="59">
        <f ca="1"/>
        <v>0</v>
      </c>
      <c r="U51" s="59">
        <f ca="1"/>
        <v>0</v>
      </c>
      <c r="V51" s="59">
        <f ca="1"/>
        <v>0</v>
      </c>
      <c r="W51" s="59">
        <f ca="1"/>
        <v>0</v>
      </c>
      <c r="X51" s="59">
        <f ca="1"/>
        <v>0</v>
      </c>
      <c r="Y51" s="59">
        <f ca="1"/>
        <v>0</v>
      </c>
      <c r="Z51" s="59">
        <f ca="1"/>
        <v>0</v>
      </c>
      <c r="AA51" s="59">
        <f ca="1"/>
        <v>0</v>
      </c>
      <c r="AB51" s="59">
        <f ca="1"/>
        <v>0</v>
      </c>
      <c r="AC51" s="59">
        <f ca="1"/>
        <v>0</v>
      </c>
      <c r="AD51" s="59">
        <f ca="1"/>
        <v>0</v>
      </c>
      <c r="AE51" s="59">
        <f ca="1"/>
        <v>0</v>
      </c>
      <c r="AF51" s="59">
        <f ca="1"/>
        <v>0</v>
      </c>
      <c r="AG51" s="59">
        <f ca="1"/>
        <v>0</v>
      </c>
      <c r="AH51" s="59">
        <f ca="1"/>
        <v>0</v>
      </c>
      <c r="AI51" s="59">
        <f ca="1"/>
        <v>0</v>
      </c>
      <c r="AJ51" s="59">
        <f ca="1"/>
        <v>0</v>
      </c>
      <c r="AK51" s="59">
        <f ca="1"/>
        <v>0</v>
      </c>
      <c r="AL51" s="59">
        <f ca="1"/>
        <v>0</v>
      </c>
      <c r="AM51" s="59">
        <f ca="1"/>
        <v>0</v>
      </c>
      <c r="AN51" s="59">
        <f ca="1"/>
        <v>0</v>
      </c>
      <c r="AO51" s="59">
        <f ca="1"/>
        <v>0</v>
      </c>
      <c r="AP51" s="59">
        <f ca="1"/>
        <v>0</v>
      </c>
      <c r="AQ51" s="59">
        <f ca="1"/>
        <v>0</v>
      </c>
      <c r="AR51" s="59">
        <f ca="1"/>
        <v>0</v>
      </c>
      <c r="AS51" s="59">
        <f ca="1"/>
        <v>0</v>
      </c>
      <c r="AT51" s="59">
        <f ca="1"/>
        <v>0</v>
      </c>
      <c r="AU51" s="59">
        <f ca="1"/>
        <v>0</v>
      </c>
      <c r="AV51" s="59">
        <f ca="1"/>
        <v>0</v>
      </c>
      <c r="AW51" s="59">
        <f ca="1"/>
        <v>0</v>
      </c>
      <c r="AX51" s="59">
        <f ca="1"/>
        <v>0</v>
      </c>
      <c r="AY51" s="59">
        <f ca="1"/>
        <v>0</v>
      </c>
      <c r="AZ51" s="59">
        <f ca="1"/>
        <v>0</v>
      </c>
      <c r="BA51" s="59"/>
      <c r="BS51" s="5">
        <f t="shared" si="30"/>
        <v>0</v>
      </c>
      <c r="BT51" s="5" t="str">
        <f t="shared" si="31"/>
        <v>2029A_Allg7</v>
      </c>
      <c r="BU51">
        <v>2029</v>
      </c>
      <c r="BV51" t="s">
        <v>85</v>
      </c>
      <c r="BW51">
        <v>7</v>
      </c>
      <c r="BX51">
        <v>2</v>
      </c>
      <c r="BZ51">
        <f>8/12</f>
        <v>0.66666666666666663</v>
      </c>
      <c r="CD51" s="5" t="str">
        <f t="shared" ca="1" si="21"/>
        <v>Amy</v>
      </c>
      <c r="CE51" s="5" t="str">
        <f t="shared" ca="1" si="22"/>
        <v>Säule 3b Beitrag</v>
      </c>
      <c r="CF51" s="5" t="str">
        <f t="shared" ca="1" si="23"/>
        <v>Amy - Säule 3b Beitrag</v>
      </c>
      <c r="CG51" s="5"/>
    </row>
    <row r="52" spans="1:85" x14ac:dyDescent="0.25">
      <c r="A52" s="57" t="str">
        <f ca="1"/>
        <v>Neues Säule 3a Gefäss</v>
      </c>
      <c r="B52" s="57">
        <f ca="1"/>
        <v>9</v>
      </c>
      <c r="C52" s="53" t="str">
        <f ca="1"/>
        <v>Amy</v>
      </c>
      <c r="D52" s="54">
        <f ca="1"/>
        <v>0.01</v>
      </c>
      <c r="E52" s="62">
        <f ca="1"/>
        <v>0</v>
      </c>
      <c r="F52" s="59">
        <f ca="1"/>
        <v>0</v>
      </c>
      <c r="G52" s="59">
        <f ca="1"/>
        <v>0</v>
      </c>
      <c r="H52" s="59">
        <f ca="1"/>
        <v>0</v>
      </c>
      <c r="I52" s="59">
        <f ca="1"/>
        <v>0</v>
      </c>
      <c r="J52" s="59">
        <f ca="1"/>
        <v>7056</v>
      </c>
      <c r="K52" s="59">
        <f ca="1"/>
        <v>14182.560000000001</v>
      </c>
      <c r="L52" s="59">
        <f ca="1"/>
        <v>19924.385600000001</v>
      </c>
      <c r="M52" s="59">
        <f ca="1"/>
        <v>0</v>
      </c>
      <c r="N52" s="59">
        <f ca="1"/>
        <v>0</v>
      </c>
      <c r="O52" s="59">
        <f ca="1"/>
        <v>0</v>
      </c>
      <c r="P52" s="59">
        <f ca="1"/>
        <v>0</v>
      </c>
      <c r="Q52" s="59">
        <f ca="1"/>
        <v>0</v>
      </c>
      <c r="R52" s="59">
        <f ca="1"/>
        <v>0</v>
      </c>
      <c r="S52" s="59">
        <f ca="1"/>
        <v>0</v>
      </c>
      <c r="T52" s="59">
        <f ca="1"/>
        <v>0</v>
      </c>
      <c r="U52" s="59">
        <f ca="1"/>
        <v>0</v>
      </c>
      <c r="V52" s="59">
        <f ca="1"/>
        <v>0</v>
      </c>
      <c r="W52" s="59">
        <f ca="1"/>
        <v>0</v>
      </c>
      <c r="X52" s="59">
        <f ca="1"/>
        <v>0</v>
      </c>
      <c r="Y52" s="59">
        <f ca="1"/>
        <v>0</v>
      </c>
      <c r="Z52" s="59">
        <f ca="1"/>
        <v>0</v>
      </c>
      <c r="AA52" s="59">
        <f ca="1"/>
        <v>0</v>
      </c>
      <c r="AB52" s="59">
        <f ca="1"/>
        <v>0</v>
      </c>
      <c r="AC52" s="59">
        <f ca="1"/>
        <v>0</v>
      </c>
      <c r="AD52" s="59">
        <f ca="1"/>
        <v>0</v>
      </c>
      <c r="AE52" s="59">
        <f ca="1"/>
        <v>0</v>
      </c>
      <c r="AF52" s="59">
        <f ca="1"/>
        <v>0</v>
      </c>
      <c r="AG52" s="59">
        <f ca="1"/>
        <v>0</v>
      </c>
      <c r="AH52" s="59">
        <f ca="1"/>
        <v>0</v>
      </c>
      <c r="AI52" s="59">
        <f ca="1"/>
        <v>0</v>
      </c>
      <c r="AJ52" s="59">
        <f ca="1"/>
        <v>0</v>
      </c>
      <c r="AK52" s="59">
        <f ca="1"/>
        <v>0</v>
      </c>
      <c r="AL52" s="59">
        <f ca="1"/>
        <v>0</v>
      </c>
      <c r="AM52" s="59">
        <f ca="1"/>
        <v>0</v>
      </c>
      <c r="AN52" s="59">
        <f ca="1"/>
        <v>0</v>
      </c>
      <c r="AO52" s="59">
        <f ca="1"/>
        <v>0</v>
      </c>
      <c r="AP52" s="59">
        <f ca="1"/>
        <v>0</v>
      </c>
      <c r="AQ52" s="59">
        <f ca="1"/>
        <v>0</v>
      </c>
      <c r="AR52" s="59">
        <f ca="1"/>
        <v>0</v>
      </c>
      <c r="AS52" s="59">
        <f ca="1"/>
        <v>0</v>
      </c>
      <c r="AT52" s="59">
        <f ca="1"/>
        <v>0</v>
      </c>
      <c r="AU52" s="59">
        <f ca="1"/>
        <v>0</v>
      </c>
      <c r="AV52" s="59">
        <f ca="1"/>
        <v>0</v>
      </c>
      <c r="AW52" s="59">
        <f ca="1"/>
        <v>0</v>
      </c>
      <c r="AX52" s="59">
        <f ca="1"/>
        <v>0</v>
      </c>
      <c r="AY52" s="59">
        <f ca="1"/>
        <v>0</v>
      </c>
      <c r="AZ52" s="59">
        <f ca="1"/>
        <v>0</v>
      </c>
      <c r="BA52" s="59"/>
      <c r="BS52" s="5">
        <f t="shared" si="30"/>
        <v>0</v>
      </c>
      <c r="BT52" s="5" t="str">
        <f t="shared" si="31"/>
        <v>2024V_Vorsorg1</v>
      </c>
      <c r="BU52">
        <v>2024</v>
      </c>
      <c r="BV52" t="s">
        <v>95</v>
      </c>
      <c r="BW52">
        <v>1</v>
      </c>
      <c r="BX52">
        <v>0</v>
      </c>
      <c r="CA52">
        <v>4945.2</v>
      </c>
      <c r="CD52" s="5" t="str">
        <f t="shared" ca="1" si="21"/>
        <v>Sheldon</v>
      </c>
      <c r="CE52" s="5" t="str">
        <f t="shared" ca="1" si="22"/>
        <v>Pensionskasse Caltec</v>
      </c>
      <c r="CF52" s="5" t="str">
        <f t="shared" ca="1" si="23"/>
        <v>Sheldon - Pensionskasse Caltec</v>
      </c>
      <c r="CG52" s="5"/>
    </row>
    <row r="53" spans="1:85" x14ac:dyDescent="0.25">
      <c r="A53" s="57" t="str">
        <f ca="1"/>
        <v>Pensionskasse Caltec</v>
      </c>
      <c r="B53" s="57">
        <f ca="1"/>
        <v>1</v>
      </c>
      <c r="C53" s="53" t="str">
        <f ca="1"/>
        <v>Sheldon</v>
      </c>
      <c r="D53" s="54">
        <f ca="1"/>
        <v>0.01</v>
      </c>
      <c r="E53" s="62">
        <f ca="1"/>
        <v>300000</v>
      </c>
      <c r="F53" s="59">
        <f ca="1"/>
        <v>307945.2</v>
      </c>
      <c r="G53" s="59">
        <f ca="1"/>
        <v>315969.85200000001</v>
      </c>
      <c r="H53" s="59">
        <f ca="1"/>
        <v>324074.75052</v>
      </c>
      <c r="I53" s="59">
        <f ca="1"/>
        <v>332260.69802519999</v>
      </c>
      <c r="J53" s="59">
        <f ca="1"/>
        <v>340528.50500545203</v>
      </c>
      <c r="K53" s="59">
        <f ca="1"/>
        <v>348878.99005550658</v>
      </c>
      <c r="L53" s="59">
        <f ca="1"/>
        <v>0</v>
      </c>
      <c r="M53" s="59">
        <f ca="1"/>
        <v>0</v>
      </c>
      <c r="N53" s="59">
        <f ca="1"/>
        <v>0</v>
      </c>
      <c r="O53" s="59">
        <f ca="1"/>
        <v>0</v>
      </c>
      <c r="P53" s="59">
        <f ca="1"/>
        <v>0</v>
      </c>
      <c r="Q53" s="59">
        <f ca="1"/>
        <v>0</v>
      </c>
      <c r="R53" s="59">
        <f ca="1"/>
        <v>0</v>
      </c>
      <c r="S53" s="59">
        <f ca="1"/>
        <v>0</v>
      </c>
      <c r="T53" s="59">
        <f ca="1"/>
        <v>0</v>
      </c>
      <c r="U53" s="59">
        <f ca="1"/>
        <v>0</v>
      </c>
      <c r="V53" s="59">
        <f ca="1"/>
        <v>0</v>
      </c>
      <c r="W53" s="59">
        <f ca="1"/>
        <v>0</v>
      </c>
      <c r="X53" s="59">
        <f ca="1"/>
        <v>0</v>
      </c>
      <c r="Y53" s="59">
        <f ca="1"/>
        <v>0</v>
      </c>
      <c r="Z53" s="59">
        <f ca="1"/>
        <v>0</v>
      </c>
      <c r="AA53" s="59">
        <f ca="1"/>
        <v>0</v>
      </c>
      <c r="AB53" s="59">
        <f ca="1"/>
        <v>0</v>
      </c>
      <c r="AC53" s="59">
        <f ca="1"/>
        <v>0</v>
      </c>
      <c r="AD53" s="59">
        <f ca="1"/>
        <v>0</v>
      </c>
      <c r="AE53" s="59">
        <f ca="1"/>
        <v>0</v>
      </c>
      <c r="AF53" s="59">
        <f ca="1"/>
        <v>0</v>
      </c>
      <c r="AG53" s="59">
        <f ca="1"/>
        <v>0</v>
      </c>
      <c r="AH53" s="59">
        <f ca="1"/>
        <v>0</v>
      </c>
      <c r="AI53" s="59">
        <f ca="1"/>
        <v>0</v>
      </c>
      <c r="AJ53" s="59">
        <f ca="1"/>
        <v>0</v>
      </c>
      <c r="AK53" s="59">
        <f ca="1"/>
        <v>0</v>
      </c>
      <c r="AL53" s="59">
        <f ca="1"/>
        <v>0</v>
      </c>
      <c r="AM53" s="59">
        <f ca="1"/>
        <v>0</v>
      </c>
      <c r="AN53" s="59">
        <f ca="1"/>
        <v>0</v>
      </c>
      <c r="AO53" s="59">
        <f ca="1"/>
        <v>0</v>
      </c>
      <c r="AP53" s="59">
        <f ca="1"/>
        <v>0</v>
      </c>
      <c r="AQ53" s="59">
        <f ca="1"/>
        <v>0</v>
      </c>
      <c r="AR53" s="59">
        <f ca="1"/>
        <v>0</v>
      </c>
      <c r="AS53" s="59">
        <f ca="1"/>
        <v>0</v>
      </c>
      <c r="AT53" s="59">
        <f ca="1"/>
        <v>0</v>
      </c>
      <c r="AU53" s="59">
        <f ca="1"/>
        <v>0</v>
      </c>
      <c r="AV53" s="59">
        <f ca="1"/>
        <v>0</v>
      </c>
      <c r="AW53" s="59">
        <f ca="1"/>
        <v>0</v>
      </c>
      <c r="AX53" s="59">
        <f ca="1"/>
        <v>0</v>
      </c>
      <c r="AY53" s="59">
        <f ca="1"/>
        <v>0</v>
      </c>
      <c r="AZ53" s="59">
        <f ca="1"/>
        <v>0</v>
      </c>
      <c r="BA53" s="59"/>
      <c r="BS53" s="5">
        <f t="shared" si="30"/>
        <v>0</v>
      </c>
      <c r="BT53" s="5" t="str">
        <f t="shared" si="31"/>
        <v>2025V_Vorsorg1</v>
      </c>
      <c r="BU53">
        <v>2025</v>
      </c>
      <c r="BV53" t="s">
        <v>95</v>
      </c>
      <c r="BW53">
        <v>1</v>
      </c>
      <c r="BX53">
        <v>0</v>
      </c>
      <c r="CA53">
        <v>4945.2</v>
      </c>
      <c r="CD53" s="5" t="str">
        <f t="shared" ca="1" si="21"/>
        <v>Sheldon</v>
      </c>
      <c r="CE53" s="5" t="str">
        <f t="shared" ca="1" si="22"/>
        <v>Pensionskasse Caltec</v>
      </c>
      <c r="CF53" s="5" t="str">
        <f t="shared" ca="1" si="23"/>
        <v>Sheldon - Pensionskasse Caltec</v>
      </c>
      <c r="CG53" s="5"/>
    </row>
    <row r="54" spans="1:85" x14ac:dyDescent="0.25">
      <c r="A54" s="57" t="str">
        <f ca="1"/>
        <v>PostFinance Säule 3a Depot I</v>
      </c>
      <c r="B54" s="57">
        <f ca="1"/>
        <v>3</v>
      </c>
      <c r="C54" s="53" t="str">
        <f ca="1"/>
        <v>Sheldon</v>
      </c>
      <c r="D54" s="54">
        <f ca="1"/>
        <v>3.5000000000000003E-2</v>
      </c>
      <c r="E54" s="62">
        <f ca="1"/>
        <v>40000</v>
      </c>
      <c r="F54" s="59">
        <f ca="1"/>
        <v>41400</v>
      </c>
      <c r="G54" s="59">
        <f ca="1"/>
        <v>42849</v>
      </c>
      <c r="H54" s="59">
        <f ca="1"/>
        <v>0</v>
      </c>
      <c r="I54" s="59">
        <f ca="1"/>
        <v>0</v>
      </c>
      <c r="J54" s="59">
        <f ca="1"/>
        <v>0</v>
      </c>
      <c r="K54" s="59">
        <f ca="1"/>
        <v>0</v>
      </c>
      <c r="L54" s="59">
        <f ca="1"/>
        <v>0</v>
      </c>
      <c r="M54" s="59">
        <f ca="1"/>
        <v>0</v>
      </c>
      <c r="N54" s="59">
        <f ca="1"/>
        <v>0</v>
      </c>
      <c r="O54" s="59">
        <f ca="1"/>
        <v>0</v>
      </c>
      <c r="P54" s="59">
        <f ca="1"/>
        <v>0</v>
      </c>
      <c r="Q54" s="59">
        <f ca="1"/>
        <v>0</v>
      </c>
      <c r="R54" s="59">
        <f ca="1"/>
        <v>0</v>
      </c>
      <c r="S54" s="59">
        <f ca="1"/>
        <v>0</v>
      </c>
      <c r="T54" s="59">
        <f ca="1"/>
        <v>0</v>
      </c>
      <c r="U54" s="59">
        <f ca="1"/>
        <v>0</v>
      </c>
      <c r="V54" s="59">
        <f ca="1"/>
        <v>0</v>
      </c>
      <c r="W54" s="59">
        <f ca="1"/>
        <v>0</v>
      </c>
      <c r="X54" s="59">
        <f ca="1"/>
        <v>0</v>
      </c>
      <c r="Y54" s="59">
        <f ca="1"/>
        <v>0</v>
      </c>
      <c r="Z54" s="59">
        <f ca="1"/>
        <v>0</v>
      </c>
      <c r="AA54" s="59">
        <f ca="1"/>
        <v>0</v>
      </c>
      <c r="AB54" s="59">
        <f ca="1"/>
        <v>0</v>
      </c>
      <c r="AC54" s="59">
        <f ca="1"/>
        <v>0</v>
      </c>
      <c r="AD54" s="59">
        <f ca="1"/>
        <v>0</v>
      </c>
      <c r="AE54" s="59">
        <f ca="1"/>
        <v>0</v>
      </c>
      <c r="AF54" s="59">
        <f ca="1"/>
        <v>0</v>
      </c>
      <c r="AG54" s="59">
        <f ca="1"/>
        <v>0</v>
      </c>
      <c r="AH54" s="59">
        <f ca="1"/>
        <v>0</v>
      </c>
      <c r="AI54" s="59">
        <f ca="1"/>
        <v>0</v>
      </c>
      <c r="AJ54" s="59">
        <f ca="1"/>
        <v>0</v>
      </c>
      <c r="AK54" s="59">
        <f ca="1"/>
        <v>0</v>
      </c>
      <c r="AL54" s="59">
        <f ca="1"/>
        <v>0</v>
      </c>
      <c r="AM54" s="59">
        <f ca="1"/>
        <v>0</v>
      </c>
      <c r="AN54" s="59">
        <f ca="1"/>
        <v>0</v>
      </c>
      <c r="AO54" s="59">
        <f ca="1"/>
        <v>0</v>
      </c>
      <c r="AP54" s="59">
        <f ca="1"/>
        <v>0</v>
      </c>
      <c r="AQ54" s="59">
        <f ca="1"/>
        <v>0</v>
      </c>
      <c r="AR54" s="59">
        <f ca="1"/>
        <v>0</v>
      </c>
      <c r="AS54" s="59">
        <f ca="1"/>
        <v>0</v>
      </c>
      <c r="AT54" s="59">
        <f ca="1"/>
        <v>0</v>
      </c>
      <c r="AU54" s="59">
        <f ca="1"/>
        <v>0</v>
      </c>
      <c r="AV54" s="59">
        <f ca="1"/>
        <v>0</v>
      </c>
      <c r="AW54" s="59">
        <f ca="1"/>
        <v>0</v>
      </c>
      <c r="AX54" s="59">
        <f ca="1"/>
        <v>0</v>
      </c>
      <c r="AY54" s="59">
        <f ca="1"/>
        <v>0</v>
      </c>
      <c r="AZ54" s="59">
        <f ca="1"/>
        <v>0</v>
      </c>
      <c r="BA54" s="59"/>
      <c r="BS54" s="5">
        <f t="shared" si="30"/>
        <v>0</v>
      </c>
      <c r="BT54" s="5" t="str">
        <f t="shared" si="31"/>
        <v>2026V_Vorsorg1</v>
      </c>
      <c r="BU54">
        <v>2026</v>
      </c>
      <c r="BV54" t="s">
        <v>95</v>
      </c>
      <c r="BW54">
        <v>1</v>
      </c>
      <c r="BX54">
        <v>0</v>
      </c>
      <c r="CA54">
        <v>4945.2</v>
      </c>
      <c r="CD54" s="5" t="str">
        <f t="shared" ca="1" si="21"/>
        <v>Sheldon</v>
      </c>
      <c r="CE54" s="5" t="str">
        <f t="shared" ca="1" si="22"/>
        <v>Pensionskasse Caltec</v>
      </c>
      <c r="CF54" s="5" t="str">
        <f t="shared" ca="1" si="23"/>
        <v>Sheldon - Pensionskasse Caltec</v>
      </c>
      <c r="CG54" s="5"/>
    </row>
    <row r="55" spans="1:85" x14ac:dyDescent="0.25">
      <c r="A55" s="57" t="str">
        <f ca="1"/>
        <v>PostFinance Säule 3a Depot II</v>
      </c>
      <c r="B55" s="57">
        <f ca="1"/>
        <v>4</v>
      </c>
      <c r="C55" s="53" t="str">
        <f ca="1"/>
        <v>Sheldon</v>
      </c>
      <c r="D55" s="54">
        <f ca="1"/>
        <v>3.5000000000000003E-2</v>
      </c>
      <c r="E55" s="62">
        <f ca="1"/>
        <v>20000</v>
      </c>
      <c r="F55" s="59">
        <f ca="1"/>
        <v>20700</v>
      </c>
      <c r="G55" s="59">
        <f ca="1"/>
        <v>0</v>
      </c>
      <c r="H55" s="59">
        <f ca="1"/>
        <v>0</v>
      </c>
      <c r="I55" s="59">
        <f ca="1"/>
        <v>0</v>
      </c>
      <c r="J55" s="59">
        <f ca="1"/>
        <v>0</v>
      </c>
      <c r="K55" s="59">
        <f ca="1"/>
        <v>0</v>
      </c>
      <c r="L55" s="59">
        <f ca="1"/>
        <v>0</v>
      </c>
      <c r="M55" s="59">
        <f ca="1"/>
        <v>0</v>
      </c>
      <c r="N55" s="59">
        <f ca="1"/>
        <v>0</v>
      </c>
      <c r="O55" s="59">
        <f ca="1"/>
        <v>0</v>
      </c>
      <c r="P55" s="59">
        <f ca="1"/>
        <v>0</v>
      </c>
      <c r="Q55" s="59">
        <f ca="1"/>
        <v>0</v>
      </c>
      <c r="R55" s="59">
        <f ca="1"/>
        <v>0</v>
      </c>
      <c r="S55" s="59">
        <f ca="1"/>
        <v>0</v>
      </c>
      <c r="T55" s="59">
        <f ca="1"/>
        <v>0</v>
      </c>
      <c r="U55" s="59">
        <f ca="1"/>
        <v>0</v>
      </c>
      <c r="V55" s="59">
        <f ca="1"/>
        <v>0</v>
      </c>
      <c r="W55" s="59">
        <f ca="1"/>
        <v>0</v>
      </c>
      <c r="X55" s="59">
        <f ca="1"/>
        <v>0</v>
      </c>
      <c r="Y55" s="59">
        <f ca="1"/>
        <v>0</v>
      </c>
      <c r="Z55" s="59">
        <f ca="1"/>
        <v>0</v>
      </c>
      <c r="AA55" s="59">
        <f ca="1"/>
        <v>0</v>
      </c>
      <c r="AB55" s="59">
        <f ca="1"/>
        <v>0</v>
      </c>
      <c r="AC55" s="59">
        <f ca="1"/>
        <v>0</v>
      </c>
      <c r="AD55" s="59">
        <f ca="1"/>
        <v>0</v>
      </c>
      <c r="AE55" s="59">
        <f ca="1"/>
        <v>0</v>
      </c>
      <c r="AF55" s="59">
        <f ca="1"/>
        <v>0</v>
      </c>
      <c r="AG55" s="59">
        <f ca="1"/>
        <v>0</v>
      </c>
      <c r="AH55" s="59">
        <f ca="1"/>
        <v>0</v>
      </c>
      <c r="AI55" s="59">
        <f ca="1"/>
        <v>0</v>
      </c>
      <c r="AJ55" s="59">
        <f ca="1"/>
        <v>0</v>
      </c>
      <c r="AK55" s="59">
        <f ca="1"/>
        <v>0</v>
      </c>
      <c r="AL55" s="59">
        <f ca="1"/>
        <v>0</v>
      </c>
      <c r="AM55" s="59">
        <f ca="1"/>
        <v>0</v>
      </c>
      <c r="AN55" s="59">
        <f ca="1"/>
        <v>0</v>
      </c>
      <c r="AO55" s="59">
        <f ca="1"/>
        <v>0</v>
      </c>
      <c r="AP55" s="59">
        <f ca="1"/>
        <v>0</v>
      </c>
      <c r="AQ55" s="59">
        <f ca="1"/>
        <v>0</v>
      </c>
      <c r="AR55" s="59">
        <f ca="1"/>
        <v>0</v>
      </c>
      <c r="AS55" s="59">
        <f ca="1"/>
        <v>0</v>
      </c>
      <c r="AT55" s="59">
        <f ca="1"/>
        <v>0</v>
      </c>
      <c r="AU55" s="59">
        <f ca="1"/>
        <v>0</v>
      </c>
      <c r="AV55" s="59">
        <f ca="1"/>
        <v>0</v>
      </c>
      <c r="AW55" s="59">
        <f ca="1"/>
        <v>0</v>
      </c>
      <c r="AX55" s="59">
        <f ca="1"/>
        <v>0</v>
      </c>
      <c r="AY55" s="59">
        <f ca="1"/>
        <v>0</v>
      </c>
      <c r="AZ55" s="59">
        <f ca="1"/>
        <v>0</v>
      </c>
      <c r="BA55" s="59"/>
      <c r="BS55" s="5">
        <f t="shared" si="30"/>
        <v>0</v>
      </c>
      <c r="BT55" s="5" t="str">
        <f t="shared" si="31"/>
        <v>2027V_Vorsorg1</v>
      </c>
      <c r="BU55">
        <v>2027</v>
      </c>
      <c r="BV55" t="s">
        <v>95</v>
      </c>
      <c r="BW55">
        <v>1</v>
      </c>
      <c r="BX55">
        <v>0</v>
      </c>
      <c r="CA55">
        <v>4945.2</v>
      </c>
      <c r="CD55" s="5" t="str">
        <f t="shared" ca="1" si="21"/>
        <v>Sheldon</v>
      </c>
      <c r="CE55" s="5" t="str">
        <f t="shared" ca="1" si="22"/>
        <v>Pensionskasse Caltec</v>
      </c>
      <c r="CF55" s="5" t="str">
        <f t="shared" ca="1" si="23"/>
        <v>Sheldon - Pensionskasse Caltec</v>
      </c>
      <c r="CG55" s="5"/>
    </row>
    <row r="56" spans="1:85" x14ac:dyDescent="0.25">
      <c r="A56" s="57" t="str">
        <f ca="1"/>
        <v>MigrosBank Säule 3a Konto</v>
      </c>
      <c r="B56" s="57">
        <f ca="1"/>
        <v>10</v>
      </c>
      <c r="C56" s="53" t="str">
        <f ca="1"/>
        <v>Sheldon</v>
      </c>
      <c r="D56" s="54">
        <f ca="1"/>
        <v>0.01</v>
      </c>
      <c r="E56" s="62">
        <f ca="1"/>
        <v>35000</v>
      </c>
      <c r="F56" s="59">
        <f ca="1"/>
        <v>35350</v>
      </c>
      <c r="G56" s="59">
        <f ca="1"/>
        <v>35703.5</v>
      </c>
      <c r="H56" s="59">
        <f ca="1"/>
        <v>36060.535000000003</v>
      </c>
      <c r="I56" s="59">
        <f ca="1"/>
        <v>36421.140350000001</v>
      </c>
      <c r="J56" s="59">
        <f ca="1"/>
        <v>36785.351753499999</v>
      </c>
      <c r="K56" s="59">
        <f ca="1"/>
        <v>37153.205271034996</v>
      </c>
      <c r="L56" s="59">
        <f ca="1"/>
        <v>0</v>
      </c>
      <c r="M56" s="59">
        <f ca="1"/>
        <v>0</v>
      </c>
      <c r="N56" s="59">
        <f ca="1"/>
        <v>0</v>
      </c>
      <c r="O56" s="59">
        <f ca="1"/>
        <v>0</v>
      </c>
      <c r="P56" s="59">
        <f ca="1"/>
        <v>0</v>
      </c>
      <c r="Q56" s="59">
        <f ca="1"/>
        <v>0</v>
      </c>
      <c r="R56" s="59">
        <f ca="1"/>
        <v>0</v>
      </c>
      <c r="S56" s="59">
        <f ca="1"/>
        <v>0</v>
      </c>
      <c r="T56" s="59">
        <f ca="1"/>
        <v>0</v>
      </c>
      <c r="U56" s="59">
        <f ca="1"/>
        <v>0</v>
      </c>
      <c r="V56" s="59">
        <f ca="1"/>
        <v>0</v>
      </c>
      <c r="W56" s="59">
        <f ca="1"/>
        <v>0</v>
      </c>
      <c r="X56" s="59">
        <f ca="1"/>
        <v>0</v>
      </c>
      <c r="Y56" s="59">
        <f ca="1"/>
        <v>0</v>
      </c>
      <c r="Z56" s="59">
        <f ca="1"/>
        <v>0</v>
      </c>
      <c r="AA56" s="59">
        <f ca="1"/>
        <v>0</v>
      </c>
      <c r="AB56" s="59">
        <f ca="1"/>
        <v>0</v>
      </c>
      <c r="AC56" s="59">
        <f ca="1"/>
        <v>0</v>
      </c>
      <c r="AD56" s="59">
        <f ca="1"/>
        <v>0</v>
      </c>
      <c r="AE56" s="59">
        <f ca="1"/>
        <v>0</v>
      </c>
      <c r="AF56" s="59">
        <f ca="1"/>
        <v>0</v>
      </c>
      <c r="AG56" s="59">
        <f ca="1"/>
        <v>0</v>
      </c>
      <c r="AH56" s="59">
        <f ca="1"/>
        <v>0</v>
      </c>
      <c r="AI56" s="59">
        <f ca="1"/>
        <v>0</v>
      </c>
      <c r="AJ56" s="59">
        <f ca="1"/>
        <v>0</v>
      </c>
      <c r="AK56" s="59">
        <f ca="1"/>
        <v>0</v>
      </c>
      <c r="AL56" s="59">
        <f ca="1"/>
        <v>0</v>
      </c>
      <c r="AM56" s="59">
        <f ca="1"/>
        <v>0</v>
      </c>
      <c r="AN56" s="59">
        <f ca="1"/>
        <v>0</v>
      </c>
      <c r="AO56" s="59">
        <f ca="1"/>
        <v>0</v>
      </c>
      <c r="AP56" s="59">
        <f ca="1"/>
        <v>0</v>
      </c>
      <c r="AQ56" s="59">
        <f ca="1"/>
        <v>0</v>
      </c>
      <c r="AR56" s="59">
        <f ca="1"/>
        <v>0</v>
      </c>
      <c r="AS56" s="59">
        <f ca="1"/>
        <v>0</v>
      </c>
      <c r="AT56" s="59">
        <f ca="1"/>
        <v>0</v>
      </c>
      <c r="AU56" s="59">
        <f ca="1"/>
        <v>0</v>
      </c>
      <c r="AV56" s="59">
        <f ca="1"/>
        <v>0</v>
      </c>
      <c r="AW56" s="59">
        <f ca="1"/>
        <v>0</v>
      </c>
      <c r="AX56" s="59">
        <f ca="1"/>
        <v>0</v>
      </c>
      <c r="AY56" s="59">
        <f ca="1"/>
        <v>0</v>
      </c>
      <c r="AZ56" s="59">
        <f ca="1"/>
        <v>0</v>
      </c>
      <c r="BA56" s="59"/>
      <c r="BS56" s="5">
        <f t="shared" si="30"/>
        <v>0</v>
      </c>
      <c r="BT56" s="5" t="str">
        <f t="shared" si="31"/>
        <v>2028V_Vorsorg1</v>
      </c>
      <c r="BU56">
        <v>2028</v>
      </c>
      <c r="BV56" t="s">
        <v>95</v>
      </c>
      <c r="BW56">
        <v>1</v>
      </c>
      <c r="CA56">
        <v>4945.2</v>
      </c>
      <c r="CD56" s="5" t="str">
        <f t="shared" ca="1" si="21"/>
        <v>Sheldon</v>
      </c>
      <c r="CE56" s="5" t="str">
        <f t="shared" ca="1" si="22"/>
        <v>Pensionskasse Caltec</v>
      </c>
      <c r="CF56" s="5" t="str">
        <f t="shared" ca="1" si="23"/>
        <v>Sheldon - Pensionskasse Caltec</v>
      </c>
      <c r="CG56" s="5"/>
    </row>
    <row r="57" spans="1:85" x14ac:dyDescent="0.25">
      <c r="A57" s="57" t="str">
        <f ca="1"/>
        <v>Neues Säule 3a Gefäss I</v>
      </c>
      <c r="B57" s="57">
        <f ca="1"/>
        <v>11</v>
      </c>
      <c r="C57" s="53" t="str">
        <f ca="1"/>
        <v>Sheldon</v>
      </c>
      <c r="D57" s="54">
        <f ca="1"/>
        <v>0.01</v>
      </c>
      <c r="E57" s="62">
        <f ca="1"/>
        <v>0</v>
      </c>
      <c r="F57" s="59">
        <f ca="1"/>
        <v>7056</v>
      </c>
      <c r="G57" s="59">
        <f ca="1"/>
        <v>14182.560000000001</v>
      </c>
      <c r="H57" s="59">
        <f ca="1"/>
        <v>14324.385600000001</v>
      </c>
      <c r="I57" s="59">
        <f ca="1"/>
        <v>0</v>
      </c>
      <c r="J57" s="59">
        <f ca="1"/>
        <v>0</v>
      </c>
      <c r="K57" s="59">
        <f ca="1"/>
        <v>0</v>
      </c>
      <c r="L57" s="59">
        <f ca="1"/>
        <v>0</v>
      </c>
      <c r="M57" s="59">
        <f ca="1"/>
        <v>0</v>
      </c>
      <c r="N57" s="59">
        <f ca="1"/>
        <v>0</v>
      </c>
      <c r="O57" s="59">
        <f ca="1"/>
        <v>0</v>
      </c>
      <c r="P57" s="59">
        <f ca="1"/>
        <v>0</v>
      </c>
      <c r="Q57" s="59">
        <f ca="1"/>
        <v>0</v>
      </c>
      <c r="R57" s="59">
        <f ca="1"/>
        <v>0</v>
      </c>
      <c r="S57" s="59">
        <f ca="1"/>
        <v>0</v>
      </c>
      <c r="T57" s="59">
        <f ca="1"/>
        <v>0</v>
      </c>
      <c r="U57" s="59">
        <f ca="1"/>
        <v>0</v>
      </c>
      <c r="V57" s="59">
        <f ca="1"/>
        <v>0</v>
      </c>
      <c r="W57" s="59">
        <f ca="1"/>
        <v>0</v>
      </c>
      <c r="X57" s="59">
        <f ca="1"/>
        <v>0</v>
      </c>
      <c r="Y57" s="59">
        <f ca="1"/>
        <v>0</v>
      </c>
      <c r="Z57" s="59">
        <f ca="1"/>
        <v>0</v>
      </c>
      <c r="AA57" s="59">
        <f ca="1"/>
        <v>0</v>
      </c>
      <c r="AB57" s="59">
        <f ca="1"/>
        <v>0</v>
      </c>
      <c r="AC57" s="59">
        <f ca="1"/>
        <v>0</v>
      </c>
      <c r="AD57" s="59">
        <f ca="1"/>
        <v>0</v>
      </c>
      <c r="AE57" s="59">
        <f ca="1"/>
        <v>0</v>
      </c>
      <c r="AF57" s="59">
        <f ca="1"/>
        <v>0</v>
      </c>
      <c r="AG57" s="59">
        <f ca="1"/>
        <v>0</v>
      </c>
      <c r="AH57" s="59">
        <f ca="1"/>
        <v>0</v>
      </c>
      <c r="AI57" s="59">
        <f ca="1"/>
        <v>0</v>
      </c>
      <c r="AJ57" s="59">
        <f ca="1"/>
        <v>0</v>
      </c>
      <c r="AK57" s="59">
        <f ca="1"/>
        <v>0</v>
      </c>
      <c r="AL57" s="59">
        <f ca="1"/>
        <v>0</v>
      </c>
      <c r="AM57" s="59">
        <f ca="1"/>
        <v>0</v>
      </c>
      <c r="AN57" s="59">
        <f ca="1"/>
        <v>0</v>
      </c>
      <c r="AO57" s="59">
        <f ca="1"/>
        <v>0</v>
      </c>
      <c r="AP57" s="59">
        <f ca="1"/>
        <v>0</v>
      </c>
      <c r="AQ57" s="59">
        <f ca="1"/>
        <v>0</v>
      </c>
      <c r="AR57" s="59">
        <f ca="1"/>
        <v>0</v>
      </c>
      <c r="AS57" s="59">
        <f ca="1"/>
        <v>0</v>
      </c>
      <c r="AT57" s="59">
        <f ca="1"/>
        <v>0</v>
      </c>
      <c r="AU57" s="59">
        <f ca="1"/>
        <v>0</v>
      </c>
      <c r="AV57" s="59">
        <f ca="1"/>
        <v>0</v>
      </c>
      <c r="AW57" s="59">
        <f ca="1"/>
        <v>0</v>
      </c>
      <c r="AX57" s="59">
        <f ca="1"/>
        <v>0</v>
      </c>
      <c r="AY57" s="59">
        <f ca="1"/>
        <v>0</v>
      </c>
      <c r="AZ57" s="59">
        <f ca="1"/>
        <v>0</v>
      </c>
      <c r="BA57" s="59"/>
      <c r="BS57" s="5">
        <f t="shared" si="30"/>
        <v>0</v>
      </c>
      <c r="BT57" s="5" t="str">
        <f t="shared" si="31"/>
        <v>2029V_Vorsorg1</v>
      </c>
      <c r="BU57">
        <v>2029</v>
      </c>
      <c r="BV57" t="s">
        <v>95</v>
      </c>
      <c r="BW57">
        <v>1</v>
      </c>
      <c r="CA57">
        <v>4945.2</v>
      </c>
      <c r="CD57" s="5" t="str">
        <f t="shared" ca="1" si="21"/>
        <v>Sheldon</v>
      </c>
      <c r="CE57" s="5" t="str">
        <f t="shared" ca="1" si="22"/>
        <v>Pensionskasse Caltec</v>
      </c>
      <c r="CF57" s="5" t="str">
        <f t="shared" ca="1" si="23"/>
        <v>Sheldon - Pensionskasse Caltec</v>
      </c>
      <c r="CG57" s="5"/>
    </row>
    <row r="58" spans="1:85" x14ac:dyDescent="0.25">
      <c r="A58" s="57" t="str">
        <f ca="1"/>
        <v>Neues Säule 3a Gefäss II</v>
      </c>
      <c r="B58" s="57">
        <f ca="1"/>
        <v>12</v>
      </c>
      <c r="C58" s="53" t="str">
        <f ca="1"/>
        <v>Sheldon</v>
      </c>
      <c r="D58" s="54">
        <f ca="1"/>
        <v>0.01</v>
      </c>
      <c r="E58" s="62">
        <f ca="1"/>
        <v>0</v>
      </c>
      <c r="F58" s="59">
        <f ca="1"/>
        <v>0</v>
      </c>
      <c r="G58" s="59">
        <f ca="1"/>
        <v>0</v>
      </c>
      <c r="H58" s="59">
        <f ca="1"/>
        <v>7056</v>
      </c>
      <c r="I58" s="59">
        <f ca="1"/>
        <v>14182.560000000001</v>
      </c>
      <c r="J58" s="59">
        <f ca="1"/>
        <v>21380.385600000001</v>
      </c>
      <c r="K58" s="59">
        <f ca="1"/>
        <v>21594.189456</v>
      </c>
      <c r="L58" s="59">
        <f ca="1"/>
        <v>28866.131350560001</v>
      </c>
      <c r="M58" s="59">
        <f ca="1"/>
        <v>29154.792664065601</v>
      </c>
      <c r="N58" s="59">
        <f ca="1"/>
        <v>0</v>
      </c>
      <c r="O58" s="59">
        <f ca="1"/>
        <v>0</v>
      </c>
      <c r="P58" s="59">
        <f ca="1"/>
        <v>0</v>
      </c>
      <c r="Q58" s="59">
        <f ca="1"/>
        <v>0</v>
      </c>
      <c r="R58" s="59">
        <f ca="1"/>
        <v>0</v>
      </c>
      <c r="S58" s="59">
        <f ca="1"/>
        <v>0</v>
      </c>
      <c r="T58" s="59">
        <f ca="1"/>
        <v>0</v>
      </c>
      <c r="U58" s="59">
        <f ca="1"/>
        <v>0</v>
      </c>
      <c r="V58" s="59">
        <f ca="1"/>
        <v>0</v>
      </c>
      <c r="W58" s="59">
        <f ca="1"/>
        <v>0</v>
      </c>
      <c r="X58" s="59">
        <f ca="1"/>
        <v>0</v>
      </c>
      <c r="Y58" s="59">
        <f ca="1"/>
        <v>0</v>
      </c>
      <c r="Z58" s="59">
        <f ca="1"/>
        <v>0</v>
      </c>
      <c r="AA58" s="59">
        <f ca="1"/>
        <v>0</v>
      </c>
      <c r="AB58" s="59">
        <f ca="1"/>
        <v>0</v>
      </c>
      <c r="AC58" s="59">
        <f ca="1"/>
        <v>0</v>
      </c>
      <c r="AD58" s="59">
        <f ca="1"/>
        <v>0</v>
      </c>
      <c r="AE58" s="59">
        <f ca="1"/>
        <v>0</v>
      </c>
      <c r="AF58" s="59">
        <f ca="1"/>
        <v>0</v>
      </c>
      <c r="AG58" s="59">
        <f ca="1"/>
        <v>0</v>
      </c>
      <c r="AH58" s="59">
        <f ca="1"/>
        <v>0</v>
      </c>
      <c r="AI58" s="59">
        <f ca="1"/>
        <v>0</v>
      </c>
      <c r="AJ58" s="59">
        <f ca="1"/>
        <v>0</v>
      </c>
      <c r="AK58" s="59">
        <f ca="1"/>
        <v>0</v>
      </c>
      <c r="AL58" s="59">
        <f ca="1"/>
        <v>0</v>
      </c>
      <c r="AM58" s="59">
        <f ca="1"/>
        <v>0</v>
      </c>
      <c r="AN58" s="59">
        <f ca="1"/>
        <v>0</v>
      </c>
      <c r="AO58" s="59">
        <f ca="1"/>
        <v>0</v>
      </c>
      <c r="AP58" s="59">
        <f ca="1"/>
        <v>0</v>
      </c>
      <c r="AQ58" s="59">
        <f ca="1"/>
        <v>0</v>
      </c>
      <c r="AR58" s="59">
        <f ca="1"/>
        <v>0</v>
      </c>
      <c r="AS58" s="59">
        <f ca="1"/>
        <v>0</v>
      </c>
      <c r="AT58" s="59">
        <f ca="1"/>
        <v>0</v>
      </c>
      <c r="AU58" s="59">
        <f ca="1"/>
        <v>0</v>
      </c>
      <c r="AV58" s="59">
        <f ca="1"/>
        <v>0</v>
      </c>
      <c r="AW58" s="59">
        <f ca="1"/>
        <v>0</v>
      </c>
      <c r="AX58" s="59">
        <f ca="1"/>
        <v>0</v>
      </c>
      <c r="AY58" s="59">
        <f ca="1"/>
        <v>0</v>
      </c>
      <c r="AZ58" s="59">
        <f ca="1"/>
        <v>0</v>
      </c>
      <c r="BA58" s="59"/>
      <c r="BS58" s="5">
        <f t="shared" si="30"/>
        <v>0</v>
      </c>
      <c r="BT58" s="5" t="str">
        <f t="shared" si="31"/>
        <v>2030V_Vorsorg1</v>
      </c>
      <c r="BU58">
        <v>2030</v>
      </c>
      <c r="BV58" t="s">
        <v>95</v>
      </c>
      <c r="BW58">
        <v>1</v>
      </c>
      <c r="BX58">
        <v>1</v>
      </c>
      <c r="BY58" s="12">
        <v>0</v>
      </c>
      <c r="CA58">
        <f>4945.2*9/12</f>
        <v>3708.8999999999996</v>
      </c>
      <c r="CB58" t="s">
        <v>252</v>
      </c>
      <c r="CC58">
        <v>1</v>
      </c>
      <c r="CD58" s="5" t="str">
        <f t="shared" ca="1" si="21"/>
        <v>Sheldon</v>
      </c>
      <c r="CE58" s="5" t="str">
        <f t="shared" ca="1" si="22"/>
        <v>Pensionskasse Caltec</v>
      </c>
      <c r="CF58" s="5" t="str">
        <f t="shared" ca="1" si="23"/>
        <v>Sheldon - Pensionskasse Caltec - Pensionierung, 100% Rentenbezug</v>
      </c>
      <c r="CG58" s="5"/>
    </row>
    <row r="59" spans="1:85" x14ac:dyDescent="0.25">
      <c r="A59" s="57" t="str">
        <f ca="1"/>
        <v>Neues Säule 3a Gefäss III</v>
      </c>
      <c r="B59" s="57">
        <f ca="1"/>
        <v>13</v>
      </c>
      <c r="C59" s="53" t="str">
        <f ca="1"/>
        <v>Sheldon</v>
      </c>
      <c r="D59" s="54">
        <f ca="1"/>
        <v>0.01</v>
      </c>
      <c r="E59" s="62">
        <f ca="1"/>
        <v>0</v>
      </c>
      <c r="F59" s="59">
        <f ca="1"/>
        <v>0</v>
      </c>
      <c r="G59" s="59">
        <f ca="1"/>
        <v>0</v>
      </c>
      <c r="H59" s="59">
        <f ca="1"/>
        <v>0</v>
      </c>
      <c r="I59" s="59">
        <f ca="1"/>
        <v>0</v>
      </c>
      <c r="J59" s="59">
        <f ca="1"/>
        <v>0</v>
      </c>
      <c r="K59" s="59">
        <f ca="1"/>
        <v>7056</v>
      </c>
      <c r="L59" s="59">
        <f ca="1"/>
        <v>0</v>
      </c>
      <c r="M59" s="59">
        <f ca="1"/>
        <v>0</v>
      </c>
      <c r="N59" s="59">
        <f ca="1"/>
        <v>0</v>
      </c>
      <c r="O59" s="59">
        <f ca="1"/>
        <v>0</v>
      </c>
      <c r="P59" s="59">
        <f ca="1"/>
        <v>0</v>
      </c>
      <c r="Q59" s="59">
        <f ca="1"/>
        <v>0</v>
      </c>
      <c r="R59" s="59">
        <f ca="1"/>
        <v>0</v>
      </c>
      <c r="S59" s="59">
        <f ca="1"/>
        <v>0</v>
      </c>
      <c r="T59" s="59">
        <f ca="1"/>
        <v>0</v>
      </c>
      <c r="U59" s="59">
        <f ca="1"/>
        <v>0</v>
      </c>
      <c r="V59" s="59">
        <f ca="1"/>
        <v>0</v>
      </c>
      <c r="W59" s="59">
        <f ca="1"/>
        <v>0</v>
      </c>
      <c r="X59" s="59">
        <f ca="1"/>
        <v>0</v>
      </c>
      <c r="Y59" s="59">
        <f ca="1"/>
        <v>0</v>
      </c>
      <c r="Z59" s="59">
        <f ca="1"/>
        <v>0</v>
      </c>
      <c r="AA59" s="59">
        <f ca="1"/>
        <v>0</v>
      </c>
      <c r="AB59" s="59">
        <f ca="1"/>
        <v>0</v>
      </c>
      <c r="AC59" s="59">
        <f ca="1"/>
        <v>0</v>
      </c>
      <c r="AD59" s="59">
        <f ca="1"/>
        <v>0</v>
      </c>
      <c r="AE59" s="59">
        <f ca="1"/>
        <v>0</v>
      </c>
      <c r="AF59" s="59">
        <f ca="1"/>
        <v>0</v>
      </c>
      <c r="AG59" s="59">
        <f ca="1"/>
        <v>0</v>
      </c>
      <c r="AH59" s="59">
        <f ca="1"/>
        <v>0</v>
      </c>
      <c r="AI59" s="59">
        <f ca="1"/>
        <v>0</v>
      </c>
      <c r="AJ59" s="59">
        <f ca="1"/>
        <v>0</v>
      </c>
      <c r="AK59" s="59">
        <f ca="1"/>
        <v>0</v>
      </c>
      <c r="AL59" s="59">
        <f ca="1"/>
        <v>0</v>
      </c>
      <c r="AM59" s="59">
        <f ca="1"/>
        <v>0</v>
      </c>
      <c r="AN59" s="59">
        <f ca="1"/>
        <v>0</v>
      </c>
      <c r="AO59" s="59">
        <f ca="1"/>
        <v>0</v>
      </c>
      <c r="AP59" s="59">
        <f ca="1"/>
        <v>0</v>
      </c>
      <c r="AQ59" s="59">
        <f ca="1"/>
        <v>0</v>
      </c>
      <c r="AR59" s="59">
        <f ca="1"/>
        <v>0</v>
      </c>
      <c r="AS59" s="59">
        <f ca="1"/>
        <v>0</v>
      </c>
      <c r="AT59" s="59">
        <f ca="1"/>
        <v>0</v>
      </c>
      <c r="AU59" s="59">
        <f ca="1"/>
        <v>0</v>
      </c>
      <c r="AV59" s="59">
        <f ca="1"/>
        <v>0</v>
      </c>
      <c r="AW59" s="59">
        <f ca="1"/>
        <v>0</v>
      </c>
      <c r="AX59" s="59">
        <f ca="1"/>
        <v>0</v>
      </c>
      <c r="AY59" s="59">
        <f ca="1"/>
        <v>0</v>
      </c>
      <c r="AZ59" s="59">
        <f ca="1"/>
        <v>0</v>
      </c>
      <c r="BA59" s="59"/>
      <c r="BS59" s="5">
        <f t="shared" si="30"/>
        <v>1</v>
      </c>
      <c r="BT59" s="5" t="str">
        <f t="shared" si="31"/>
        <v>2030E_Erwerb8</v>
      </c>
      <c r="BU59">
        <v>2030</v>
      </c>
      <c r="BV59" t="s">
        <v>74</v>
      </c>
      <c r="BW59">
        <v>8</v>
      </c>
      <c r="BX59">
        <v>1</v>
      </c>
      <c r="BY59" s="12">
        <f>12408*0.25</f>
        <v>3102</v>
      </c>
      <c r="CD59" s="5" t="str">
        <f t="shared" ca="1" si="21"/>
        <v>Sheldon</v>
      </c>
      <c r="CE59" s="5" t="str">
        <f t="shared" ca="1" si="22"/>
        <v>Rente aus Pensionskasse</v>
      </c>
      <c r="CF59" s="5" t="str">
        <f t="shared" ca="1" si="23"/>
        <v>Sheldon - Rente aus Pensionskasse</v>
      </c>
      <c r="CG59" s="5"/>
    </row>
    <row r="60" spans="1:85" hidden="1" x14ac:dyDescent="0.25">
      <c r="A60" s="57"/>
      <c r="B60" s="57"/>
      <c r="C60" s="53"/>
      <c r="D60" s="54"/>
      <c r="E60" s="62"/>
      <c r="F60" s="59"/>
      <c r="G60" s="59"/>
      <c r="H60" s="59"/>
      <c r="I60" s="59"/>
      <c r="J60" s="59"/>
      <c r="K60" s="59"/>
      <c r="L60" s="59"/>
      <c r="M60" s="59"/>
      <c r="N60" s="59"/>
      <c r="O60" s="59"/>
      <c r="P60" s="59"/>
      <c r="Q60" s="59"/>
      <c r="R60" s="59"/>
      <c r="S60" s="59"/>
      <c r="T60" s="59"/>
      <c r="U60" s="59"/>
      <c r="V60" s="59"/>
      <c r="W60" s="59"/>
      <c r="X60" s="59"/>
      <c r="Y60" s="59"/>
      <c r="Z60" s="59"/>
      <c r="AA60" s="59"/>
      <c r="AB60" s="59"/>
      <c r="AC60" s="59"/>
      <c r="AD60" s="59"/>
      <c r="AE60" s="59"/>
      <c r="AF60" s="59"/>
      <c r="AG60" s="59"/>
      <c r="AH60" s="59"/>
      <c r="AI60" s="59"/>
      <c r="AJ60" s="59"/>
      <c r="AK60" s="59"/>
      <c r="AL60" s="59"/>
      <c r="AM60" s="59"/>
      <c r="AN60" s="59"/>
      <c r="AO60" s="59"/>
      <c r="AP60" s="59"/>
      <c r="AQ60" s="59"/>
      <c r="AR60" s="59"/>
      <c r="AS60" s="59"/>
      <c r="AT60" s="59"/>
      <c r="AU60" s="59"/>
      <c r="AV60" s="59"/>
      <c r="AW60" s="59"/>
      <c r="AX60" s="59"/>
      <c r="AY60" s="59"/>
      <c r="AZ60" s="59"/>
      <c r="BA60" s="59"/>
      <c r="BS60" s="5">
        <f t="shared" si="30"/>
        <v>1</v>
      </c>
      <c r="BT60" s="5" t="str">
        <f t="shared" si="31"/>
        <v>2030E_Erwerb8</v>
      </c>
      <c r="BU60">
        <v>2030</v>
      </c>
      <c r="BV60" t="s">
        <v>74</v>
      </c>
      <c r="BW60">
        <v>8</v>
      </c>
      <c r="BX60">
        <v>1</v>
      </c>
      <c r="BY60" s="12">
        <v>12408</v>
      </c>
      <c r="CD60" s="5" t="str">
        <f t="shared" ca="1" si="21"/>
        <v>Sheldon</v>
      </c>
      <c r="CE60" s="5" t="str">
        <f t="shared" ca="1" si="22"/>
        <v>Rente aus Pensionskasse</v>
      </c>
      <c r="CF60" s="5" t="str">
        <f t="shared" ca="1" si="23"/>
        <v>Sheldon - Rente aus Pensionskasse</v>
      </c>
      <c r="CG60" s="5"/>
    </row>
    <row r="61" spans="1:85" hidden="1" x14ac:dyDescent="0.25">
      <c r="A61" s="57"/>
      <c r="B61" s="57"/>
      <c r="C61" s="53"/>
      <c r="D61" s="54"/>
      <c r="E61" s="62"/>
      <c r="F61" s="59"/>
      <c r="G61" s="59"/>
      <c r="H61" s="59"/>
      <c r="I61" s="59"/>
      <c r="J61" s="59"/>
      <c r="K61" s="59"/>
      <c r="L61" s="59"/>
      <c r="M61" s="59"/>
      <c r="N61" s="59"/>
      <c r="O61" s="59"/>
      <c r="P61" s="59"/>
      <c r="Q61" s="59"/>
      <c r="R61" s="59"/>
      <c r="S61" s="59"/>
      <c r="T61" s="59"/>
      <c r="U61" s="59"/>
      <c r="V61" s="59"/>
      <c r="W61" s="59"/>
      <c r="X61" s="59"/>
      <c r="Y61" s="59"/>
      <c r="Z61" s="59"/>
      <c r="AA61" s="59"/>
      <c r="AB61" s="59"/>
      <c r="AC61" s="59"/>
      <c r="AD61" s="59"/>
      <c r="AE61" s="59"/>
      <c r="AF61" s="59"/>
      <c r="AG61" s="59"/>
      <c r="AH61" s="59"/>
      <c r="AI61" s="59"/>
      <c r="AJ61" s="59"/>
      <c r="AK61" s="59"/>
      <c r="AL61" s="59"/>
      <c r="AM61" s="59"/>
      <c r="AN61" s="59"/>
      <c r="AO61" s="59"/>
      <c r="AP61" s="59"/>
      <c r="AQ61" s="59"/>
      <c r="AR61" s="59"/>
      <c r="AS61" s="59"/>
      <c r="AT61" s="59"/>
      <c r="AU61" s="59"/>
      <c r="AV61" s="59"/>
      <c r="AW61" s="59"/>
      <c r="AX61" s="59"/>
      <c r="AY61" s="59"/>
      <c r="AZ61" s="59"/>
      <c r="BA61" s="59"/>
      <c r="BS61" s="5">
        <f t="shared" si="30"/>
        <v>0</v>
      </c>
      <c r="BT61" s="5" t="str">
        <f t="shared" si="31"/>
        <v>2024V_Vorsorg11</v>
      </c>
      <c r="BU61">
        <v>2024</v>
      </c>
      <c r="BV61" t="s">
        <v>95</v>
      </c>
      <c r="BW61">
        <v>11</v>
      </c>
      <c r="BX61">
        <v>0</v>
      </c>
      <c r="CA61">
        <v>7056</v>
      </c>
      <c r="CB61" t="s">
        <v>254</v>
      </c>
      <c r="CC61">
        <v>1</v>
      </c>
      <c r="CD61" s="5" t="str">
        <f t="shared" ca="1" si="21"/>
        <v>Sheldon</v>
      </c>
      <c r="CE61" s="5" t="str">
        <f t="shared" ca="1" si="22"/>
        <v>Neues Säule 3a Gefäss I</v>
      </c>
      <c r="CF61" s="5" t="str">
        <f t="shared" ca="1" si="23"/>
        <v>Sheldon - Neues Säule 3a Gefäss I - Eröffnung neues Säule 3a Gefäss und Einzahlung Maximalbetrag</v>
      </c>
      <c r="CG61" s="5"/>
    </row>
    <row r="62" spans="1:85" hidden="1" x14ac:dyDescent="0.25">
      <c r="A62" s="57"/>
      <c r="B62" s="57"/>
      <c r="C62" s="53"/>
      <c r="D62" s="54"/>
      <c r="E62" s="62"/>
      <c r="F62" s="59"/>
      <c r="G62" s="59"/>
      <c r="H62" s="59"/>
      <c r="I62" s="59"/>
      <c r="J62" s="59"/>
      <c r="K62" s="59"/>
      <c r="L62" s="59"/>
      <c r="M62" s="59"/>
      <c r="N62" s="59"/>
      <c r="O62" s="59"/>
      <c r="P62" s="59"/>
      <c r="Q62" s="59"/>
      <c r="R62" s="59"/>
      <c r="S62" s="59"/>
      <c r="T62" s="59"/>
      <c r="U62" s="59"/>
      <c r="V62" s="59"/>
      <c r="W62" s="59"/>
      <c r="X62" s="59"/>
      <c r="Y62" s="59"/>
      <c r="Z62" s="59"/>
      <c r="AA62" s="59"/>
      <c r="AB62" s="59"/>
      <c r="AC62" s="59"/>
      <c r="AD62" s="59"/>
      <c r="AE62" s="59"/>
      <c r="AF62" s="59"/>
      <c r="AG62" s="59"/>
      <c r="AH62" s="59"/>
      <c r="AI62" s="59"/>
      <c r="AJ62" s="59"/>
      <c r="AK62" s="59"/>
      <c r="AL62" s="59"/>
      <c r="AM62" s="59"/>
      <c r="AN62" s="59"/>
      <c r="AO62" s="59"/>
      <c r="AP62" s="59"/>
      <c r="AQ62" s="59"/>
      <c r="AR62" s="59"/>
      <c r="AS62" s="59"/>
      <c r="AT62" s="59"/>
      <c r="AU62" s="59"/>
      <c r="AV62" s="59"/>
      <c r="AW62" s="59"/>
      <c r="AX62" s="59"/>
      <c r="AY62" s="59"/>
      <c r="AZ62" s="59"/>
      <c r="BA62" s="59"/>
      <c r="BS62" s="5">
        <f t="shared" si="30"/>
        <v>0</v>
      </c>
      <c r="BT62" s="5" t="str">
        <f t="shared" si="31"/>
        <v>2025V_Vorsorg11</v>
      </c>
      <c r="BU62">
        <v>2025</v>
      </c>
      <c r="BV62" t="s">
        <v>95</v>
      </c>
      <c r="BW62">
        <v>11</v>
      </c>
      <c r="BX62">
        <v>0</v>
      </c>
      <c r="CA62">
        <v>7056</v>
      </c>
      <c r="CB62" t="s">
        <v>243</v>
      </c>
      <c r="CC62">
        <v>1</v>
      </c>
      <c r="CD62" s="5" t="str">
        <f t="shared" ca="1" si="21"/>
        <v>Sheldon</v>
      </c>
      <c r="CE62" s="5" t="str">
        <f t="shared" ca="1" si="22"/>
        <v>Neues Säule 3a Gefäss I</v>
      </c>
      <c r="CF62" s="5" t="str">
        <f t="shared" ca="1" si="23"/>
        <v>Sheldon - Neues Säule 3a Gefäss I - Einzahlung Maximalbetrag</v>
      </c>
      <c r="CG62" s="5"/>
    </row>
    <row r="63" spans="1:85" hidden="1" x14ac:dyDescent="0.25">
      <c r="A63" s="57"/>
      <c r="B63" s="57"/>
      <c r="C63" s="53"/>
      <c r="D63" s="54"/>
      <c r="E63" s="62"/>
      <c r="F63" s="59"/>
      <c r="G63" s="59"/>
      <c r="H63" s="59"/>
      <c r="I63" s="59"/>
      <c r="J63" s="59"/>
      <c r="K63" s="59"/>
      <c r="L63" s="59"/>
      <c r="M63" s="59"/>
      <c r="N63" s="59"/>
      <c r="O63" s="59"/>
      <c r="P63" s="59"/>
      <c r="Q63" s="59"/>
      <c r="R63" s="59"/>
      <c r="S63" s="59"/>
      <c r="T63" s="59"/>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S63" s="5">
        <f t="shared" si="30"/>
        <v>0</v>
      </c>
      <c r="BT63" s="5" t="str">
        <f t="shared" si="31"/>
        <v>2026V_Vorsorg12</v>
      </c>
      <c r="BU63">
        <v>2026</v>
      </c>
      <c r="BV63" t="s">
        <v>95</v>
      </c>
      <c r="BW63">
        <v>12</v>
      </c>
      <c r="CA63">
        <v>7056</v>
      </c>
      <c r="CB63" t="s">
        <v>254</v>
      </c>
      <c r="CC63">
        <v>1</v>
      </c>
      <c r="CD63" s="5" t="str">
        <f t="shared" ca="1" si="21"/>
        <v>Sheldon</v>
      </c>
      <c r="CE63" s="5" t="str">
        <f t="shared" ca="1" si="22"/>
        <v>Neues Säule 3a Gefäss II</v>
      </c>
      <c r="CF63" s="5" t="str">
        <f t="shared" ca="1" si="23"/>
        <v>Sheldon - Neues Säule 3a Gefäss II - Eröffnung neues Säule 3a Gefäss und Einzahlung Maximalbetrag</v>
      </c>
      <c r="CG63" s="5"/>
    </row>
    <row r="64" spans="1:85" hidden="1" x14ac:dyDescent="0.25">
      <c r="A64" s="57"/>
      <c r="B64" s="57"/>
      <c r="C64" s="53"/>
      <c r="D64" s="54"/>
      <c r="E64" s="63"/>
      <c r="F64" s="59"/>
      <c r="G64" s="59"/>
      <c r="H64" s="59"/>
      <c r="I64" s="59"/>
      <c r="J64" s="59"/>
      <c r="K64" s="59"/>
      <c r="L64" s="59"/>
      <c r="M64" s="59"/>
      <c r="N64" s="59"/>
      <c r="O64" s="59"/>
      <c r="P64" s="59"/>
      <c r="Q64" s="59"/>
      <c r="R64" s="59"/>
      <c r="S64" s="59"/>
      <c r="T64" s="59"/>
      <c r="U64" s="59"/>
      <c r="V64" s="59"/>
      <c r="W64" s="59"/>
      <c r="X64" s="59"/>
      <c r="Y64" s="59"/>
      <c r="Z64" s="59"/>
      <c r="AA64" s="59"/>
      <c r="AB64" s="59"/>
      <c r="AC64" s="59"/>
      <c r="AD64" s="59"/>
      <c r="AE64" s="59"/>
      <c r="AF64" s="59"/>
      <c r="AG64" s="59"/>
      <c r="AH64" s="59"/>
      <c r="AI64" s="59"/>
      <c r="AJ64" s="59"/>
      <c r="AK64" s="59"/>
      <c r="AL64" s="59"/>
      <c r="AM64" s="59"/>
      <c r="AN64" s="59"/>
      <c r="AO64" s="59"/>
      <c r="AP64" s="59"/>
      <c r="AQ64" s="59"/>
      <c r="AR64" s="59"/>
      <c r="AS64" s="59"/>
      <c r="AT64" s="59"/>
      <c r="AU64" s="59"/>
      <c r="AV64" s="59"/>
      <c r="AW64" s="59"/>
      <c r="AX64" s="59"/>
      <c r="AY64" s="59"/>
      <c r="AZ64" s="59"/>
      <c r="BA64" s="59"/>
      <c r="BS64" s="5">
        <f t="shared" si="30"/>
        <v>0</v>
      </c>
      <c r="BT64" s="5" t="str">
        <f t="shared" si="31"/>
        <v>2027V_Vorsorg12</v>
      </c>
      <c r="BU64">
        <v>2027</v>
      </c>
      <c r="BV64" t="s">
        <v>95</v>
      </c>
      <c r="BW64">
        <v>12</v>
      </c>
      <c r="CA64">
        <v>7056</v>
      </c>
      <c r="CB64" t="s">
        <v>243</v>
      </c>
      <c r="CC64">
        <v>1</v>
      </c>
      <c r="CD64" s="5" t="str">
        <f t="shared" ca="1" si="21"/>
        <v>Sheldon</v>
      </c>
      <c r="CE64" s="5" t="str">
        <f t="shared" ca="1" si="22"/>
        <v>Neues Säule 3a Gefäss II</v>
      </c>
      <c r="CF64" s="5" t="str">
        <f t="shared" ca="1" si="23"/>
        <v>Sheldon - Neues Säule 3a Gefäss II - Einzahlung Maximalbetrag</v>
      </c>
      <c r="CG64" s="5"/>
    </row>
    <row r="65" spans="1:85" ht="27.6" customHeight="1" x14ac:dyDescent="0.25">
      <c r="A65" s="56" t="s">
        <v>60</v>
      </c>
      <c r="B65" s="57" t="s">
        <v>97</v>
      </c>
      <c r="C65" s="53"/>
      <c r="D65" s="54"/>
      <c r="E65" s="64">
        <f ca="1">SUM(E66:E69)</f>
        <v>1350000</v>
      </c>
      <c r="F65" s="58">
        <f ca="1">SUM(F66:F69)</f>
        <v>1350000</v>
      </c>
      <c r="G65" s="58">
        <f t="shared" ref="G65:BA65" ca="1" si="106">SUM(G66:G69)</f>
        <v>1350000</v>
      </c>
      <c r="H65" s="58">
        <f t="shared" ca="1" si="106"/>
        <v>1350000</v>
      </c>
      <c r="I65" s="58">
        <f t="shared" ca="1" si="106"/>
        <v>1350000</v>
      </c>
      <c r="J65" s="58">
        <f t="shared" ca="1" si="106"/>
        <v>1350000</v>
      </c>
      <c r="K65" s="58">
        <f t="shared" ca="1" si="106"/>
        <v>1350000</v>
      </c>
      <c r="L65" s="58">
        <f t="shared" ca="1" si="106"/>
        <v>1350000</v>
      </c>
      <c r="M65" s="58">
        <f t="shared" ca="1" si="106"/>
        <v>1350000</v>
      </c>
      <c r="N65" s="58">
        <f t="shared" ca="1" si="106"/>
        <v>1350000</v>
      </c>
      <c r="O65" s="58">
        <f t="shared" ca="1" si="106"/>
        <v>1350000</v>
      </c>
      <c r="P65" s="58">
        <f t="shared" ca="1" si="106"/>
        <v>1350000</v>
      </c>
      <c r="Q65" s="58">
        <f t="shared" ca="1" si="106"/>
        <v>1350000</v>
      </c>
      <c r="R65" s="58">
        <f t="shared" ca="1" si="106"/>
        <v>1350000</v>
      </c>
      <c r="S65" s="58">
        <f t="shared" ca="1" si="106"/>
        <v>1350000</v>
      </c>
      <c r="T65" s="58">
        <f t="shared" ca="1" si="106"/>
        <v>1350000</v>
      </c>
      <c r="U65" s="58">
        <f t="shared" ca="1" si="106"/>
        <v>1350000</v>
      </c>
      <c r="V65" s="58">
        <f t="shared" ca="1" si="106"/>
        <v>1350000</v>
      </c>
      <c r="W65" s="58">
        <f t="shared" ca="1" si="106"/>
        <v>1350000</v>
      </c>
      <c r="X65" s="58">
        <f t="shared" ca="1" si="106"/>
        <v>1350000</v>
      </c>
      <c r="Y65" s="58">
        <f t="shared" ca="1" si="106"/>
        <v>1350000</v>
      </c>
      <c r="Z65" s="58">
        <f t="shared" ca="1" si="106"/>
        <v>1350000</v>
      </c>
      <c r="AA65" s="58">
        <f t="shared" ca="1" si="106"/>
        <v>1350000</v>
      </c>
      <c r="AB65" s="58">
        <f t="shared" ca="1" si="106"/>
        <v>1350000</v>
      </c>
      <c r="AC65" s="58">
        <f t="shared" ca="1" si="106"/>
        <v>1350000</v>
      </c>
      <c r="AD65" s="58">
        <f t="shared" ca="1" si="106"/>
        <v>1350000</v>
      </c>
      <c r="AE65" s="58">
        <f t="shared" ca="1" si="106"/>
        <v>1350000</v>
      </c>
      <c r="AF65" s="58">
        <f t="shared" ca="1" si="106"/>
        <v>1350000</v>
      </c>
      <c r="AG65" s="58">
        <f t="shared" ca="1" si="106"/>
        <v>1350000</v>
      </c>
      <c r="AH65" s="58">
        <f t="shared" ca="1" si="106"/>
        <v>1350000</v>
      </c>
      <c r="AI65" s="58">
        <f t="shared" ca="1" si="106"/>
        <v>1350000</v>
      </c>
      <c r="AJ65" s="58">
        <f t="shared" ca="1" si="106"/>
        <v>1350000</v>
      </c>
      <c r="AK65" s="58">
        <f t="shared" ca="1" si="106"/>
        <v>1350000</v>
      </c>
      <c r="AL65" s="58">
        <f t="shared" ca="1" si="106"/>
        <v>1350000</v>
      </c>
      <c r="AM65" s="58">
        <f t="shared" ca="1" si="106"/>
        <v>1350000</v>
      </c>
      <c r="AN65" s="58">
        <f t="shared" ca="1" si="106"/>
        <v>1350000</v>
      </c>
      <c r="AO65" s="58">
        <f t="shared" ca="1" si="106"/>
        <v>1350000</v>
      </c>
      <c r="AP65" s="58">
        <f t="shared" ca="1" si="106"/>
        <v>1350000</v>
      </c>
      <c r="AQ65" s="58">
        <f t="shared" ca="1" si="106"/>
        <v>1350000</v>
      </c>
      <c r="AR65" s="58">
        <f t="shared" ca="1" si="106"/>
        <v>1350000</v>
      </c>
      <c r="AS65" s="58">
        <f t="shared" ca="1" si="106"/>
        <v>1350000</v>
      </c>
      <c r="AT65" s="58">
        <f t="shared" ca="1" si="106"/>
        <v>1350000</v>
      </c>
      <c r="AU65" s="58">
        <f t="shared" ca="1" si="106"/>
        <v>1350000</v>
      </c>
      <c r="AV65" s="58">
        <f t="shared" ca="1" si="106"/>
        <v>1350000</v>
      </c>
      <c r="AW65" s="58">
        <f t="shared" ca="1" si="106"/>
        <v>1350000</v>
      </c>
      <c r="AX65" s="58">
        <f t="shared" ca="1" si="106"/>
        <v>1350000</v>
      </c>
      <c r="AY65" s="58">
        <f t="shared" ca="1" si="106"/>
        <v>1350000</v>
      </c>
      <c r="AZ65" s="58">
        <f t="shared" ca="1" si="106"/>
        <v>1350000</v>
      </c>
      <c r="BA65" s="58">
        <f t="shared" ca="1" si="106"/>
        <v>1350000</v>
      </c>
      <c r="BS65" s="5">
        <f t="shared" si="30"/>
        <v>0</v>
      </c>
      <c r="BT65" s="5" t="str">
        <f t="shared" si="31"/>
        <v>2028V_Vorsorg12</v>
      </c>
      <c r="BU65">
        <v>2028</v>
      </c>
      <c r="BV65" t="s">
        <v>95</v>
      </c>
      <c r="BW65">
        <v>12</v>
      </c>
      <c r="CA65">
        <v>7056</v>
      </c>
      <c r="CB65" t="s">
        <v>243</v>
      </c>
      <c r="CC65">
        <v>1</v>
      </c>
      <c r="CD65" s="5" t="str">
        <f t="shared" ca="1" si="21"/>
        <v>Sheldon</v>
      </c>
      <c r="CE65" s="5" t="str">
        <f t="shared" ca="1" si="22"/>
        <v>Neues Säule 3a Gefäss II</v>
      </c>
      <c r="CF65" s="5" t="str">
        <f t="shared" ca="1" si="23"/>
        <v>Sheldon - Neues Säule 3a Gefäss II - Einzahlung Maximalbetrag</v>
      </c>
      <c r="CG65" s="5"/>
    </row>
    <row r="66" spans="1:85" x14ac:dyDescent="0.25">
      <c r="A66" s="57" t="str" cm="1">
        <f t="array" aca="1" ref="A66:A67" ca="1">INDIRECT($B65&amp;"[Titel]")</f>
        <v>Liegenschaft in New York</v>
      </c>
      <c r="B66" s="57" cm="1">
        <f t="array" aca="1" ref="B66:B67" ca="1">INDIRECT($B65&amp;"[Id]")</f>
        <v>2</v>
      </c>
      <c r="C66" s="53" t="str" cm="1">
        <f t="array" aca="1" ref="C66:C67" ca="1">INDIRECT($B65&amp;"[Zugehörigkeit Bezeichnung]")</f>
        <v>Amy</v>
      </c>
      <c r="D66" s="54" cm="1">
        <f t="array" aca="1" ref="D66:D67" ca="1">INDIRECT($B65&amp;"[Rendite / Zins]")</f>
        <v>0</v>
      </c>
      <c r="E66" s="62" cm="1">
        <f t="array" aca="1" ref="E66:E67" ca="1">INDIRECT($B65&amp;"[Betrag]")</f>
        <v>700000</v>
      </c>
      <c r="F66" s="59" cm="1">
        <f t="array" aca="1" ref="F66:F67" ca="1">_xlfn.SWITCH(IFERROR(VLOOKUP(F$3&amp;$B$65&amp;_xlfn.ANCHORARRAY($B66),$BT:$CA,5,0),0),
0,_xlfn.ANCHORARRAY(E66)*(1+_xlfn.ANCHORARRAY($D66))+SUMIF($BT:$BT,F$3&amp;$B$65&amp;_xlfn.ANCHORARRAY($B66),$CA:$CA),
1,VLOOKUP(F$3&amp;$B$65&amp;_xlfn.ANCHORARRAY($B66),$BT:$CA,6,0),
2,_xlfn.ANCHORARRAY(E66)*(1+_xlfn.ANCHORARRAY($D66))*VLOOKUP(F$3&amp;$B$65&amp;_xlfn.ANCHORARRAY($B66),$BT:$CA,7,0))</f>
        <v>700000</v>
      </c>
      <c r="G66" s="59" cm="1">
        <f t="array" aca="1" ref="G66:G67" ca="1">_xlfn.SWITCH(IFERROR(VLOOKUP(G$3&amp;$B$65&amp;_xlfn.ANCHORARRAY($B66),$BT:$CA,5,0),0),
0,_xlfn.ANCHORARRAY(F66)*(1+_xlfn.ANCHORARRAY($D66))+SUMIF($BT:$BT,G$3&amp;$B$65&amp;_xlfn.ANCHORARRAY($B66),$CA:$CA),
1,VLOOKUP(G$3&amp;$B$65&amp;_xlfn.ANCHORARRAY($B66),$BT:$CA,6,0),
2,_xlfn.ANCHORARRAY(F66)*(1+_xlfn.ANCHORARRAY($D66))*VLOOKUP(G$3&amp;$B$65&amp;_xlfn.ANCHORARRAY($B66),$BT:$CA,7,0))</f>
        <v>700000</v>
      </c>
      <c r="H66" s="59" cm="1">
        <f t="array" aca="1" ref="H66:H67" ca="1">_xlfn.SWITCH(IFERROR(VLOOKUP(H$3&amp;$B$65&amp;_xlfn.ANCHORARRAY($B66),$BT:$CA,5,0),0),
0,_xlfn.ANCHORARRAY(G66)*(1+_xlfn.ANCHORARRAY($D66))+SUMIF($BT:$BT,H$3&amp;$B$65&amp;_xlfn.ANCHORARRAY($B66),$CA:$CA),
1,VLOOKUP(H$3&amp;$B$65&amp;_xlfn.ANCHORARRAY($B66),$BT:$CA,6,0),
2,_xlfn.ANCHORARRAY(G66)*(1+_xlfn.ANCHORARRAY($D66))*VLOOKUP(H$3&amp;$B$65&amp;_xlfn.ANCHORARRAY($B66),$BT:$CA,7,0))</f>
        <v>700000</v>
      </c>
      <c r="I66" s="59" cm="1">
        <f t="array" aca="1" ref="I66:I67" ca="1">_xlfn.SWITCH(IFERROR(VLOOKUP(I$3&amp;$B$65&amp;_xlfn.ANCHORARRAY($B66),$BT:$CA,5,0),0),
0,_xlfn.ANCHORARRAY(H66)*(1+_xlfn.ANCHORARRAY($D66))+SUMIF($BT:$BT,I$3&amp;$B$65&amp;_xlfn.ANCHORARRAY($B66),$CA:$CA),
1,VLOOKUP(I$3&amp;$B$65&amp;_xlfn.ANCHORARRAY($B66),$BT:$CA,6,0),
2,_xlfn.ANCHORARRAY(H66)*(1+_xlfn.ANCHORARRAY($D66))*VLOOKUP(I$3&amp;$B$65&amp;_xlfn.ANCHORARRAY($B66),$BT:$CA,7,0))</f>
        <v>700000</v>
      </c>
      <c r="J66" s="59" cm="1">
        <f t="array" aca="1" ref="J66:J67" ca="1">_xlfn.SWITCH(IFERROR(VLOOKUP(J$3&amp;$B$65&amp;_xlfn.ANCHORARRAY($B66),$BT:$CA,5,0),0),
0,_xlfn.ANCHORARRAY(I66)*(1+_xlfn.ANCHORARRAY($D66))+SUMIF($BT:$BT,J$3&amp;$B$65&amp;_xlfn.ANCHORARRAY($B66),$CA:$CA),
1,VLOOKUP(J$3&amp;$B$65&amp;_xlfn.ANCHORARRAY($B66),$BT:$CA,6,0),
2,_xlfn.ANCHORARRAY(I66)*(1+_xlfn.ANCHORARRAY($D66))*VLOOKUP(J$3&amp;$B$65&amp;_xlfn.ANCHORARRAY($B66),$BT:$CA,7,0))</f>
        <v>700000</v>
      </c>
      <c r="K66" s="59" cm="1">
        <f t="array" aca="1" ref="K66:K67" ca="1">_xlfn.SWITCH(IFERROR(VLOOKUP(K$3&amp;$B$65&amp;_xlfn.ANCHORARRAY($B66),$BT:$CA,5,0),0),
0,_xlfn.ANCHORARRAY(J66)*(1+_xlfn.ANCHORARRAY($D66))+SUMIF($BT:$BT,K$3&amp;$B$65&amp;_xlfn.ANCHORARRAY($B66),$CA:$CA),
1,VLOOKUP(K$3&amp;$B$65&amp;_xlfn.ANCHORARRAY($B66),$BT:$CA,6,0),
2,_xlfn.ANCHORARRAY(J66)*(1+_xlfn.ANCHORARRAY($D66))*VLOOKUP(K$3&amp;$B$65&amp;_xlfn.ANCHORARRAY($B66),$BT:$CA,7,0))</f>
        <v>700000</v>
      </c>
      <c r="L66" s="59" cm="1">
        <f t="array" aca="1" ref="L66:L67" ca="1">_xlfn.SWITCH(IFERROR(VLOOKUP(L$3&amp;$B$65&amp;_xlfn.ANCHORARRAY($B66),$BT:$CA,5,0),0),
0,_xlfn.ANCHORARRAY(K66)*(1+_xlfn.ANCHORARRAY($D66))+SUMIF($BT:$BT,L$3&amp;$B$65&amp;_xlfn.ANCHORARRAY($B66),$CA:$CA),
1,VLOOKUP(L$3&amp;$B$65&amp;_xlfn.ANCHORARRAY($B66),$BT:$CA,6,0),
2,_xlfn.ANCHORARRAY(K66)*(1+_xlfn.ANCHORARRAY($D66))*VLOOKUP(L$3&amp;$B$65&amp;_xlfn.ANCHORARRAY($B66),$BT:$CA,7,0))</f>
        <v>700000</v>
      </c>
      <c r="M66" s="59" cm="1">
        <f t="array" aca="1" ref="M66:M67" ca="1">_xlfn.SWITCH(IFERROR(VLOOKUP(M$3&amp;$B$65&amp;_xlfn.ANCHORARRAY($B66),$BT:$CA,5,0),0),
0,_xlfn.ANCHORARRAY(L66)*(1+_xlfn.ANCHORARRAY($D66))+SUMIF($BT:$BT,M$3&amp;$B$65&amp;_xlfn.ANCHORARRAY($B66),$CA:$CA),
1,VLOOKUP(M$3&amp;$B$65&amp;_xlfn.ANCHORARRAY($B66),$BT:$CA,6,0),
2,_xlfn.ANCHORARRAY(L66)*(1+_xlfn.ANCHORARRAY($D66))*VLOOKUP(M$3&amp;$B$65&amp;_xlfn.ANCHORARRAY($B66),$BT:$CA,7,0))</f>
        <v>700000</v>
      </c>
      <c r="N66" s="59" cm="1">
        <f t="array" aca="1" ref="N66:N67" ca="1">_xlfn.SWITCH(IFERROR(VLOOKUP(N$3&amp;$B$65&amp;_xlfn.ANCHORARRAY($B66),$BT:$CA,5,0),0),
0,_xlfn.ANCHORARRAY(M66)*(1+_xlfn.ANCHORARRAY($D66))+SUMIF($BT:$BT,N$3&amp;$B$65&amp;_xlfn.ANCHORARRAY($B66),$CA:$CA),
1,VLOOKUP(N$3&amp;$B$65&amp;_xlfn.ANCHORARRAY($B66),$BT:$CA,6,0),
2,_xlfn.ANCHORARRAY(M66)*(1+_xlfn.ANCHORARRAY($D66))*VLOOKUP(N$3&amp;$B$65&amp;_xlfn.ANCHORARRAY($B66),$BT:$CA,7,0))</f>
        <v>700000</v>
      </c>
      <c r="O66" s="59" cm="1">
        <f t="array" aca="1" ref="O66:O67" ca="1">_xlfn.SWITCH(IFERROR(VLOOKUP(O$3&amp;$B$65&amp;_xlfn.ANCHORARRAY($B66),$BT:$CA,5,0),0),
0,_xlfn.ANCHORARRAY(N66)*(1+_xlfn.ANCHORARRAY($D66))+SUMIF($BT:$BT,O$3&amp;$B$65&amp;_xlfn.ANCHORARRAY($B66),$CA:$CA),
1,VLOOKUP(O$3&amp;$B$65&amp;_xlfn.ANCHORARRAY($B66),$BT:$CA,6,0),
2,_xlfn.ANCHORARRAY(N66)*(1+_xlfn.ANCHORARRAY($D66))*VLOOKUP(O$3&amp;$B$65&amp;_xlfn.ANCHORARRAY($B66),$BT:$CA,7,0))</f>
        <v>700000</v>
      </c>
      <c r="P66" s="59" cm="1">
        <f t="array" aca="1" ref="P66:P67" ca="1">_xlfn.SWITCH(IFERROR(VLOOKUP(P$3&amp;$B$65&amp;_xlfn.ANCHORARRAY($B66),$BT:$CA,5,0),0),
0,_xlfn.ANCHORARRAY(O66)*(1+_xlfn.ANCHORARRAY($D66))+SUMIF($BT:$BT,P$3&amp;$B$65&amp;_xlfn.ANCHORARRAY($B66),$CA:$CA),
1,VLOOKUP(P$3&amp;$B$65&amp;_xlfn.ANCHORARRAY($B66),$BT:$CA,6,0),
2,_xlfn.ANCHORARRAY(O66)*(1+_xlfn.ANCHORARRAY($D66))*VLOOKUP(P$3&amp;$B$65&amp;_xlfn.ANCHORARRAY($B66),$BT:$CA,7,0))</f>
        <v>700000</v>
      </c>
      <c r="Q66" s="59" cm="1">
        <f t="array" aca="1" ref="Q66:Q67" ca="1">_xlfn.SWITCH(IFERROR(VLOOKUP(Q$3&amp;$B$65&amp;_xlfn.ANCHORARRAY($B66),$BT:$CA,5,0),0),
0,_xlfn.ANCHORARRAY(P66)*(1+_xlfn.ANCHORARRAY($D66))+SUMIF($BT:$BT,Q$3&amp;$B$65&amp;_xlfn.ANCHORARRAY($B66),$CA:$CA),
1,VLOOKUP(Q$3&amp;$B$65&amp;_xlfn.ANCHORARRAY($B66),$BT:$CA,6,0),
2,_xlfn.ANCHORARRAY(P66)*(1+_xlfn.ANCHORARRAY($D66))*VLOOKUP(Q$3&amp;$B$65&amp;_xlfn.ANCHORARRAY($B66),$BT:$CA,7,0))</f>
        <v>700000</v>
      </c>
      <c r="R66" s="59" cm="1">
        <f t="array" aca="1" ref="R66:R67" ca="1">_xlfn.SWITCH(IFERROR(VLOOKUP(R$3&amp;$B$65&amp;_xlfn.ANCHORARRAY($B66),$BT:$CA,5,0),0),
0,_xlfn.ANCHORARRAY(Q66)*(1+_xlfn.ANCHORARRAY($D66))+SUMIF($BT:$BT,R$3&amp;$B$65&amp;_xlfn.ANCHORARRAY($B66),$CA:$CA),
1,VLOOKUP(R$3&amp;$B$65&amp;_xlfn.ANCHORARRAY($B66),$BT:$CA,6,0),
2,_xlfn.ANCHORARRAY(Q66)*(1+_xlfn.ANCHORARRAY($D66))*VLOOKUP(R$3&amp;$B$65&amp;_xlfn.ANCHORARRAY($B66),$BT:$CA,7,0))</f>
        <v>700000</v>
      </c>
      <c r="S66" s="59" cm="1">
        <f t="array" aca="1" ref="S66:S67" ca="1">_xlfn.SWITCH(IFERROR(VLOOKUP(S$3&amp;$B$65&amp;_xlfn.ANCHORARRAY($B66),$BT:$CA,5,0),0),
0,_xlfn.ANCHORARRAY(R66)*(1+_xlfn.ANCHORARRAY($D66))+SUMIF($BT:$BT,S$3&amp;$B$65&amp;_xlfn.ANCHORARRAY($B66),$CA:$CA),
1,VLOOKUP(S$3&amp;$B$65&amp;_xlfn.ANCHORARRAY($B66),$BT:$CA,6,0),
2,_xlfn.ANCHORARRAY(R66)*(1+_xlfn.ANCHORARRAY($D66))*VLOOKUP(S$3&amp;$B$65&amp;_xlfn.ANCHORARRAY($B66),$BT:$CA,7,0))</f>
        <v>700000</v>
      </c>
      <c r="T66" s="59" cm="1">
        <f t="array" aca="1" ref="T66:T67" ca="1">_xlfn.SWITCH(IFERROR(VLOOKUP(T$3&amp;$B$65&amp;_xlfn.ANCHORARRAY($B66),$BT:$CA,5,0),0),
0,_xlfn.ANCHORARRAY(S66)*(1+_xlfn.ANCHORARRAY($D66))+SUMIF($BT:$BT,T$3&amp;$B$65&amp;_xlfn.ANCHORARRAY($B66),$CA:$CA),
1,VLOOKUP(T$3&amp;$B$65&amp;_xlfn.ANCHORARRAY($B66),$BT:$CA,6,0),
2,_xlfn.ANCHORARRAY(S66)*(1+_xlfn.ANCHORARRAY($D66))*VLOOKUP(T$3&amp;$B$65&amp;_xlfn.ANCHORARRAY($B66),$BT:$CA,7,0))</f>
        <v>700000</v>
      </c>
      <c r="U66" s="59" cm="1">
        <f t="array" aca="1" ref="U66:U67" ca="1">_xlfn.SWITCH(IFERROR(VLOOKUP(U$3&amp;$B$65&amp;_xlfn.ANCHORARRAY($B66),$BT:$CA,5,0),0),
0,_xlfn.ANCHORARRAY(T66)*(1+_xlfn.ANCHORARRAY($D66))+SUMIF($BT:$BT,U$3&amp;$B$65&amp;_xlfn.ANCHORARRAY($B66),$CA:$CA),
1,VLOOKUP(U$3&amp;$B$65&amp;_xlfn.ANCHORARRAY($B66),$BT:$CA,6,0),
2,_xlfn.ANCHORARRAY(T66)*(1+_xlfn.ANCHORARRAY($D66))*VLOOKUP(U$3&amp;$B$65&amp;_xlfn.ANCHORARRAY($B66),$BT:$CA,7,0))</f>
        <v>700000</v>
      </c>
      <c r="V66" s="59" cm="1">
        <f t="array" aca="1" ref="V66:V67" ca="1">_xlfn.SWITCH(IFERROR(VLOOKUP(V$3&amp;$B$65&amp;_xlfn.ANCHORARRAY($B66),$BT:$CA,5,0),0),
0,_xlfn.ANCHORARRAY(U66)*(1+_xlfn.ANCHORARRAY($D66))+SUMIF($BT:$BT,V$3&amp;$B$65&amp;_xlfn.ANCHORARRAY($B66),$CA:$CA),
1,VLOOKUP(V$3&amp;$B$65&amp;_xlfn.ANCHORARRAY($B66),$BT:$CA,6,0),
2,_xlfn.ANCHORARRAY(U66)*(1+_xlfn.ANCHORARRAY($D66))*VLOOKUP(V$3&amp;$B$65&amp;_xlfn.ANCHORARRAY($B66),$BT:$CA,7,0))</f>
        <v>700000</v>
      </c>
      <c r="W66" s="59" cm="1">
        <f t="array" aca="1" ref="W66:W67" ca="1">_xlfn.SWITCH(IFERROR(VLOOKUP(W$3&amp;$B$65&amp;_xlfn.ANCHORARRAY($B66),$BT:$CA,5,0),0),
0,_xlfn.ANCHORARRAY(V66)*(1+_xlfn.ANCHORARRAY($D66))+SUMIF($BT:$BT,W$3&amp;$B$65&amp;_xlfn.ANCHORARRAY($B66),$CA:$CA),
1,VLOOKUP(W$3&amp;$B$65&amp;_xlfn.ANCHORARRAY($B66),$BT:$CA,6,0),
2,_xlfn.ANCHORARRAY(V66)*(1+_xlfn.ANCHORARRAY($D66))*VLOOKUP(W$3&amp;$B$65&amp;_xlfn.ANCHORARRAY($B66),$BT:$CA,7,0))</f>
        <v>700000</v>
      </c>
      <c r="X66" s="59" cm="1">
        <f t="array" aca="1" ref="X66:X67" ca="1">_xlfn.SWITCH(IFERROR(VLOOKUP(X$3&amp;$B$65&amp;_xlfn.ANCHORARRAY($B66),$BT:$CA,5,0),0),
0,_xlfn.ANCHORARRAY(W66)*(1+_xlfn.ANCHORARRAY($D66))+SUMIF($BT:$BT,X$3&amp;$B$65&amp;_xlfn.ANCHORARRAY($B66),$CA:$CA),
1,VLOOKUP(X$3&amp;$B$65&amp;_xlfn.ANCHORARRAY($B66),$BT:$CA,6,0),
2,_xlfn.ANCHORARRAY(W66)*(1+_xlfn.ANCHORARRAY($D66))*VLOOKUP(X$3&amp;$B$65&amp;_xlfn.ANCHORARRAY($B66),$BT:$CA,7,0))</f>
        <v>700000</v>
      </c>
      <c r="Y66" s="59" cm="1">
        <f t="array" aca="1" ref="Y66:Y67" ca="1">_xlfn.SWITCH(IFERROR(VLOOKUP(Y$3&amp;$B$65&amp;_xlfn.ANCHORARRAY($B66),$BT:$CA,5,0),0),
0,_xlfn.ANCHORARRAY(X66)*(1+_xlfn.ANCHORARRAY($D66))+SUMIF($BT:$BT,Y$3&amp;$B$65&amp;_xlfn.ANCHORARRAY($B66),$CA:$CA),
1,VLOOKUP(Y$3&amp;$B$65&amp;_xlfn.ANCHORARRAY($B66),$BT:$CA,6,0),
2,_xlfn.ANCHORARRAY(X66)*(1+_xlfn.ANCHORARRAY($D66))*VLOOKUP(Y$3&amp;$B$65&amp;_xlfn.ANCHORARRAY($B66),$BT:$CA,7,0))</f>
        <v>700000</v>
      </c>
      <c r="Z66" s="59" cm="1">
        <f t="array" aca="1" ref="Z66:Z67" ca="1">_xlfn.SWITCH(IFERROR(VLOOKUP(Z$3&amp;$B$65&amp;_xlfn.ANCHORARRAY($B66),$BT:$CA,5,0),0),
0,_xlfn.ANCHORARRAY(Y66)*(1+_xlfn.ANCHORARRAY($D66))+SUMIF($BT:$BT,Z$3&amp;$B$65&amp;_xlfn.ANCHORARRAY($B66),$CA:$CA),
1,VLOOKUP(Z$3&amp;$B$65&amp;_xlfn.ANCHORARRAY($B66),$BT:$CA,6,0),
2,_xlfn.ANCHORARRAY(Y66)*(1+_xlfn.ANCHORARRAY($D66))*VLOOKUP(Z$3&amp;$B$65&amp;_xlfn.ANCHORARRAY($B66),$BT:$CA,7,0))</f>
        <v>700000</v>
      </c>
      <c r="AA66" s="59" cm="1">
        <f t="array" aca="1" ref="AA66:AA67" ca="1">_xlfn.SWITCH(IFERROR(VLOOKUP(AA$3&amp;$B$65&amp;_xlfn.ANCHORARRAY($B66),$BT:$CA,5,0),0),
0,_xlfn.ANCHORARRAY(Z66)*(1+_xlfn.ANCHORARRAY($D66))+SUMIF($BT:$BT,AA$3&amp;$B$65&amp;_xlfn.ANCHORARRAY($B66),$CA:$CA),
1,VLOOKUP(AA$3&amp;$B$65&amp;_xlfn.ANCHORARRAY($B66),$BT:$CA,6,0),
2,_xlfn.ANCHORARRAY(Z66)*(1+_xlfn.ANCHORARRAY($D66))*VLOOKUP(AA$3&amp;$B$65&amp;_xlfn.ANCHORARRAY($B66),$BT:$CA,7,0))</f>
        <v>700000</v>
      </c>
      <c r="AB66" s="59" cm="1">
        <f t="array" aca="1" ref="AB66:AB67" ca="1">_xlfn.SWITCH(IFERROR(VLOOKUP(AB$3&amp;$B$65&amp;_xlfn.ANCHORARRAY($B66),$BT:$CA,5,0),0),
0,_xlfn.ANCHORARRAY(AA66)*(1+_xlfn.ANCHORARRAY($D66))+SUMIF($BT:$BT,AB$3&amp;$B$65&amp;_xlfn.ANCHORARRAY($B66),$CA:$CA),
1,VLOOKUP(AB$3&amp;$B$65&amp;_xlfn.ANCHORARRAY($B66),$BT:$CA,6,0),
2,_xlfn.ANCHORARRAY(AA66)*(1+_xlfn.ANCHORARRAY($D66))*VLOOKUP(AB$3&amp;$B$65&amp;_xlfn.ANCHORARRAY($B66),$BT:$CA,7,0))</f>
        <v>700000</v>
      </c>
      <c r="AC66" s="59" cm="1">
        <f t="array" aca="1" ref="AC66:AC67" ca="1">_xlfn.SWITCH(IFERROR(VLOOKUP(AC$3&amp;$B$65&amp;_xlfn.ANCHORARRAY($B66),$BT:$CA,5,0),0),
0,_xlfn.ANCHORARRAY(AB66)*(1+_xlfn.ANCHORARRAY($D66))+SUMIF($BT:$BT,AC$3&amp;$B$65&amp;_xlfn.ANCHORARRAY($B66),$CA:$CA),
1,VLOOKUP(AC$3&amp;$B$65&amp;_xlfn.ANCHORARRAY($B66),$BT:$CA,6,0),
2,_xlfn.ANCHORARRAY(AB66)*(1+_xlfn.ANCHORARRAY($D66))*VLOOKUP(AC$3&amp;$B$65&amp;_xlfn.ANCHORARRAY($B66),$BT:$CA,7,0))</f>
        <v>700000</v>
      </c>
      <c r="AD66" s="59" cm="1">
        <f t="array" aca="1" ref="AD66:AD67" ca="1">_xlfn.SWITCH(IFERROR(VLOOKUP(AD$3&amp;$B$65&amp;_xlfn.ANCHORARRAY($B66),$BT:$CA,5,0),0),
0,_xlfn.ANCHORARRAY(AC66)*(1+_xlfn.ANCHORARRAY($D66))+SUMIF($BT:$BT,AD$3&amp;$B$65&amp;_xlfn.ANCHORARRAY($B66),$CA:$CA),
1,VLOOKUP(AD$3&amp;$B$65&amp;_xlfn.ANCHORARRAY($B66),$BT:$CA,6,0),
2,_xlfn.ANCHORARRAY(AC66)*(1+_xlfn.ANCHORARRAY($D66))*VLOOKUP(AD$3&amp;$B$65&amp;_xlfn.ANCHORARRAY($B66),$BT:$CA,7,0))</f>
        <v>700000</v>
      </c>
      <c r="AE66" s="59" cm="1">
        <f t="array" aca="1" ref="AE66:AE67" ca="1">_xlfn.SWITCH(IFERROR(VLOOKUP(AE$3&amp;$B$65&amp;_xlfn.ANCHORARRAY($B66),$BT:$CA,5,0),0),
0,_xlfn.ANCHORARRAY(AD66)*(1+_xlfn.ANCHORARRAY($D66))+SUMIF($BT:$BT,AE$3&amp;$B$65&amp;_xlfn.ANCHORARRAY($B66),$CA:$CA),
1,VLOOKUP(AE$3&amp;$B$65&amp;_xlfn.ANCHORARRAY($B66),$BT:$CA,6,0),
2,_xlfn.ANCHORARRAY(AD66)*(1+_xlfn.ANCHORARRAY($D66))*VLOOKUP(AE$3&amp;$B$65&amp;_xlfn.ANCHORARRAY($B66),$BT:$CA,7,0))</f>
        <v>700000</v>
      </c>
      <c r="AF66" s="59" cm="1">
        <f t="array" aca="1" ref="AF66:AF67" ca="1">_xlfn.SWITCH(IFERROR(VLOOKUP(AF$3&amp;$B$65&amp;_xlfn.ANCHORARRAY($B66),$BT:$CA,5,0),0),
0,_xlfn.ANCHORARRAY(AE66)*(1+_xlfn.ANCHORARRAY($D66))+SUMIF($BT:$BT,AF$3&amp;$B$65&amp;_xlfn.ANCHORARRAY($B66),$CA:$CA),
1,VLOOKUP(AF$3&amp;$B$65&amp;_xlfn.ANCHORARRAY($B66),$BT:$CA,6,0),
2,_xlfn.ANCHORARRAY(AE66)*(1+_xlfn.ANCHORARRAY($D66))*VLOOKUP(AF$3&amp;$B$65&amp;_xlfn.ANCHORARRAY($B66),$BT:$CA,7,0))</f>
        <v>700000</v>
      </c>
      <c r="AG66" s="59" cm="1">
        <f t="array" aca="1" ref="AG66:AG67" ca="1">_xlfn.SWITCH(IFERROR(VLOOKUP(AG$3&amp;$B$65&amp;_xlfn.ANCHORARRAY($B66),$BT:$CA,5,0),0),
0,_xlfn.ANCHORARRAY(AF66)*(1+_xlfn.ANCHORARRAY($D66))+SUMIF($BT:$BT,AG$3&amp;$B$65&amp;_xlfn.ANCHORARRAY($B66),$CA:$CA),
1,VLOOKUP(AG$3&amp;$B$65&amp;_xlfn.ANCHORARRAY($B66),$BT:$CA,6,0),
2,_xlfn.ANCHORARRAY(AF66)*(1+_xlfn.ANCHORARRAY($D66))*VLOOKUP(AG$3&amp;$B$65&amp;_xlfn.ANCHORARRAY($B66),$BT:$CA,7,0))</f>
        <v>700000</v>
      </c>
      <c r="AH66" s="59" cm="1">
        <f t="array" aca="1" ref="AH66:AH67" ca="1">_xlfn.SWITCH(IFERROR(VLOOKUP(AH$3&amp;$B$65&amp;_xlfn.ANCHORARRAY($B66),$BT:$CA,5,0),0),
0,_xlfn.ANCHORARRAY(AG66)*(1+_xlfn.ANCHORARRAY($D66))+SUMIF($BT:$BT,AH$3&amp;$B$65&amp;_xlfn.ANCHORARRAY($B66),$CA:$CA),
1,VLOOKUP(AH$3&amp;$B$65&amp;_xlfn.ANCHORARRAY($B66),$BT:$CA,6,0),
2,_xlfn.ANCHORARRAY(AG66)*(1+_xlfn.ANCHORARRAY($D66))*VLOOKUP(AH$3&amp;$B$65&amp;_xlfn.ANCHORARRAY($B66),$BT:$CA,7,0))</f>
        <v>700000</v>
      </c>
      <c r="AI66" s="59" cm="1">
        <f t="array" aca="1" ref="AI66:AI67" ca="1">_xlfn.SWITCH(IFERROR(VLOOKUP(AI$3&amp;$B$65&amp;_xlfn.ANCHORARRAY($B66),$BT:$CA,5,0),0),
0,_xlfn.ANCHORARRAY(AH66)*(1+_xlfn.ANCHORARRAY($D66))+SUMIF($BT:$BT,AI$3&amp;$B$65&amp;_xlfn.ANCHORARRAY($B66),$CA:$CA),
1,VLOOKUP(AI$3&amp;$B$65&amp;_xlfn.ANCHORARRAY($B66),$BT:$CA,6,0),
2,_xlfn.ANCHORARRAY(AH66)*(1+_xlfn.ANCHORARRAY($D66))*VLOOKUP(AI$3&amp;$B$65&amp;_xlfn.ANCHORARRAY($B66),$BT:$CA,7,0))</f>
        <v>700000</v>
      </c>
      <c r="AJ66" s="59" cm="1">
        <f t="array" aca="1" ref="AJ66:AJ67" ca="1">_xlfn.SWITCH(IFERROR(VLOOKUP(AJ$3&amp;$B$65&amp;_xlfn.ANCHORARRAY($B66),$BT:$CA,5,0),0),
0,_xlfn.ANCHORARRAY(AI66)*(1+_xlfn.ANCHORARRAY($D66))+SUMIF($BT:$BT,AJ$3&amp;$B$65&amp;_xlfn.ANCHORARRAY($B66),$CA:$CA),
1,VLOOKUP(AJ$3&amp;$B$65&amp;_xlfn.ANCHORARRAY($B66),$BT:$CA,6,0),
2,_xlfn.ANCHORARRAY(AI66)*(1+_xlfn.ANCHORARRAY($D66))*VLOOKUP(AJ$3&amp;$B$65&amp;_xlfn.ANCHORARRAY($B66),$BT:$CA,7,0))</f>
        <v>700000</v>
      </c>
      <c r="AK66" s="59" cm="1">
        <f t="array" aca="1" ref="AK66:AK67" ca="1">_xlfn.SWITCH(IFERROR(VLOOKUP(AK$3&amp;$B$65&amp;_xlfn.ANCHORARRAY($B66),$BT:$CA,5,0),0),
0,_xlfn.ANCHORARRAY(AJ66)*(1+_xlfn.ANCHORARRAY($D66))+SUMIF($BT:$BT,AK$3&amp;$B$65&amp;_xlfn.ANCHORARRAY($B66),$CA:$CA),
1,VLOOKUP(AK$3&amp;$B$65&amp;_xlfn.ANCHORARRAY($B66),$BT:$CA,6,0),
2,_xlfn.ANCHORARRAY(AJ66)*(1+_xlfn.ANCHORARRAY($D66))*VLOOKUP(AK$3&amp;$B$65&amp;_xlfn.ANCHORARRAY($B66),$BT:$CA,7,0))</f>
        <v>700000</v>
      </c>
      <c r="AL66" s="59" cm="1">
        <f t="array" aca="1" ref="AL66:AL67" ca="1">_xlfn.SWITCH(IFERROR(VLOOKUP(AL$3&amp;$B$65&amp;_xlfn.ANCHORARRAY($B66),$BT:$CA,5,0),0),
0,_xlfn.ANCHORARRAY(AK66)*(1+_xlfn.ANCHORARRAY($D66))+SUMIF($BT:$BT,AL$3&amp;$B$65&amp;_xlfn.ANCHORARRAY($B66),$CA:$CA),
1,VLOOKUP(AL$3&amp;$B$65&amp;_xlfn.ANCHORARRAY($B66),$BT:$CA,6,0),
2,_xlfn.ANCHORARRAY(AK66)*(1+_xlfn.ANCHORARRAY($D66))*VLOOKUP(AL$3&amp;$B$65&amp;_xlfn.ANCHORARRAY($B66),$BT:$CA,7,0))</f>
        <v>700000</v>
      </c>
      <c r="AM66" s="59" cm="1">
        <f t="array" aca="1" ref="AM66:AM67" ca="1">_xlfn.SWITCH(IFERROR(VLOOKUP(AM$3&amp;$B$65&amp;_xlfn.ANCHORARRAY($B66),$BT:$CA,5,0),0),
0,_xlfn.ANCHORARRAY(AL66)*(1+_xlfn.ANCHORARRAY($D66))+SUMIF($BT:$BT,AM$3&amp;$B$65&amp;_xlfn.ANCHORARRAY($B66),$CA:$CA),
1,VLOOKUP(AM$3&amp;$B$65&amp;_xlfn.ANCHORARRAY($B66),$BT:$CA,6,0),
2,_xlfn.ANCHORARRAY(AL66)*(1+_xlfn.ANCHORARRAY($D66))*VLOOKUP(AM$3&amp;$B$65&amp;_xlfn.ANCHORARRAY($B66),$BT:$CA,7,0))</f>
        <v>700000</v>
      </c>
      <c r="AN66" s="59" cm="1">
        <f t="array" aca="1" ref="AN66:AN67" ca="1">_xlfn.SWITCH(IFERROR(VLOOKUP(AN$3&amp;$B$65&amp;_xlfn.ANCHORARRAY($B66),$BT:$CA,5,0),0),
0,_xlfn.ANCHORARRAY(AM66)*(1+_xlfn.ANCHORARRAY($D66))+SUMIF($BT:$BT,AN$3&amp;$B$65&amp;_xlfn.ANCHORARRAY($B66),$CA:$CA),
1,VLOOKUP(AN$3&amp;$B$65&amp;_xlfn.ANCHORARRAY($B66),$BT:$CA,6,0),
2,_xlfn.ANCHORARRAY(AM66)*(1+_xlfn.ANCHORARRAY($D66))*VLOOKUP(AN$3&amp;$B$65&amp;_xlfn.ANCHORARRAY($B66),$BT:$CA,7,0))</f>
        <v>700000</v>
      </c>
      <c r="AO66" s="59" cm="1">
        <f t="array" aca="1" ref="AO66:AO67" ca="1">_xlfn.SWITCH(IFERROR(VLOOKUP(AO$3&amp;$B$65&amp;_xlfn.ANCHORARRAY($B66),$BT:$CA,5,0),0),
0,_xlfn.ANCHORARRAY(AN66)*(1+_xlfn.ANCHORARRAY($D66))+SUMIF($BT:$BT,AO$3&amp;$B$65&amp;_xlfn.ANCHORARRAY($B66),$CA:$CA),
1,VLOOKUP(AO$3&amp;$B$65&amp;_xlfn.ANCHORARRAY($B66),$BT:$CA,6,0),
2,_xlfn.ANCHORARRAY(AN66)*(1+_xlfn.ANCHORARRAY($D66))*VLOOKUP(AO$3&amp;$B$65&amp;_xlfn.ANCHORARRAY($B66),$BT:$CA,7,0))</f>
        <v>700000</v>
      </c>
      <c r="AP66" s="59" cm="1">
        <f t="array" aca="1" ref="AP66:AP67" ca="1">_xlfn.SWITCH(IFERROR(VLOOKUP(AP$3&amp;$B$65&amp;_xlfn.ANCHORARRAY($B66),$BT:$CA,5,0),0),
0,_xlfn.ANCHORARRAY(AO66)*(1+_xlfn.ANCHORARRAY($D66))+SUMIF($BT:$BT,AP$3&amp;$B$65&amp;_xlfn.ANCHORARRAY($B66),$CA:$CA),
1,VLOOKUP(AP$3&amp;$B$65&amp;_xlfn.ANCHORARRAY($B66),$BT:$CA,6,0),
2,_xlfn.ANCHORARRAY(AO66)*(1+_xlfn.ANCHORARRAY($D66))*VLOOKUP(AP$3&amp;$B$65&amp;_xlfn.ANCHORARRAY($B66),$BT:$CA,7,0))</f>
        <v>700000</v>
      </c>
      <c r="AQ66" s="59" cm="1">
        <f t="array" aca="1" ref="AQ66:AQ67" ca="1">_xlfn.SWITCH(IFERROR(VLOOKUP(AQ$3&amp;$B$65&amp;_xlfn.ANCHORARRAY($B66),$BT:$CA,5,0),0),
0,_xlfn.ANCHORARRAY(AP66)*(1+_xlfn.ANCHORARRAY($D66))+SUMIF($BT:$BT,AQ$3&amp;$B$65&amp;_xlfn.ANCHORARRAY($B66),$CA:$CA),
1,VLOOKUP(AQ$3&amp;$B$65&amp;_xlfn.ANCHORARRAY($B66),$BT:$CA,6,0),
2,_xlfn.ANCHORARRAY(AP66)*(1+_xlfn.ANCHORARRAY($D66))*VLOOKUP(AQ$3&amp;$B$65&amp;_xlfn.ANCHORARRAY($B66),$BT:$CA,7,0))</f>
        <v>700000</v>
      </c>
      <c r="AR66" s="59" cm="1">
        <f t="array" aca="1" ref="AR66:AR67" ca="1">_xlfn.SWITCH(IFERROR(VLOOKUP(AR$3&amp;$B$65&amp;_xlfn.ANCHORARRAY($B66),$BT:$CA,5,0),0),
0,_xlfn.ANCHORARRAY(AQ66)*(1+_xlfn.ANCHORARRAY($D66))+SUMIF($BT:$BT,AR$3&amp;$B$65&amp;_xlfn.ANCHORARRAY($B66),$CA:$CA),
1,VLOOKUP(AR$3&amp;$B$65&amp;_xlfn.ANCHORARRAY($B66),$BT:$CA,6,0),
2,_xlfn.ANCHORARRAY(AQ66)*(1+_xlfn.ANCHORARRAY($D66))*VLOOKUP(AR$3&amp;$B$65&amp;_xlfn.ANCHORARRAY($B66),$BT:$CA,7,0))</f>
        <v>700000</v>
      </c>
      <c r="AS66" s="59" cm="1">
        <f t="array" aca="1" ref="AS66:AS67" ca="1">_xlfn.SWITCH(IFERROR(VLOOKUP(AS$3&amp;$B$65&amp;_xlfn.ANCHORARRAY($B66),$BT:$CA,5,0),0),
0,_xlfn.ANCHORARRAY(AR66)*(1+_xlfn.ANCHORARRAY($D66))+SUMIF($BT:$BT,AS$3&amp;$B$65&amp;_xlfn.ANCHORARRAY($B66),$CA:$CA),
1,VLOOKUP(AS$3&amp;$B$65&amp;_xlfn.ANCHORARRAY($B66),$BT:$CA,6,0),
2,_xlfn.ANCHORARRAY(AR66)*(1+_xlfn.ANCHORARRAY($D66))*VLOOKUP(AS$3&amp;$B$65&amp;_xlfn.ANCHORARRAY($B66),$BT:$CA,7,0))</f>
        <v>700000</v>
      </c>
      <c r="AT66" s="59" cm="1">
        <f t="array" aca="1" ref="AT66:AT67" ca="1">_xlfn.SWITCH(IFERROR(VLOOKUP(AT$3&amp;$B$65&amp;_xlfn.ANCHORARRAY($B66),$BT:$CA,5,0),0),
0,_xlfn.ANCHORARRAY(AS66)*(1+_xlfn.ANCHORARRAY($D66))+SUMIF($BT:$BT,AT$3&amp;$B$65&amp;_xlfn.ANCHORARRAY($B66),$CA:$CA),
1,VLOOKUP(AT$3&amp;$B$65&amp;_xlfn.ANCHORARRAY($B66),$BT:$CA,6,0),
2,_xlfn.ANCHORARRAY(AS66)*(1+_xlfn.ANCHORARRAY($D66))*VLOOKUP(AT$3&amp;$B$65&amp;_xlfn.ANCHORARRAY($B66),$BT:$CA,7,0))</f>
        <v>700000</v>
      </c>
      <c r="AU66" s="59" cm="1">
        <f t="array" aca="1" ref="AU66:AU67" ca="1">_xlfn.SWITCH(IFERROR(VLOOKUP(AU$3&amp;$B$65&amp;_xlfn.ANCHORARRAY($B66),$BT:$CA,5,0),0),
0,_xlfn.ANCHORARRAY(AT66)*(1+_xlfn.ANCHORARRAY($D66))+SUMIF($BT:$BT,AU$3&amp;$B$65&amp;_xlfn.ANCHORARRAY($B66),$CA:$CA),
1,VLOOKUP(AU$3&amp;$B$65&amp;_xlfn.ANCHORARRAY($B66),$BT:$CA,6,0),
2,_xlfn.ANCHORARRAY(AT66)*(1+_xlfn.ANCHORARRAY($D66))*VLOOKUP(AU$3&amp;$B$65&amp;_xlfn.ANCHORARRAY($B66),$BT:$CA,7,0))</f>
        <v>700000</v>
      </c>
      <c r="AV66" s="59" cm="1">
        <f t="array" aca="1" ref="AV66:AV67" ca="1">_xlfn.SWITCH(IFERROR(VLOOKUP(AV$3&amp;$B$65&amp;_xlfn.ANCHORARRAY($B66),$BT:$CA,5,0),0),
0,_xlfn.ANCHORARRAY(AU66)*(1+_xlfn.ANCHORARRAY($D66))+SUMIF($BT:$BT,AV$3&amp;$B$65&amp;_xlfn.ANCHORARRAY($B66),$CA:$CA),
1,VLOOKUP(AV$3&amp;$B$65&amp;_xlfn.ANCHORARRAY($B66),$BT:$CA,6,0),
2,_xlfn.ANCHORARRAY(AU66)*(1+_xlfn.ANCHORARRAY($D66))*VLOOKUP(AV$3&amp;$B$65&amp;_xlfn.ANCHORARRAY($B66),$BT:$CA,7,0))</f>
        <v>700000</v>
      </c>
      <c r="AW66" s="59" cm="1">
        <f t="array" aca="1" ref="AW66:AW67" ca="1">_xlfn.SWITCH(IFERROR(VLOOKUP(AW$3&amp;$B$65&amp;_xlfn.ANCHORARRAY($B66),$BT:$CA,5,0),0),
0,_xlfn.ANCHORARRAY(AV66)*(1+_xlfn.ANCHORARRAY($D66))+SUMIF($BT:$BT,AW$3&amp;$B$65&amp;_xlfn.ANCHORARRAY($B66),$CA:$CA),
1,VLOOKUP(AW$3&amp;$B$65&amp;_xlfn.ANCHORARRAY($B66),$BT:$CA,6,0),
2,_xlfn.ANCHORARRAY(AV66)*(1+_xlfn.ANCHORARRAY($D66))*VLOOKUP(AW$3&amp;$B$65&amp;_xlfn.ANCHORARRAY($B66),$BT:$CA,7,0))</f>
        <v>700000</v>
      </c>
      <c r="AX66" s="59" cm="1">
        <f t="array" aca="1" ref="AX66:AX67" ca="1">_xlfn.SWITCH(IFERROR(VLOOKUP(AX$3&amp;$B$65&amp;_xlfn.ANCHORARRAY($B66),$BT:$CA,5,0),0),
0,_xlfn.ANCHORARRAY(AW66)*(1+_xlfn.ANCHORARRAY($D66))+SUMIF($BT:$BT,AX$3&amp;$B$65&amp;_xlfn.ANCHORARRAY($B66),$CA:$CA),
1,VLOOKUP(AX$3&amp;$B$65&amp;_xlfn.ANCHORARRAY($B66),$BT:$CA,6,0),
2,_xlfn.ANCHORARRAY(AW66)*(1+_xlfn.ANCHORARRAY($D66))*VLOOKUP(AX$3&amp;$B$65&amp;_xlfn.ANCHORARRAY($B66),$BT:$CA,7,0))</f>
        <v>700000</v>
      </c>
      <c r="AY66" s="59" cm="1">
        <f t="array" aca="1" ref="AY66:AY67" ca="1">_xlfn.SWITCH(IFERROR(VLOOKUP(AY$3&amp;$B$65&amp;_xlfn.ANCHORARRAY($B66),$BT:$CA,5,0),0),
0,_xlfn.ANCHORARRAY(AX66)*(1+_xlfn.ANCHORARRAY($D66))+SUMIF($BT:$BT,AY$3&amp;$B$65&amp;_xlfn.ANCHORARRAY($B66),$CA:$CA),
1,VLOOKUP(AY$3&amp;$B$65&amp;_xlfn.ANCHORARRAY($B66),$BT:$CA,6,0),
2,_xlfn.ANCHORARRAY(AX66)*(1+_xlfn.ANCHORARRAY($D66))*VLOOKUP(AY$3&amp;$B$65&amp;_xlfn.ANCHORARRAY($B66),$BT:$CA,7,0))</f>
        <v>700000</v>
      </c>
      <c r="AZ66" s="59" cm="1">
        <f t="array" aca="1" ref="AZ66:AZ67" ca="1">_xlfn.SWITCH(IFERROR(VLOOKUP(AZ$3&amp;$B$65&amp;_xlfn.ANCHORARRAY($B66),$BT:$CA,5,0),0),
0,_xlfn.ANCHORARRAY(AY66)*(1+_xlfn.ANCHORARRAY($D66))+SUMIF($BT:$BT,AZ$3&amp;$B$65&amp;_xlfn.ANCHORARRAY($B66),$CA:$CA),
1,VLOOKUP(AZ$3&amp;$B$65&amp;_xlfn.ANCHORARRAY($B66),$BT:$CA,6,0),
2,_xlfn.ANCHORARRAY(AY66)*(1+_xlfn.ANCHORARRAY($D66))*VLOOKUP(AZ$3&amp;$B$65&amp;_xlfn.ANCHORARRAY($B66),$BT:$CA,7,0))</f>
        <v>700000</v>
      </c>
      <c r="BA66" s="59" cm="1">
        <f t="array" aca="1" ref="BA66:BA67" ca="1">_xlfn.SWITCH(IFERROR(VLOOKUP(BA$3&amp;$B$65&amp;_xlfn.ANCHORARRAY($B66),$BT:$CA,5,0),0),
0,_xlfn.ANCHORARRAY(AZ66)*(1+_xlfn.ANCHORARRAY($D66))+SUMIF($BT:$BT,BA$3&amp;$B$65&amp;_xlfn.ANCHORARRAY($B66),$CA:$CA),
1,VLOOKUP(BA$3&amp;$B$65&amp;_xlfn.ANCHORARRAY($B66),$BT:$CA,6,0),
2,_xlfn.ANCHORARRAY(AZ66)*(1+_xlfn.ANCHORARRAY($D66))*VLOOKUP(BA$3&amp;$B$65&amp;_xlfn.ANCHORARRAY($B66),$BT:$CA,7,0))</f>
        <v>700000</v>
      </c>
      <c r="BS66" s="5">
        <f t="shared" ref="BS66:BS79" si="107">COUNTIF(BT:BT,BT66)-1</f>
        <v>0</v>
      </c>
      <c r="BT66" s="5" t="str">
        <f t="shared" ref="BT66:BT81" si="108">BU66&amp;BV66&amp;BW66</f>
        <v>2029V_Vorsorg13</v>
      </c>
      <c r="BU66">
        <v>2029</v>
      </c>
      <c r="BV66" t="s">
        <v>95</v>
      </c>
      <c r="BW66">
        <v>13</v>
      </c>
      <c r="BX66">
        <v>0</v>
      </c>
      <c r="CA66">
        <v>7056</v>
      </c>
      <c r="CB66" t="s">
        <v>254</v>
      </c>
      <c r="CC66">
        <v>1</v>
      </c>
      <c r="CD66" s="5" t="str">
        <f t="shared" ca="1" si="21"/>
        <v>Sheldon</v>
      </c>
      <c r="CE66" s="5" t="str">
        <f t="shared" ca="1" si="22"/>
        <v>Neues Säule 3a Gefäss III</v>
      </c>
      <c r="CF66" s="5" t="str">
        <f t="shared" ca="1" si="23"/>
        <v>Sheldon - Neues Säule 3a Gefäss III - Eröffnung neues Säule 3a Gefäss und Einzahlung Maximalbetrag</v>
      </c>
      <c r="CG66" s="5"/>
    </row>
    <row r="67" spans="1:85" x14ac:dyDescent="0.25">
      <c r="A67" s="57" t="str">
        <f ca="1"/>
        <v>Liegenschaft Pasadena</v>
      </c>
      <c r="B67" s="57">
        <f ca="1"/>
        <v>1</v>
      </c>
      <c r="C67" s="53" t="str">
        <f ca="1"/>
        <v>Sheldon</v>
      </c>
      <c r="D67" s="54">
        <f ca="1"/>
        <v>0</v>
      </c>
      <c r="E67" s="62">
        <f ca="1"/>
        <v>650000</v>
      </c>
      <c r="F67" s="59">
        <f ca="1"/>
        <v>650000</v>
      </c>
      <c r="G67" s="59">
        <f ca="1"/>
        <v>650000</v>
      </c>
      <c r="H67" s="59">
        <f ca="1"/>
        <v>650000</v>
      </c>
      <c r="I67" s="59">
        <f ca="1"/>
        <v>650000</v>
      </c>
      <c r="J67" s="59">
        <f ca="1"/>
        <v>650000</v>
      </c>
      <c r="K67" s="59">
        <f ca="1"/>
        <v>650000</v>
      </c>
      <c r="L67" s="59">
        <f ca="1"/>
        <v>650000</v>
      </c>
      <c r="M67" s="59">
        <f ca="1"/>
        <v>650000</v>
      </c>
      <c r="N67" s="59">
        <f ca="1"/>
        <v>650000</v>
      </c>
      <c r="O67" s="59">
        <f ca="1"/>
        <v>650000</v>
      </c>
      <c r="P67" s="59">
        <f ca="1"/>
        <v>650000</v>
      </c>
      <c r="Q67" s="59">
        <f ca="1"/>
        <v>650000</v>
      </c>
      <c r="R67" s="59">
        <f ca="1"/>
        <v>650000</v>
      </c>
      <c r="S67" s="59">
        <f ca="1"/>
        <v>650000</v>
      </c>
      <c r="T67" s="59">
        <f ca="1"/>
        <v>650000</v>
      </c>
      <c r="U67" s="59">
        <f ca="1"/>
        <v>650000</v>
      </c>
      <c r="V67" s="59">
        <f ca="1"/>
        <v>650000</v>
      </c>
      <c r="W67" s="59">
        <f ca="1"/>
        <v>650000</v>
      </c>
      <c r="X67" s="59">
        <f ca="1"/>
        <v>650000</v>
      </c>
      <c r="Y67" s="59">
        <f ca="1"/>
        <v>650000</v>
      </c>
      <c r="Z67" s="59">
        <f ca="1"/>
        <v>650000</v>
      </c>
      <c r="AA67" s="59">
        <f ca="1"/>
        <v>650000</v>
      </c>
      <c r="AB67" s="59">
        <f ca="1"/>
        <v>650000</v>
      </c>
      <c r="AC67" s="59">
        <f ca="1"/>
        <v>650000</v>
      </c>
      <c r="AD67" s="59">
        <f ca="1"/>
        <v>650000</v>
      </c>
      <c r="AE67" s="59">
        <f ca="1"/>
        <v>650000</v>
      </c>
      <c r="AF67" s="59">
        <f ca="1"/>
        <v>650000</v>
      </c>
      <c r="AG67" s="59">
        <f ca="1"/>
        <v>650000</v>
      </c>
      <c r="AH67" s="59">
        <f ca="1"/>
        <v>650000</v>
      </c>
      <c r="AI67" s="59">
        <f ca="1"/>
        <v>650000</v>
      </c>
      <c r="AJ67" s="59">
        <f ca="1"/>
        <v>650000</v>
      </c>
      <c r="AK67" s="59">
        <f ca="1"/>
        <v>650000</v>
      </c>
      <c r="AL67" s="59">
        <f ca="1"/>
        <v>650000</v>
      </c>
      <c r="AM67" s="59">
        <f ca="1"/>
        <v>650000</v>
      </c>
      <c r="AN67" s="59">
        <f ca="1"/>
        <v>650000</v>
      </c>
      <c r="AO67" s="59">
        <f ca="1"/>
        <v>650000</v>
      </c>
      <c r="AP67" s="59">
        <f ca="1"/>
        <v>650000</v>
      </c>
      <c r="AQ67" s="59">
        <f ca="1"/>
        <v>650000</v>
      </c>
      <c r="AR67" s="59">
        <f ca="1"/>
        <v>650000</v>
      </c>
      <c r="AS67" s="59">
        <f ca="1"/>
        <v>650000</v>
      </c>
      <c r="AT67" s="59">
        <f ca="1"/>
        <v>650000</v>
      </c>
      <c r="AU67" s="59">
        <f ca="1"/>
        <v>650000</v>
      </c>
      <c r="AV67" s="59">
        <f ca="1"/>
        <v>650000</v>
      </c>
      <c r="AW67" s="59">
        <f ca="1"/>
        <v>650000</v>
      </c>
      <c r="AX67" s="59">
        <f ca="1"/>
        <v>650000</v>
      </c>
      <c r="AY67" s="59">
        <f ca="1"/>
        <v>650000</v>
      </c>
      <c r="AZ67" s="59">
        <f ca="1"/>
        <v>650000</v>
      </c>
      <c r="BA67" s="59">
        <f ca="1"/>
        <v>650000</v>
      </c>
      <c r="BS67" s="5">
        <f t="shared" si="107"/>
        <v>0</v>
      </c>
      <c r="BT67" s="5" t="str">
        <f t="shared" si="108"/>
        <v>2030V_Vorsorg13</v>
      </c>
      <c r="BU67">
        <v>2030</v>
      </c>
      <c r="BV67" t="s">
        <v>95</v>
      </c>
      <c r="BW67">
        <v>13</v>
      </c>
      <c r="BX67">
        <v>1</v>
      </c>
      <c r="BY67" s="12">
        <v>0</v>
      </c>
      <c r="CB67" t="s">
        <v>244</v>
      </c>
      <c r="CC67">
        <v>1</v>
      </c>
      <c r="CD67" s="5" t="str">
        <f t="shared" ca="1" si="21"/>
        <v>Sheldon</v>
      </c>
      <c r="CE67" s="5" t="str">
        <f t="shared" ca="1" si="22"/>
        <v>Neues Säule 3a Gefäss III</v>
      </c>
      <c r="CF67" s="5" t="str">
        <f t="shared" ref="CF67" ca="1" si="109">_xlfn.TEXTJOIN(" - ",TRUE,CD67,CE67,CB67)</f>
        <v>Sheldon - Neues Säule 3a Gefäss III - Bezug</v>
      </c>
      <c r="CG67" s="5"/>
    </row>
    <row r="68" spans="1:85" hidden="1" x14ac:dyDescent="0.25">
      <c r="A68" s="57"/>
      <c r="B68" s="57"/>
      <c r="C68" s="53"/>
      <c r="D68" s="54"/>
      <c r="E68" s="62"/>
      <c r="F68" s="59"/>
      <c r="G68" s="59"/>
      <c r="H68" s="59"/>
      <c r="I68" s="59"/>
      <c r="J68" s="59"/>
      <c r="K68" s="59"/>
      <c r="L68" s="59"/>
      <c r="M68" s="59"/>
      <c r="N68" s="59"/>
      <c r="O68" s="59"/>
      <c r="P68" s="59"/>
      <c r="Q68" s="59"/>
      <c r="R68" s="59"/>
      <c r="S68" s="59"/>
      <c r="T68" s="59"/>
      <c r="U68" s="59"/>
      <c r="V68" s="59"/>
      <c r="W68" s="59"/>
      <c r="X68" s="59"/>
      <c r="Y68" s="59"/>
      <c r="Z68" s="59"/>
      <c r="AA68" s="59"/>
      <c r="AB68" s="59"/>
      <c r="AC68" s="59"/>
      <c r="AD68" s="59"/>
      <c r="AE68" s="59"/>
      <c r="AF68" s="59"/>
      <c r="AG68" s="59"/>
      <c r="AH68" s="59"/>
      <c r="AI68" s="59"/>
      <c r="AJ68" s="59"/>
      <c r="AK68" s="59"/>
      <c r="AL68" s="59"/>
      <c r="AM68" s="59"/>
      <c r="AN68" s="59"/>
      <c r="AO68" s="59"/>
      <c r="AP68" s="59"/>
      <c r="AQ68" s="59"/>
      <c r="AR68" s="59"/>
      <c r="AS68" s="59"/>
      <c r="AT68" s="59"/>
      <c r="AU68" s="59"/>
      <c r="AV68" s="59"/>
      <c r="AW68" s="59"/>
      <c r="AX68" s="59"/>
      <c r="AY68" s="59"/>
      <c r="AZ68" s="59"/>
      <c r="BA68" s="59"/>
      <c r="BS68" s="5">
        <f t="shared" si="107"/>
        <v>0</v>
      </c>
      <c r="BT68" s="5" t="str">
        <f t="shared" si="108"/>
        <v>2030V_Vorsorg12</v>
      </c>
      <c r="BU68">
        <v>2030</v>
      </c>
      <c r="BV68" t="s">
        <v>95</v>
      </c>
      <c r="BW68">
        <v>12</v>
      </c>
      <c r="CA68">
        <v>7056</v>
      </c>
      <c r="CB68" t="s">
        <v>243</v>
      </c>
      <c r="CC68">
        <v>1</v>
      </c>
      <c r="CD68" s="5" t="str">
        <f t="shared" ref="CD68:CD131" ca="1" si="110">INDEX(INDIRECT($BV68&amp;"[Zugehörigkeit Bezeichnung]"),MATCH($BW68,INDIRECT($BV68&amp;"[Id]"),0))</f>
        <v>Sheldon</v>
      </c>
      <c r="CE68" s="5" t="str">
        <f t="shared" ref="CE68:CE131" ca="1" si="111">INDEX(INDIRECT($BV68&amp;"[Titel]"),MATCH($BW68,INDIRECT($BV68&amp;"[Id]"),0))</f>
        <v>Neues Säule 3a Gefäss II</v>
      </c>
      <c r="CF68" s="5" t="str">
        <f t="shared" ref="CF68:CF131" ca="1" si="112">_xlfn.TEXTJOIN(" - ",TRUE,CD68,CE68,CB68)</f>
        <v>Sheldon - Neues Säule 3a Gefäss II - Einzahlung Maximalbetrag</v>
      </c>
      <c r="CG68" s="5"/>
    </row>
    <row r="69" spans="1:85" hidden="1" x14ac:dyDescent="0.25">
      <c r="A69" s="57"/>
      <c r="B69" s="57"/>
      <c r="C69" s="53"/>
      <c r="D69" s="54"/>
      <c r="E69" s="62"/>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c r="AE69" s="59"/>
      <c r="AF69" s="59"/>
      <c r="AG69" s="59"/>
      <c r="AH69" s="59"/>
      <c r="AI69" s="59"/>
      <c r="AJ69" s="59"/>
      <c r="AK69" s="59"/>
      <c r="AL69" s="59"/>
      <c r="AM69" s="59"/>
      <c r="AN69" s="59"/>
      <c r="AO69" s="59"/>
      <c r="AP69" s="59"/>
      <c r="AQ69" s="59"/>
      <c r="AR69" s="59"/>
      <c r="AS69" s="59"/>
      <c r="AT69" s="59"/>
      <c r="AU69" s="59"/>
      <c r="AV69" s="59"/>
      <c r="AW69" s="59"/>
      <c r="AX69" s="59"/>
      <c r="AY69" s="59"/>
      <c r="AZ69" s="59"/>
      <c r="BA69" s="59"/>
      <c r="BS69" s="5">
        <f t="shared" si="107"/>
        <v>0</v>
      </c>
      <c r="BT69" s="5" t="str">
        <f t="shared" si="108"/>
        <v>2025V_Vorsorg4</v>
      </c>
      <c r="BU69">
        <v>2025</v>
      </c>
      <c r="BV69" t="s">
        <v>95</v>
      </c>
      <c r="BW69">
        <v>4</v>
      </c>
      <c r="BX69">
        <v>1</v>
      </c>
      <c r="BY69" s="12">
        <v>0</v>
      </c>
      <c r="CB69" t="s">
        <v>244</v>
      </c>
      <c r="CC69">
        <v>1</v>
      </c>
      <c r="CD69" s="5" t="str">
        <f t="shared" ca="1" si="110"/>
        <v>Sheldon</v>
      </c>
      <c r="CE69" s="5" t="str">
        <f t="shared" ca="1" si="111"/>
        <v>PostFinance Säule 3a Depot II</v>
      </c>
      <c r="CF69" s="5" t="str">
        <f t="shared" ca="1" si="112"/>
        <v>Sheldon - PostFinance Säule 3a Depot II - Bezug</v>
      </c>
      <c r="CG69" s="5"/>
    </row>
    <row r="70" spans="1:85" ht="27.6" customHeight="1" x14ac:dyDescent="0.25">
      <c r="A70" s="56" t="s">
        <v>98</v>
      </c>
      <c r="B70" s="57" t="s">
        <v>99</v>
      </c>
      <c r="C70" s="53"/>
      <c r="D70" s="54"/>
      <c r="E70" s="64">
        <f ca="1">SUM(E71:E81)</f>
        <v>-880000</v>
      </c>
      <c r="F70" s="58">
        <f ca="1">SUM(F71:F81)</f>
        <v>-880000</v>
      </c>
      <c r="G70" s="58">
        <f t="shared" ref="G70" ca="1" si="113">SUM(G71:G81)</f>
        <v>-880000</v>
      </c>
      <c r="H70" s="58">
        <f t="shared" ref="H70" ca="1" si="114">SUM(H71:H81)</f>
        <v>-880000</v>
      </c>
      <c r="I70" s="58">
        <f t="shared" ref="I70" ca="1" si="115">SUM(I71:I81)</f>
        <v>-880000</v>
      </c>
      <c r="J70" s="58">
        <f t="shared" ref="J70" ca="1" si="116">SUM(J71:J81)</f>
        <v>-880000</v>
      </c>
      <c r="K70" s="58">
        <f t="shared" ref="K70" ca="1" si="117">SUM(K71:K81)</f>
        <v>-880000</v>
      </c>
      <c r="L70" s="58">
        <f t="shared" ref="L70" ca="1" si="118">SUM(L71:L81)</f>
        <v>-880000</v>
      </c>
      <c r="M70" s="58">
        <f t="shared" ref="M70" ca="1" si="119">SUM(M71:M81)</f>
        <v>-880000</v>
      </c>
      <c r="N70" s="58">
        <f t="shared" ref="N70" ca="1" si="120">SUM(N71:N81)</f>
        <v>-880000</v>
      </c>
      <c r="O70" s="58">
        <f t="shared" ref="O70" ca="1" si="121">SUM(O71:O81)</f>
        <v>-880000</v>
      </c>
      <c r="P70" s="58">
        <f t="shared" ref="P70" ca="1" si="122">SUM(P71:P81)</f>
        <v>-880000</v>
      </c>
      <c r="Q70" s="58">
        <f t="shared" ref="Q70" ca="1" si="123">SUM(Q71:Q81)</f>
        <v>-880000</v>
      </c>
      <c r="R70" s="58">
        <f t="shared" ref="R70" ca="1" si="124">SUM(R71:R81)</f>
        <v>-880000</v>
      </c>
      <c r="S70" s="58">
        <f t="shared" ref="S70" ca="1" si="125">SUM(S71:S81)</f>
        <v>-880000</v>
      </c>
      <c r="T70" s="58">
        <f t="shared" ref="T70" ca="1" si="126">SUM(T71:T81)</f>
        <v>-880000</v>
      </c>
      <c r="U70" s="58">
        <f t="shared" ref="U70" ca="1" si="127">SUM(U71:U81)</f>
        <v>-880000</v>
      </c>
      <c r="V70" s="58">
        <f t="shared" ref="V70" ca="1" si="128">SUM(V71:V81)</f>
        <v>-880000</v>
      </c>
      <c r="W70" s="58">
        <f t="shared" ref="W70" ca="1" si="129">SUM(W71:W81)</f>
        <v>-880000</v>
      </c>
      <c r="X70" s="58">
        <f t="shared" ref="X70" ca="1" si="130">SUM(X71:X81)</f>
        <v>-880000</v>
      </c>
      <c r="Y70" s="58">
        <f t="shared" ref="Y70" ca="1" si="131">SUM(Y71:Y81)</f>
        <v>-880000</v>
      </c>
      <c r="Z70" s="58">
        <f t="shared" ref="Z70" ca="1" si="132">SUM(Z71:Z81)</f>
        <v>-880000</v>
      </c>
      <c r="AA70" s="58">
        <f t="shared" ref="AA70" ca="1" si="133">SUM(AA71:AA81)</f>
        <v>-880000</v>
      </c>
      <c r="AB70" s="58">
        <f t="shared" ref="AB70" ca="1" si="134">SUM(AB71:AB81)</f>
        <v>-880000</v>
      </c>
      <c r="AC70" s="58">
        <f t="shared" ref="AC70" ca="1" si="135">SUM(AC71:AC81)</f>
        <v>-880000</v>
      </c>
      <c r="AD70" s="58">
        <f t="shared" ref="AD70" ca="1" si="136">SUM(AD71:AD81)</f>
        <v>-880000</v>
      </c>
      <c r="AE70" s="58">
        <f t="shared" ref="AE70" ca="1" si="137">SUM(AE71:AE81)</f>
        <v>-880000</v>
      </c>
      <c r="AF70" s="58">
        <f t="shared" ref="AF70" ca="1" si="138">SUM(AF71:AF81)</f>
        <v>-880000</v>
      </c>
      <c r="AG70" s="58">
        <f t="shared" ref="AG70" ca="1" si="139">SUM(AG71:AG81)</f>
        <v>-880000</v>
      </c>
      <c r="AH70" s="58">
        <f t="shared" ref="AH70" ca="1" si="140">SUM(AH71:AH81)</f>
        <v>-880000</v>
      </c>
      <c r="AI70" s="58">
        <f t="shared" ref="AI70" ca="1" si="141">SUM(AI71:AI81)</f>
        <v>-880000</v>
      </c>
      <c r="AJ70" s="58">
        <f t="shared" ref="AJ70" ca="1" si="142">SUM(AJ71:AJ81)</f>
        <v>-880000</v>
      </c>
      <c r="AK70" s="58">
        <f t="shared" ref="AK70" ca="1" si="143">SUM(AK71:AK81)</f>
        <v>-880000</v>
      </c>
      <c r="AL70" s="58">
        <f t="shared" ref="AL70" ca="1" si="144">SUM(AL71:AL81)</f>
        <v>-880000</v>
      </c>
      <c r="AM70" s="58">
        <f t="shared" ref="AM70" ca="1" si="145">SUM(AM71:AM81)</f>
        <v>-880000</v>
      </c>
      <c r="AN70" s="58">
        <f t="shared" ref="AN70" ca="1" si="146">SUM(AN71:AN81)</f>
        <v>-880000</v>
      </c>
      <c r="AO70" s="58">
        <f t="shared" ref="AO70" ca="1" si="147">SUM(AO71:AO81)</f>
        <v>-880000</v>
      </c>
      <c r="AP70" s="58">
        <f t="shared" ref="AP70" ca="1" si="148">SUM(AP71:AP81)</f>
        <v>-880000</v>
      </c>
      <c r="AQ70" s="58">
        <f t="shared" ref="AQ70" ca="1" si="149">SUM(AQ71:AQ81)</f>
        <v>-880000</v>
      </c>
      <c r="AR70" s="58">
        <f t="shared" ref="AR70" ca="1" si="150">SUM(AR71:AR81)</f>
        <v>-880000</v>
      </c>
      <c r="AS70" s="58">
        <f t="shared" ref="AS70" ca="1" si="151">SUM(AS71:AS81)</f>
        <v>-880000</v>
      </c>
      <c r="AT70" s="58">
        <f t="shared" ref="AT70" ca="1" si="152">SUM(AT71:AT81)</f>
        <v>-880000</v>
      </c>
      <c r="AU70" s="58">
        <f t="shared" ref="AU70" ca="1" si="153">SUM(AU71:AU81)</f>
        <v>-880000</v>
      </c>
      <c r="AV70" s="58">
        <f t="shared" ref="AV70" ca="1" si="154">SUM(AV71:AV81)</f>
        <v>-880000</v>
      </c>
      <c r="AW70" s="58">
        <f t="shared" ref="AW70" ca="1" si="155">SUM(AW71:AW81)</f>
        <v>-880000</v>
      </c>
      <c r="AX70" s="58">
        <f t="shared" ref="AX70" ca="1" si="156">SUM(AX71:AX81)</f>
        <v>-880000</v>
      </c>
      <c r="AY70" s="58">
        <f t="shared" ref="AY70" ca="1" si="157">SUM(AY71:AY81)</f>
        <v>-880000</v>
      </c>
      <c r="AZ70" s="58">
        <f t="shared" ref="AZ70" ca="1" si="158">SUM(AZ71:AZ81)</f>
        <v>-880000</v>
      </c>
      <c r="BA70" s="58">
        <f t="shared" ref="BA70" ca="1" si="159">SUM(BA71:BA81)</f>
        <v>-880000</v>
      </c>
      <c r="BS70" s="5">
        <f t="shared" si="107"/>
        <v>0</v>
      </c>
      <c r="BT70" s="5" t="str">
        <f t="shared" si="108"/>
        <v>2026V_Vorsorg3</v>
      </c>
      <c r="BU70">
        <v>2026</v>
      </c>
      <c r="BV70" t="s">
        <v>95</v>
      </c>
      <c r="BW70">
        <v>3</v>
      </c>
      <c r="BX70">
        <v>1</v>
      </c>
      <c r="BY70" s="12">
        <v>0</v>
      </c>
      <c r="CB70" t="s">
        <v>244</v>
      </c>
      <c r="CC70">
        <v>1</v>
      </c>
      <c r="CD70" s="5" t="str">
        <f t="shared" ca="1" si="110"/>
        <v>Sheldon</v>
      </c>
      <c r="CE70" s="5" t="str">
        <f t="shared" ca="1" si="111"/>
        <v>PostFinance Säule 3a Depot I</v>
      </c>
      <c r="CF70" s="5" t="str">
        <f t="shared" ca="1" si="112"/>
        <v>Sheldon - PostFinance Säule 3a Depot I - Bezug</v>
      </c>
      <c r="CG70" s="5"/>
    </row>
    <row r="71" spans="1:85" x14ac:dyDescent="0.25">
      <c r="A71" s="57" t="str" cm="1">
        <f t="array" aca="1" ref="A71:A75" ca="1">INDIRECT($B70&amp;"[Titel]")</f>
        <v>MigrosBank SARON</v>
      </c>
      <c r="B71" s="57" cm="1">
        <f t="array" aca="1" ref="B71:B75" ca="1">INDIRECT($B70&amp;"[Id]")</f>
        <v>1</v>
      </c>
      <c r="C71" s="53" t="str" cm="1">
        <f t="array" aca="1" ref="C71:C75" ca="1">INDIRECT($B70&amp;"[Zugehörigkeit Bezeichnung]")</f>
        <v>Amy</v>
      </c>
      <c r="D71" s="54" cm="1">
        <f t="array" aca="1" ref="D71:D75" ca="1">INDIRECT($B70&amp;"[Rendite / Zins]")</f>
        <v>0.02</v>
      </c>
      <c r="E71" s="62" cm="1">
        <f t="array" aca="1" ref="E71:E75" ca="1">INDIRECT($B70&amp;"[Betrag]")</f>
        <v>-180000</v>
      </c>
      <c r="F71" s="59" cm="1">
        <f t="array" aca="1" ref="F71:F75" ca="1">_xlfn.SWITCH(IFERROR(VLOOKUP(F$3&amp;$B$70&amp;_xlfn.ANCHORARRAY($B71),$BT:$CA,5,0),0),
0,_xlfn.ANCHORARRAY(E71)+SUMIF($BT:$BT,F$3&amp;$B$70&amp;_xlfn.ANCHORARRAY($B71),$CA:$CA),
1,VLOOKUP(F$3&amp;$B$70&amp;_xlfn.ANCHORARRAY($B71),$BT:$CA,6,0),
2,_xlfn.ANCHORARRAY(E71)*VLOOKUP(F$3&amp;$B$70&amp;_xlfn.ANCHORARRAY($B71),$BT:$CA,7,0))</f>
        <v>-180000</v>
      </c>
      <c r="G71" s="59" cm="1">
        <f t="array" aca="1" ref="G71:G75" ca="1">_xlfn.SWITCH(IFERROR(VLOOKUP(G$3&amp;$B$70&amp;_xlfn.ANCHORARRAY($B71),$BT:$CA,5,0),0),
0,_xlfn.ANCHORARRAY(F71)+SUMIF($BT:$BT,G$3&amp;$B$70&amp;_xlfn.ANCHORARRAY($B71),$CA:$CA),
1,VLOOKUP(G$3&amp;$B$70&amp;_xlfn.ANCHORARRAY($B71),$BT:$CA,6,0),
2,_xlfn.ANCHORARRAY(F71)*VLOOKUP(G$3&amp;$B$70&amp;_xlfn.ANCHORARRAY($B71),$BT:$CA,7,0))</f>
        <v>-180000</v>
      </c>
      <c r="H71" s="59" cm="1">
        <f t="array" aca="1" ref="H71:H75" ca="1">_xlfn.SWITCH(IFERROR(VLOOKUP(H$3&amp;$B$70&amp;_xlfn.ANCHORARRAY($B71),$BT:$CA,5,0),0),
0,_xlfn.ANCHORARRAY(G71)+SUMIF($BT:$BT,H$3&amp;$B$70&amp;_xlfn.ANCHORARRAY($B71),$CA:$CA),
1,VLOOKUP(H$3&amp;$B$70&amp;_xlfn.ANCHORARRAY($B71),$BT:$CA,6,0),
2,_xlfn.ANCHORARRAY(G71)*VLOOKUP(H$3&amp;$B$70&amp;_xlfn.ANCHORARRAY($B71),$BT:$CA,7,0))</f>
        <v>-180000</v>
      </c>
      <c r="I71" s="59" cm="1">
        <f t="array" aca="1" ref="I71:I75" ca="1">_xlfn.SWITCH(IFERROR(VLOOKUP(I$3&amp;$B$70&amp;_xlfn.ANCHORARRAY($B71),$BT:$CA,5,0),0),
0,_xlfn.ANCHORARRAY(H71)+SUMIF($BT:$BT,I$3&amp;$B$70&amp;_xlfn.ANCHORARRAY($B71),$CA:$CA),
1,VLOOKUP(I$3&amp;$B$70&amp;_xlfn.ANCHORARRAY($B71),$BT:$CA,6,0),
2,_xlfn.ANCHORARRAY(H71)*VLOOKUP(I$3&amp;$B$70&amp;_xlfn.ANCHORARRAY($B71),$BT:$CA,7,0))</f>
        <v>-180000</v>
      </c>
      <c r="J71" s="59" cm="1">
        <f t="array" aca="1" ref="J71:J75" ca="1">_xlfn.SWITCH(IFERROR(VLOOKUP(J$3&amp;$B$70&amp;_xlfn.ANCHORARRAY($B71),$BT:$CA,5,0),0),
0,_xlfn.ANCHORARRAY(I71)+SUMIF($BT:$BT,J$3&amp;$B$70&amp;_xlfn.ANCHORARRAY($B71),$CA:$CA),
1,VLOOKUP(J$3&amp;$B$70&amp;_xlfn.ANCHORARRAY($B71),$BT:$CA,6,0),
2,_xlfn.ANCHORARRAY(I71)*VLOOKUP(J$3&amp;$B$70&amp;_xlfn.ANCHORARRAY($B71),$BT:$CA,7,0))</f>
        <v>0</v>
      </c>
      <c r="K71" s="59" cm="1">
        <f t="array" aca="1" ref="K71:K75" ca="1">_xlfn.SWITCH(IFERROR(VLOOKUP(K$3&amp;$B$70&amp;_xlfn.ANCHORARRAY($B71),$BT:$CA,5,0),0),
0,_xlfn.ANCHORARRAY(J71)+SUMIF($BT:$BT,K$3&amp;$B$70&amp;_xlfn.ANCHORARRAY($B71),$CA:$CA),
1,VLOOKUP(K$3&amp;$B$70&amp;_xlfn.ANCHORARRAY($B71),$BT:$CA,6,0),
2,_xlfn.ANCHORARRAY(J71)*VLOOKUP(K$3&amp;$B$70&amp;_xlfn.ANCHORARRAY($B71),$BT:$CA,7,0))</f>
        <v>0</v>
      </c>
      <c r="L71" s="59" cm="1">
        <f t="array" aca="1" ref="L71:L75" ca="1">_xlfn.SWITCH(IFERROR(VLOOKUP(L$3&amp;$B$70&amp;_xlfn.ANCHORARRAY($B71),$BT:$CA,5,0),0),
0,_xlfn.ANCHORARRAY(K71)+SUMIF($BT:$BT,L$3&amp;$B$70&amp;_xlfn.ANCHORARRAY($B71),$CA:$CA),
1,VLOOKUP(L$3&amp;$B$70&amp;_xlfn.ANCHORARRAY($B71),$BT:$CA,6,0),
2,_xlfn.ANCHORARRAY(K71)*VLOOKUP(L$3&amp;$B$70&amp;_xlfn.ANCHORARRAY($B71),$BT:$CA,7,0))</f>
        <v>0</v>
      </c>
      <c r="M71" s="59" cm="1">
        <f t="array" aca="1" ref="M71:M75" ca="1">_xlfn.SWITCH(IFERROR(VLOOKUP(M$3&amp;$B$70&amp;_xlfn.ANCHORARRAY($B71),$BT:$CA,5,0),0),
0,_xlfn.ANCHORARRAY(L71)+SUMIF($BT:$BT,M$3&amp;$B$70&amp;_xlfn.ANCHORARRAY($B71),$CA:$CA),
1,VLOOKUP(M$3&amp;$B$70&amp;_xlfn.ANCHORARRAY($B71),$BT:$CA,6,0),
2,_xlfn.ANCHORARRAY(L71)*VLOOKUP(M$3&amp;$B$70&amp;_xlfn.ANCHORARRAY($B71),$BT:$CA,7,0))</f>
        <v>0</v>
      </c>
      <c r="N71" s="59" cm="1">
        <f t="array" aca="1" ref="N71:N75" ca="1">_xlfn.SWITCH(IFERROR(VLOOKUP(N$3&amp;$B$70&amp;_xlfn.ANCHORARRAY($B71),$BT:$CA,5,0),0),
0,_xlfn.ANCHORARRAY(M71)+SUMIF($BT:$BT,N$3&amp;$B$70&amp;_xlfn.ANCHORARRAY($B71),$CA:$CA),
1,VLOOKUP(N$3&amp;$B$70&amp;_xlfn.ANCHORARRAY($B71),$BT:$CA,6,0),
2,_xlfn.ANCHORARRAY(M71)*VLOOKUP(N$3&amp;$B$70&amp;_xlfn.ANCHORARRAY($B71),$BT:$CA,7,0))</f>
        <v>0</v>
      </c>
      <c r="O71" s="59" cm="1">
        <f t="array" aca="1" ref="O71:O75" ca="1">_xlfn.SWITCH(IFERROR(VLOOKUP(O$3&amp;$B$70&amp;_xlfn.ANCHORARRAY($B71),$BT:$CA,5,0),0),
0,_xlfn.ANCHORARRAY(N71)+SUMIF($BT:$BT,O$3&amp;$B$70&amp;_xlfn.ANCHORARRAY($B71),$CA:$CA),
1,VLOOKUP(O$3&amp;$B$70&amp;_xlfn.ANCHORARRAY($B71),$BT:$CA,6,0),
2,_xlfn.ANCHORARRAY(N71)*VLOOKUP(O$3&amp;$B$70&amp;_xlfn.ANCHORARRAY($B71),$BT:$CA,7,0))</f>
        <v>0</v>
      </c>
      <c r="P71" s="59" cm="1">
        <f t="array" aca="1" ref="P71:P75" ca="1">_xlfn.SWITCH(IFERROR(VLOOKUP(P$3&amp;$B$70&amp;_xlfn.ANCHORARRAY($B71),$BT:$CA,5,0),0),
0,_xlfn.ANCHORARRAY(O71)+SUMIF($BT:$BT,P$3&amp;$B$70&amp;_xlfn.ANCHORARRAY($B71),$CA:$CA),
1,VLOOKUP(P$3&amp;$B$70&amp;_xlfn.ANCHORARRAY($B71),$BT:$CA,6,0),
2,_xlfn.ANCHORARRAY(O71)*VLOOKUP(P$3&amp;$B$70&amp;_xlfn.ANCHORARRAY($B71),$BT:$CA,7,0))</f>
        <v>0</v>
      </c>
      <c r="Q71" s="59" cm="1">
        <f t="array" aca="1" ref="Q71:Q75" ca="1">_xlfn.SWITCH(IFERROR(VLOOKUP(Q$3&amp;$B$70&amp;_xlfn.ANCHORARRAY($B71),$BT:$CA,5,0),0),
0,_xlfn.ANCHORARRAY(P71)+SUMIF($BT:$BT,Q$3&amp;$B$70&amp;_xlfn.ANCHORARRAY($B71),$CA:$CA),
1,VLOOKUP(Q$3&amp;$B$70&amp;_xlfn.ANCHORARRAY($B71),$BT:$CA,6,0),
2,_xlfn.ANCHORARRAY(P71)*VLOOKUP(Q$3&amp;$B$70&amp;_xlfn.ANCHORARRAY($B71),$BT:$CA,7,0))</f>
        <v>0</v>
      </c>
      <c r="R71" s="59" cm="1">
        <f t="array" aca="1" ref="R71:R75" ca="1">_xlfn.SWITCH(IFERROR(VLOOKUP(R$3&amp;$B$70&amp;_xlfn.ANCHORARRAY($B71),$BT:$CA,5,0),0),
0,_xlfn.ANCHORARRAY(Q71)+SUMIF($BT:$BT,R$3&amp;$B$70&amp;_xlfn.ANCHORARRAY($B71),$CA:$CA),
1,VLOOKUP(R$3&amp;$B$70&amp;_xlfn.ANCHORARRAY($B71),$BT:$CA,6,0),
2,_xlfn.ANCHORARRAY(Q71)*VLOOKUP(R$3&amp;$B$70&amp;_xlfn.ANCHORARRAY($B71),$BT:$CA,7,0))</f>
        <v>0</v>
      </c>
      <c r="S71" s="59" cm="1">
        <f t="array" aca="1" ref="S71:S75" ca="1">_xlfn.SWITCH(IFERROR(VLOOKUP(S$3&amp;$B$70&amp;_xlfn.ANCHORARRAY($B71),$BT:$CA,5,0),0),
0,_xlfn.ANCHORARRAY(R71)+SUMIF($BT:$BT,S$3&amp;$B$70&amp;_xlfn.ANCHORARRAY($B71),$CA:$CA),
1,VLOOKUP(S$3&amp;$B$70&amp;_xlfn.ANCHORARRAY($B71),$BT:$CA,6,0),
2,_xlfn.ANCHORARRAY(R71)*VLOOKUP(S$3&amp;$B$70&amp;_xlfn.ANCHORARRAY($B71),$BT:$CA,7,0))</f>
        <v>0</v>
      </c>
      <c r="T71" s="59" cm="1">
        <f t="array" aca="1" ref="T71:T75" ca="1">_xlfn.SWITCH(IFERROR(VLOOKUP(T$3&amp;$B$70&amp;_xlfn.ANCHORARRAY($B71),$BT:$CA,5,0),0),
0,_xlfn.ANCHORARRAY(S71)+SUMIF($BT:$BT,T$3&amp;$B$70&amp;_xlfn.ANCHORARRAY($B71),$CA:$CA),
1,VLOOKUP(T$3&amp;$B$70&amp;_xlfn.ANCHORARRAY($B71),$BT:$CA,6,0),
2,_xlfn.ANCHORARRAY(S71)*VLOOKUP(T$3&amp;$B$70&amp;_xlfn.ANCHORARRAY($B71),$BT:$CA,7,0))</f>
        <v>0</v>
      </c>
      <c r="U71" s="59" cm="1">
        <f t="array" aca="1" ref="U71:U75" ca="1">_xlfn.SWITCH(IFERROR(VLOOKUP(U$3&amp;$B$70&amp;_xlfn.ANCHORARRAY($B71),$BT:$CA,5,0),0),
0,_xlfn.ANCHORARRAY(T71)+SUMIF($BT:$BT,U$3&amp;$B$70&amp;_xlfn.ANCHORARRAY($B71),$CA:$CA),
1,VLOOKUP(U$3&amp;$B$70&amp;_xlfn.ANCHORARRAY($B71),$BT:$CA,6,0),
2,_xlfn.ANCHORARRAY(T71)*VLOOKUP(U$3&amp;$B$70&amp;_xlfn.ANCHORARRAY($B71),$BT:$CA,7,0))</f>
        <v>0</v>
      </c>
      <c r="V71" s="59" cm="1">
        <f t="array" aca="1" ref="V71:V75" ca="1">_xlfn.SWITCH(IFERROR(VLOOKUP(V$3&amp;$B$70&amp;_xlfn.ANCHORARRAY($B71),$BT:$CA,5,0),0),
0,_xlfn.ANCHORARRAY(U71)+SUMIF($BT:$BT,V$3&amp;$B$70&amp;_xlfn.ANCHORARRAY($B71),$CA:$CA),
1,VLOOKUP(V$3&amp;$B$70&amp;_xlfn.ANCHORARRAY($B71),$BT:$CA,6,0),
2,_xlfn.ANCHORARRAY(U71)*VLOOKUP(V$3&amp;$B$70&amp;_xlfn.ANCHORARRAY($B71),$BT:$CA,7,0))</f>
        <v>0</v>
      </c>
      <c r="W71" s="59" cm="1">
        <f t="array" aca="1" ref="W71:W75" ca="1">_xlfn.SWITCH(IFERROR(VLOOKUP(W$3&amp;$B$70&amp;_xlfn.ANCHORARRAY($B71),$BT:$CA,5,0),0),
0,_xlfn.ANCHORARRAY(V71)+SUMIF($BT:$BT,W$3&amp;$B$70&amp;_xlfn.ANCHORARRAY($B71),$CA:$CA),
1,VLOOKUP(W$3&amp;$B$70&amp;_xlfn.ANCHORARRAY($B71),$BT:$CA,6,0),
2,_xlfn.ANCHORARRAY(V71)*VLOOKUP(W$3&amp;$B$70&amp;_xlfn.ANCHORARRAY($B71),$BT:$CA,7,0))</f>
        <v>0</v>
      </c>
      <c r="X71" s="59" cm="1">
        <f t="array" aca="1" ref="X71:X75" ca="1">_xlfn.SWITCH(IFERROR(VLOOKUP(X$3&amp;$B$70&amp;_xlfn.ANCHORARRAY($B71),$BT:$CA,5,0),0),
0,_xlfn.ANCHORARRAY(W71)+SUMIF($BT:$BT,X$3&amp;$B$70&amp;_xlfn.ANCHORARRAY($B71),$CA:$CA),
1,VLOOKUP(X$3&amp;$B$70&amp;_xlfn.ANCHORARRAY($B71),$BT:$CA,6,0),
2,_xlfn.ANCHORARRAY(W71)*VLOOKUP(X$3&amp;$B$70&amp;_xlfn.ANCHORARRAY($B71),$BT:$CA,7,0))</f>
        <v>0</v>
      </c>
      <c r="Y71" s="59" cm="1">
        <f t="array" aca="1" ref="Y71:Y75" ca="1">_xlfn.SWITCH(IFERROR(VLOOKUP(Y$3&amp;$B$70&amp;_xlfn.ANCHORARRAY($B71),$BT:$CA,5,0),0),
0,_xlfn.ANCHORARRAY(X71)+SUMIF($BT:$BT,Y$3&amp;$B$70&amp;_xlfn.ANCHORARRAY($B71),$CA:$CA),
1,VLOOKUP(Y$3&amp;$B$70&amp;_xlfn.ANCHORARRAY($B71),$BT:$CA,6,0),
2,_xlfn.ANCHORARRAY(X71)*VLOOKUP(Y$3&amp;$B$70&amp;_xlfn.ANCHORARRAY($B71),$BT:$CA,7,0))</f>
        <v>0</v>
      </c>
      <c r="Z71" s="59" cm="1">
        <f t="array" aca="1" ref="Z71:Z75" ca="1">_xlfn.SWITCH(IFERROR(VLOOKUP(Z$3&amp;$B$70&amp;_xlfn.ANCHORARRAY($B71),$BT:$CA,5,0),0),
0,_xlfn.ANCHORARRAY(Y71)+SUMIF($BT:$BT,Z$3&amp;$B$70&amp;_xlfn.ANCHORARRAY($B71),$CA:$CA),
1,VLOOKUP(Z$3&amp;$B$70&amp;_xlfn.ANCHORARRAY($B71),$BT:$CA,6,0),
2,_xlfn.ANCHORARRAY(Y71)*VLOOKUP(Z$3&amp;$B$70&amp;_xlfn.ANCHORARRAY($B71),$BT:$CA,7,0))</f>
        <v>0</v>
      </c>
      <c r="AA71" s="59" cm="1">
        <f t="array" aca="1" ref="AA71:AA75" ca="1">_xlfn.SWITCH(IFERROR(VLOOKUP(AA$3&amp;$B$70&amp;_xlfn.ANCHORARRAY($B71),$BT:$CA,5,0),0),
0,_xlfn.ANCHORARRAY(Z71)+SUMIF($BT:$BT,AA$3&amp;$B$70&amp;_xlfn.ANCHORARRAY($B71),$CA:$CA),
1,VLOOKUP(AA$3&amp;$B$70&amp;_xlfn.ANCHORARRAY($B71),$BT:$CA,6,0),
2,_xlfn.ANCHORARRAY(Z71)*VLOOKUP(AA$3&amp;$B$70&amp;_xlfn.ANCHORARRAY($B71),$BT:$CA,7,0))</f>
        <v>0</v>
      </c>
      <c r="AB71" s="59" cm="1">
        <f t="array" aca="1" ref="AB71:AB75" ca="1">_xlfn.SWITCH(IFERROR(VLOOKUP(AB$3&amp;$B$70&amp;_xlfn.ANCHORARRAY($B71),$BT:$CA,5,0),0),
0,_xlfn.ANCHORARRAY(AA71)+SUMIF($BT:$BT,AB$3&amp;$B$70&amp;_xlfn.ANCHORARRAY($B71),$CA:$CA),
1,VLOOKUP(AB$3&amp;$B$70&amp;_xlfn.ANCHORARRAY($B71),$BT:$CA,6,0),
2,_xlfn.ANCHORARRAY(AA71)*VLOOKUP(AB$3&amp;$B$70&amp;_xlfn.ANCHORARRAY($B71),$BT:$CA,7,0))</f>
        <v>0</v>
      </c>
      <c r="AC71" s="59" cm="1">
        <f t="array" aca="1" ref="AC71:AC75" ca="1">_xlfn.SWITCH(IFERROR(VLOOKUP(AC$3&amp;$B$70&amp;_xlfn.ANCHORARRAY($B71),$BT:$CA,5,0),0),
0,_xlfn.ANCHORARRAY(AB71)+SUMIF($BT:$BT,AC$3&amp;$B$70&amp;_xlfn.ANCHORARRAY($B71),$CA:$CA),
1,VLOOKUP(AC$3&amp;$B$70&amp;_xlfn.ANCHORARRAY($B71),$BT:$CA,6,0),
2,_xlfn.ANCHORARRAY(AB71)*VLOOKUP(AC$3&amp;$B$70&amp;_xlfn.ANCHORARRAY($B71),$BT:$CA,7,0))</f>
        <v>0</v>
      </c>
      <c r="AD71" s="59" cm="1">
        <f t="array" aca="1" ref="AD71:AD75" ca="1">_xlfn.SWITCH(IFERROR(VLOOKUP(AD$3&amp;$B$70&amp;_xlfn.ANCHORARRAY($B71),$BT:$CA,5,0),0),
0,_xlfn.ANCHORARRAY(AC71)+SUMIF($BT:$BT,AD$3&amp;$B$70&amp;_xlfn.ANCHORARRAY($B71),$CA:$CA),
1,VLOOKUP(AD$3&amp;$B$70&amp;_xlfn.ANCHORARRAY($B71),$BT:$CA,6,0),
2,_xlfn.ANCHORARRAY(AC71)*VLOOKUP(AD$3&amp;$B$70&amp;_xlfn.ANCHORARRAY($B71),$BT:$CA,7,0))</f>
        <v>0</v>
      </c>
      <c r="AE71" s="59" cm="1">
        <f t="array" aca="1" ref="AE71:AE75" ca="1">_xlfn.SWITCH(IFERROR(VLOOKUP(AE$3&amp;$B$70&amp;_xlfn.ANCHORARRAY($B71),$BT:$CA,5,0),0),
0,_xlfn.ANCHORARRAY(AD71)+SUMIF($BT:$BT,AE$3&amp;$B$70&amp;_xlfn.ANCHORARRAY($B71),$CA:$CA),
1,VLOOKUP(AE$3&amp;$B$70&amp;_xlfn.ANCHORARRAY($B71),$BT:$CA,6,0),
2,_xlfn.ANCHORARRAY(AD71)*VLOOKUP(AE$3&amp;$B$70&amp;_xlfn.ANCHORARRAY($B71),$BT:$CA,7,0))</f>
        <v>0</v>
      </c>
      <c r="AF71" s="59" cm="1">
        <f t="array" aca="1" ref="AF71:AF75" ca="1">_xlfn.SWITCH(IFERROR(VLOOKUP(AF$3&amp;$B$70&amp;_xlfn.ANCHORARRAY($B71),$BT:$CA,5,0),0),
0,_xlfn.ANCHORARRAY(AE71)+SUMIF($BT:$BT,AF$3&amp;$B$70&amp;_xlfn.ANCHORARRAY($B71),$CA:$CA),
1,VLOOKUP(AF$3&amp;$B$70&amp;_xlfn.ANCHORARRAY($B71),$BT:$CA,6,0),
2,_xlfn.ANCHORARRAY(AE71)*VLOOKUP(AF$3&amp;$B$70&amp;_xlfn.ANCHORARRAY($B71),$BT:$CA,7,0))</f>
        <v>0</v>
      </c>
      <c r="AG71" s="59" cm="1">
        <f t="array" aca="1" ref="AG71:AG75" ca="1">_xlfn.SWITCH(IFERROR(VLOOKUP(AG$3&amp;$B$70&amp;_xlfn.ANCHORARRAY($B71),$BT:$CA,5,0),0),
0,_xlfn.ANCHORARRAY(AF71)+SUMIF($BT:$BT,AG$3&amp;$B$70&amp;_xlfn.ANCHORARRAY($B71),$CA:$CA),
1,VLOOKUP(AG$3&amp;$B$70&amp;_xlfn.ANCHORARRAY($B71),$BT:$CA,6,0),
2,_xlfn.ANCHORARRAY(AF71)*VLOOKUP(AG$3&amp;$B$70&amp;_xlfn.ANCHORARRAY($B71),$BT:$CA,7,0))</f>
        <v>0</v>
      </c>
      <c r="AH71" s="59" cm="1">
        <f t="array" aca="1" ref="AH71:AH75" ca="1">_xlfn.SWITCH(IFERROR(VLOOKUP(AH$3&amp;$B$70&amp;_xlfn.ANCHORARRAY($B71),$BT:$CA,5,0),0),
0,_xlfn.ANCHORARRAY(AG71)+SUMIF($BT:$BT,AH$3&amp;$B$70&amp;_xlfn.ANCHORARRAY($B71),$CA:$CA),
1,VLOOKUP(AH$3&amp;$B$70&amp;_xlfn.ANCHORARRAY($B71),$BT:$CA,6,0),
2,_xlfn.ANCHORARRAY(AG71)*VLOOKUP(AH$3&amp;$B$70&amp;_xlfn.ANCHORARRAY($B71),$BT:$CA,7,0))</f>
        <v>0</v>
      </c>
      <c r="AI71" s="59" cm="1">
        <f t="array" aca="1" ref="AI71:AI75" ca="1">_xlfn.SWITCH(IFERROR(VLOOKUP(AI$3&amp;$B$70&amp;_xlfn.ANCHORARRAY($B71),$BT:$CA,5,0),0),
0,_xlfn.ANCHORARRAY(AH71)+SUMIF($BT:$BT,AI$3&amp;$B$70&amp;_xlfn.ANCHORARRAY($B71),$CA:$CA),
1,VLOOKUP(AI$3&amp;$B$70&amp;_xlfn.ANCHORARRAY($B71),$BT:$CA,6,0),
2,_xlfn.ANCHORARRAY(AH71)*VLOOKUP(AI$3&amp;$B$70&amp;_xlfn.ANCHORARRAY($B71),$BT:$CA,7,0))</f>
        <v>0</v>
      </c>
      <c r="AJ71" s="59" cm="1">
        <f t="array" aca="1" ref="AJ71:AJ75" ca="1">_xlfn.SWITCH(IFERROR(VLOOKUP(AJ$3&amp;$B$70&amp;_xlfn.ANCHORARRAY($B71),$BT:$CA,5,0),0),
0,_xlfn.ANCHORARRAY(AI71)+SUMIF($BT:$BT,AJ$3&amp;$B$70&amp;_xlfn.ANCHORARRAY($B71),$CA:$CA),
1,VLOOKUP(AJ$3&amp;$B$70&amp;_xlfn.ANCHORARRAY($B71),$BT:$CA,6,0),
2,_xlfn.ANCHORARRAY(AI71)*VLOOKUP(AJ$3&amp;$B$70&amp;_xlfn.ANCHORARRAY($B71),$BT:$CA,7,0))</f>
        <v>0</v>
      </c>
      <c r="AK71" s="59" cm="1">
        <f t="array" aca="1" ref="AK71:AK75" ca="1">_xlfn.SWITCH(IFERROR(VLOOKUP(AK$3&amp;$B$70&amp;_xlfn.ANCHORARRAY($B71),$BT:$CA,5,0),0),
0,_xlfn.ANCHORARRAY(AJ71)+SUMIF($BT:$BT,AK$3&amp;$B$70&amp;_xlfn.ANCHORARRAY($B71),$CA:$CA),
1,VLOOKUP(AK$3&amp;$B$70&amp;_xlfn.ANCHORARRAY($B71),$BT:$CA,6,0),
2,_xlfn.ANCHORARRAY(AJ71)*VLOOKUP(AK$3&amp;$B$70&amp;_xlfn.ANCHORARRAY($B71),$BT:$CA,7,0))</f>
        <v>0</v>
      </c>
      <c r="AL71" s="59" cm="1">
        <f t="array" aca="1" ref="AL71:AL75" ca="1">_xlfn.SWITCH(IFERROR(VLOOKUP(AL$3&amp;$B$70&amp;_xlfn.ANCHORARRAY($B71),$BT:$CA,5,0),0),
0,_xlfn.ANCHORARRAY(AK71)+SUMIF($BT:$BT,AL$3&amp;$B$70&amp;_xlfn.ANCHORARRAY($B71),$CA:$CA),
1,VLOOKUP(AL$3&amp;$B$70&amp;_xlfn.ANCHORARRAY($B71),$BT:$CA,6,0),
2,_xlfn.ANCHORARRAY(AK71)*VLOOKUP(AL$3&amp;$B$70&amp;_xlfn.ANCHORARRAY($B71),$BT:$CA,7,0))</f>
        <v>0</v>
      </c>
      <c r="AM71" s="59" cm="1">
        <f t="array" aca="1" ref="AM71:AM75" ca="1">_xlfn.SWITCH(IFERROR(VLOOKUP(AM$3&amp;$B$70&amp;_xlfn.ANCHORARRAY($B71),$BT:$CA,5,0),0),
0,_xlfn.ANCHORARRAY(AL71)+SUMIF($BT:$BT,AM$3&amp;$B$70&amp;_xlfn.ANCHORARRAY($B71),$CA:$CA),
1,VLOOKUP(AM$3&amp;$B$70&amp;_xlfn.ANCHORARRAY($B71),$BT:$CA,6,0),
2,_xlfn.ANCHORARRAY(AL71)*VLOOKUP(AM$3&amp;$B$70&amp;_xlfn.ANCHORARRAY($B71),$BT:$CA,7,0))</f>
        <v>0</v>
      </c>
      <c r="AN71" s="59" cm="1">
        <f t="array" aca="1" ref="AN71:AN75" ca="1">_xlfn.SWITCH(IFERROR(VLOOKUP(AN$3&amp;$B$70&amp;_xlfn.ANCHORARRAY($B71),$BT:$CA,5,0),0),
0,_xlfn.ANCHORARRAY(AM71)+SUMIF($BT:$BT,AN$3&amp;$B$70&amp;_xlfn.ANCHORARRAY($B71),$CA:$CA),
1,VLOOKUP(AN$3&amp;$B$70&amp;_xlfn.ANCHORARRAY($B71),$BT:$CA,6,0),
2,_xlfn.ANCHORARRAY(AM71)*VLOOKUP(AN$3&amp;$B$70&amp;_xlfn.ANCHORARRAY($B71),$BT:$CA,7,0))</f>
        <v>0</v>
      </c>
      <c r="AO71" s="59" cm="1">
        <f t="array" aca="1" ref="AO71:AO75" ca="1">_xlfn.SWITCH(IFERROR(VLOOKUP(AO$3&amp;$B$70&amp;_xlfn.ANCHORARRAY($B71),$BT:$CA,5,0),0),
0,_xlfn.ANCHORARRAY(AN71)+SUMIF($BT:$BT,AO$3&amp;$B$70&amp;_xlfn.ANCHORARRAY($B71),$CA:$CA),
1,VLOOKUP(AO$3&amp;$B$70&amp;_xlfn.ANCHORARRAY($B71),$BT:$CA,6,0),
2,_xlfn.ANCHORARRAY(AN71)*VLOOKUP(AO$3&amp;$B$70&amp;_xlfn.ANCHORARRAY($B71),$BT:$CA,7,0))</f>
        <v>0</v>
      </c>
      <c r="AP71" s="59" cm="1">
        <f t="array" aca="1" ref="AP71:AP75" ca="1">_xlfn.SWITCH(IFERROR(VLOOKUP(AP$3&amp;$B$70&amp;_xlfn.ANCHORARRAY($B71),$BT:$CA,5,0),0),
0,_xlfn.ANCHORARRAY(AO71)+SUMIF($BT:$BT,AP$3&amp;$B$70&amp;_xlfn.ANCHORARRAY($B71),$CA:$CA),
1,VLOOKUP(AP$3&amp;$B$70&amp;_xlfn.ANCHORARRAY($B71),$BT:$CA,6,0),
2,_xlfn.ANCHORARRAY(AO71)*VLOOKUP(AP$3&amp;$B$70&amp;_xlfn.ANCHORARRAY($B71),$BT:$CA,7,0))</f>
        <v>0</v>
      </c>
      <c r="AQ71" s="59" cm="1">
        <f t="array" aca="1" ref="AQ71:AQ75" ca="1">_xlfn.SWITCH(IFERROR(VLOOKUP(AQ$3&amp;$B$70&amp;_xlfn.ANCHORARRAY($B71),$BT:$CA,5,0),0),
0,_xlfn.ANCHORARRAY(AP71)+SUMIF($BT:$BT,AQ$3&amp;$B$70&amp;_xlfn.ANCHORARRAY($B71),$CA:$CA),
1,VLOOKUP(AQ$3&amp;$B$70&amp;_xlfn.ANCHORARRAY($B71),$BT:$CA,6,0),
2,_xlfn.ANCHORARRAY(AP71)*VLOOKUP(AQ$3&amp;$B$70&amp;_xlfn.ANCHORARRAY($B71),$BT:$CA,7,0))</f>
        <v>0</v>
      </c>
      <c r="AR71" s="59" cm="1">
        <f t="array" aca="1" ref="AR71:AR75" ca="1">_xlfn.SWITCH(IFERROR(VLOOKUP(AR$3&amp;$B$70&amp;_xlfn.ANCHORARRAY($B71),$BT:$CA,5,0),0),
0,_xlfn.ANCHORARRAY(AQ71)+SUMIF($BT:$BT,AR$3&amp;$B$70&amp;_xlfn.ANCHORARRAY($B71),$CA:$CA),
1,VLOOKUP(AR$3&amp;$B$70&amp;_xlfn.ANCHORARRAY($B71),$BT:$CA,6,0),
2,_xlfn.ANCHORARRAY(AQ71)*VLOOKUP(AR$3&amp;$B$70&amp;_xlfn.ANCHORARRAY($B71),$BT:$CA,7,0))</f>
        <v>0</v>
      </c>
      <c r="AS71" s="59" cm="1">
        <f t="array" aca="1" ref="AS71:AS75" ca="1">_xlfn.SWITCH(IFERROR(VLOOKUP(AS$3&amp;$B$70&amp;_xlfn.ANCHORARRAY($B71),$BT:$CA,5,0),0),
0,_xlfn.ANCHORARRAY(AR71)+SUMIF($BT:$BT,AS$3&amp;$B$70&amp;_xlfn.ANCHORARRAY($B71),$CA:$CA),
1,VLOOKUP(AS$3&amp;$B$70&amp;_xlfn.ANCHORARRAY($B71),$BT:$CA,6,0),
2,_xlfn.ANCHORARRAY(AR71)*VLOOKUP(AS$3&amp;$B$70&amp;_xlfn.ANCHORARRAY($B71),$BT:$CA,7,0))</f>
        <v>0</v>
      </c>
      <c r="AT71" s="59" cm="1">
        <f t="array" aca="1" ref="AT71:AT75" ca="1">_xlfn.SWITCH(IFERROR(VLOOKUP(AT$3&amp;$B$70&amp;_xlfn.ANCHORARRAY($B71),$BT:$CA,5,0),0),
0,_xlfn.ANCHORARRAY(AS71)+SUMIF($BT:$BT,AT$3&amp;$B$70&amp;_xlfn.ANCHORARRAY($B71),$CA:$CA),
1,VLOOKUP(AT$3&amp;$B$70&amp;_xlfn.ANCHORARRAY($B71),$BT:$CA,6,0),
2,_xlfn.ANCHORARRAY(AS71)*VLOOKUP(AT$3&amp;$B$70&amp;_xlfn.ANCHORARRAY($B71),$BT:$CA,7,0))</f>
        <v>0</v>
      </c>
      <c r="AU71" s="59" cm="1">
        <f t="array" aca="1" ref="AU71:AU75" ca="1">_xlfn.SWITCH(IFERROR(VLOOKUP(AU$3&amp;$B$70&amp;_xlfn.ANCHORARRAY($B71),$BT:$CA,5,0),0),
0,_xlfn.ANCHORARRAY(AT71)+SUMIF($BT:$BT,AU$3&amp;$B$70&amp;_xlfn.ANCHORARRAY($B71),$CA:$CA),
1,VLOOKUP(AU$3&amp;$B$70&amp;_xlfn.ANCHORARRAY($B71),$BT:$CA,6,0),
2,_xlfn.ANCHORARRAY(AT71)*VLOOKUP(AU$3&amp;$B$70&amp;_xlfn.ANCHORARRAY($B71),$BT:$CA,7,0))</f>
        <v>0</v>
      </c>
      <c r="AV71" s="59" cm="1">
        <f t="array" aca="1" ref="AV71:AV75" ca="1">_xlfn.SWITCH(IFERROR(VLOOKUP(AV$3&amp;$B$70&amp;_xlfn.ANCHORARRAY($B71),$BT:$CA,5,0),0),
0,_xlfn.ANCHORARRAY(AU71)+SUMIF($BT:$BT,AV$3&amp;$B$70&amp;_xlfn.ANCHORARRAY($B71),$CA:$CA),
1,VLOOKUP(AV$3&amp;$B$70&amp;_xlfn.ANCHORARRAY($B71),$BT:$CA,6,0),
2,_xlfn.ANCHORARRAY(AU71)*VLOOKUP(AV$3&amp;$B$70&amp;_xlfn.ANCHORARRAY($B71),$BT:$CA,7,0))</f>
        <v>0</v>
      </c>
      <c r="AW71" s="59" cm="1">
        <f t="array" aca="1" ref="AW71:AW75" ca="1">_xlfn.SWITCH(IFERROR(VLOOKUP(AW$3&amp;$B$70&amp;_xlfn.ANCHORARRAY($B71),$BT:$CA,5,0),0),
0,_xlfn.ANCHORARRAY(AV71)+SUMIF($BT:$BT,AW$3&amp;$B$70&amp;_xlfn.ANCHORARRAY($B71),$CA:$CA),
1,VLOOKUP(AW$3&amp;$B$70&amp;_xlfn.ANCHORARRAY($B71),$BT:$CA,6,0),
2,_xlfn.ANCHORARRAY(AV71)*VLOOKUP(AW$3&amp;$B$70&amp;_xlfn.ANCHORARRAY($B71),$BT:$CA,7,0))</f>
        <v>0</v>
      </c>
      <c r="AX71" s="59" cm="1">
        <f t="array" aca="1" ref="AX71:AX75" ca="1">_xlfn.SWITCH(IFERROR(VLOOKUP(AX$3&amp;$B$70&amp;_xlfn.ANCHORARRAY($B71),$BT:$CA,5,0),0),
0,_xlfn.ANCHORARRAY(AW71)+SUMIF($BT:$BT,AX$3&amp;$B$70&amp;_xlfn.ANCHORARRAY($B71),$CA:$CA),
1,VLOOKUP(AX$3&amp;$B$70&amp;_xlfn.ANCHORARRAY($B71),$BT:$CA,6,0),
2,_xlfn.ANCHORARRAY(AW71)*VLOOKUP(AX$3&amp;$B$70&amp;_xlfn.ANCHORARRAY($B71),$BT:$CA,7,0))</f>
        <v>0</v>
      </c>
      <c r="AY71" s="59" cm="1">
        <f t="array" aca="1" ref="AY71:AY75" ca="1">_xlfn.SWITCH(IFERROR(VLOOKUP(AY$3&amp;$B$70&amp;_xlfn.ANCHORARRAY($B71),$BT:$CA,5,0),0),
0,_xlfn.ANCHORARRAY(AX71)+SUMIF($BT:$BT,AY$3&amp;$B$70&amp;_xlfn.ANCHORARRAY($B71),$CA:$CA),
1,VLOOKUP(AY$3&amp;$B$70&amp;_xlfn.ANCHORARRAY($B71),$BT:$CA,6,0),
2,_xlfn.ANCHORARRAY(AX71)*VLOOKUP(AY$3&amp;$B$70&amp;_xlfn.ANCHORARRAY($B71),$BT:$CA,7,0))</f>
        <v>0</v>
      </c>
      <c r="AZ71" s="59" cm="1">
        <f t="array" aca="1" ref="AZ71:AZ75" ca="1">_xlfn.SWITCH(IFERROR(VLOOKUP(AZ$3&amp;$B$70&amp;_xlfn.ANCHORARRAY($B71),$BT:$CA,5,0),0),
0,_xlfn.ANCHORARRAY(AY71)+SUMIF($BT:$BT,AZ$3&amp;$B$70&amp;_xlfn.ANCHORARRAY($B71),$CA:$CA),
1,VLOOKUP(AZ$3&amp;$B$70&amp;_xlfn.ANCHORARRAY($B71),$BT:$CA,6,0),
2,_xlfn.ANCHORARRAY(AY71)*VLOOKUP(AZ$3&amp;$B$70&amp;_xlfn.ANCHORARRAY($B71),$BT:$CA,7,0))</f>
        <v>0</v>
      </c>
      <c r="BA71" s="59" cm="1">
        <f t="array" aca="1" ref="BA71:BA75" ca="1">_xlfn.SWITCH(IFERROR(VLOOKUP(BA$3&amp;$B$70&amp;_xlfn.ANCHORARRAY($B71),$BT:$CA,5,0),0),
0,_xlfn.ANCHORARRAY(AZ71)+SUMIF($BT:$BT,BA$3&amp;$B$70&amp;_xlfn.ANCHORARRAY($B71),$CA:$CA),
1,VLOOKUP(BA$3&amp;$B$70&amp;_xlfn.ANCHORARRAY($B71),$BT:$CA,6,0),
2,_xlfn.ANCHORARRAY(AZ71)*VLOOKUP(BA$3&amp;$B$70&amp;_xlfn.ANCHORARRAY($B71),$BT:$CA,7,0))</f>
        <v>0</v>
      </c>
      <c r="BS71" s="5">
        <f t="shared" si="107"/>
        <v>0</v>
      </c>
      <c r="BT71" s="5" t="str">
        <f t="shared" si="108"/>
        <v>2027V_Vorsorg11</v>
      </c>
      <c r="BU71">
        <v>2027</v>
      </c>
      <c r="BV71" t="s">
        <v>95</v>
      </c>
      <c r="BW71">
        <v>11</v>
      </c>
      <c r="BX71">
        <v>1</v>
      </c>
      <c r="BY71" s="12">
        <v>0</v>
      </c>
      <c r="CB71" t="s">
        <v>244</v>
      </c>
      <c r="CC71">
        <v>1</v>
      </c>
      <c r="CD71" s="5" t="str">
        <f t="shared" ca="1" si="110"/>
        <v>Sheldon</v>
      </c>
      <c r="CE71" s="5" t="str">
        <f t="shared" ca="1" si="111"/>
        <v>Neues Säule 3a Gefäss I</v>
      </c>
      <c r="CF71" s="5" t="str">
        <f t="shared" ca="1" si="112"/>
        <v>Sheldon - Neues Säule 3a Gefäss I - Bezug</v>
      </c>
      <c r="CG71" s="5"/>
    </row>
    <row r="72" spans="1:85" x14ac:dyDescent="0.25">
      <c r="A72" s="57" t="str">
        <f ca="1"/>
        <v>MigrosBank Festhypo</v>
      </c>
      <c r="B72" s="57">
        <f ca="1"/>
        <v>2</v>
      </c>
      <c r="C72" s="53" t="str">
        <f ca="1"/>
        <v>Amy</v>
      </c>
      <c r="D72" s="54">
        <f ca="1"/>
        <v>1.2500000000000001E-2</v>
      </c>
      <c r="E72" s="62">
        <f ca="1"/>
        <v>-200000</v>
      </c>
      <c r="F72" s="59">
        <f ca="1"/>
        <v>-200000</v>
      </c>
      <c r="G72" s="59">
        <f ca="1"/>
        <v>-200000</v>
      </c>
      <c r="H72" s="59">
        <f ca="1"/>
        <v>-200000</v>
      </c>
      <c r="I72" s="59">
        <f ca="1"/>
        <v>0</v>
      </c>
      <c r="J72" s="59">
        <f ca="1"/>
        <v>0</v>
      </c>
      <c r="K72" s="59">
        <f ca="1"/>
        <v>0</v>
      </c>
      <c r="L72" s="59">
        <f ca="1"/>
        <v>0</v>
      </c>
      <c r="M72" s="59">
        <f ca="1"/>
        <v>0</v>
      </c>
      <c r="N72" s="59">
        <f ca="1"/>
        <v>0</v>
      </c>
      <c r="O72" s="59">
        <f ca="1"/>
        <v>0</v>
      </c>
      <c r="P72" s="59">
        <f ca="1"/>
        <v>0</v>
      </c>
      <c r="Q72" s="59">
        <f ca="1"/>
        <v>0</v>
      </c>
      <c r="R72" s="59">
        <f ca="1"/>
        <v>0</v>
      </c>
      <c r="S72" s="59">
        <f ca="1"/>
        <v>0</v>
      </c>
      <c r="T72" s="59">
        <f ca="1"/>
        <v>0</v>
      </c>
      <c r="U72" s="59">
        <f ca="1"/>
        <v>0</v>
      </c>
      <c r="V72" s="59">
        <f ca="1"/>
        <v>0</v>
      </c>
      <c r="W72" s="59">
        <f ca="1"/>
        <v>0</v>
      </c>
      <c r="X72" s="59">
        <f ca="1"/>
        <v>0</v>
      </c>
      <c r="Y72" s="59">
        <f ca="1"/>
        <v>0</v>
      </c>
      <c r="Z72" s="59">
        <f ca="1"/>
        <v>0</v>
      </c>
      <c r="AA72" s="59">
        <f ca="1"/>
        <v>0</v>
      </c>
      <c r="AB72" s="59">
        <f ca="1"/>
        <v>0</v>
      </c>
      <c r="AC72" s="59">
        <f ca="1"/>
        <v>0</v>
      </c>
      <c r="AD72" s="59">
        <f ca="1"/>
        <v>0</v>
      </c>
      <c r="AE72" s="59">
        <f ca="1"/>
        <v>0</v>
      </c>
      <c r="AF72" s="59">
        <f ca="1"/>
        <v>0</v>
      </c>
      <c r="AG72" s="59">
        <f ca="1"/>
        <v>0</v>
      </c>
      <c r="AH72" s="59">
        <f ca="1"/>
        <v>0</v>
      </c>
      <c r="AI72" s="59">
        <f ca="1"/>
        <v>0</v>
      </c>
      <c r="AJ72" s="59">
        <f ca="1"/>
        <v>0</v>
      </c>
      <c r="AK72" s="59">
        <f ca="1"/>
        <v>0</v>
      </c>
      <c r="AL72" s="59">
        <f ca="1"/>
        <v>0</v>
      </c>
      <c r="AM72" s="59">
        <f ca="1"/>
        <v>0</v>
      </c>
      <c r="AN72" s="59">
        <f ca="1"/>
        <v>0</v>
      </c>
      <c r="AO72" s="59">
        <f ca="1"/>
        <v>0</v>
      </c>
      <c r="AP72" s="59">
        <f ca="1"/>
        <v>0</v>
      </c>
      <c r="AQ72" s="59">
        <f ca="1"/>
        <v>0</v>
      </c>
      <c r="AR72" s="59">
        <f ca="1"/>
        <v>0</v>
      </c>
      <c r="AS72" s="59">
        <f ca="1"/>
        <v>0</v>
      </c>
      <c r="AT72" s="59">
        <f ca="1"/>
        <v>0</v>
      </c>
      <c r="AU72" s="59">
        <f ca="1"/>
        <v>0</v>
      </c>
      <c r="AV72" s="59">
        <f ca="1"/>
        <v>0</v>
      </c>
      <c r="AW72" s="59">
        <f ca="1"/>
        <v>0</v>
      </c>
      <c r="AX72" s="59">
        <f ca="1"/>
        <v>0</v>
      </c>
      <c r="AY72" s="59">
        <f ca="1"/>
        <v>0</v>
      </c>
      <c r="AZ72" s="59">
        <f ca="1"/>
        <v>0</v>
      </c>
      <c r="BA72" s="59">
        <f ca="1"/>
        <v>0</v>
      </c>
      <c r="BS72" s="5">
        <f t="shared" si="107"/>
        <v>0</v>
      </c>
      <c r="BT72" s="5" t="str">
        <f t="shared" si="108"/>
        <v>2030V_Vorsorg10</v>
      </c>
      <c r="BU72">
        <v>2030</v>
      </c>
      <c r="BV72" t="s">
        <v>95</v>
      </c>
      <c r="BW72">
        <v>10</v>
      </c>
      <c r="BX72">
        <v>1</v>
      </c>
      <c r="BY72" s="12">
        <v>0</v>
      </c>
      <c r="CB72" t="s">
        <v>244</v>
      </c>
      <c r="CC72">
        <v>1</v>
      </c>
      <c r="CD72" s="5" t="str">
        <f t="shared" ca="1" si="110"/>
        <v>Sheldon</v>
      </c>
      <c r="CE72" s="5" t="str">
        <f t="shared" ca="1" si="111"/>
        <v>MigrosBank Säule 3a Konto</v>
      </c>
      <c r="CF72" s="5" t="str">
        <f t="shared" ca="1" si="112"/>
        <v>Sheldon - MigrosBank Säule 3a Konto - Bezug</v>
      </c>
      <c r="CG72" s="5"/>
    </row>
    <row r="73" spans="1:85" x14ac:dyDescent="0.25">
      <c r="A73" s="57" t="str">
        <f ca="1"/>
        <v>MigrosBank Festhypo II</v>
      </c>
      <c r="B73" s="57">
        <f ca="1"/>
        <v>3</v>
      </c>
      <c r="C73" s="53" t="str">
        <f ca="1"/>
        <v>Amy</v>
      </c>
      <c r="D73" s="54">
        <f ca="1"/>
        <v>1.1900000000000001E-2</v>
      </c>
      <c r="E73" s="62">
        <f ca="1"/>
        <v>-200000</v>
      </c>
      <c r="F73" s="59">
        <f ca="1"/>
        <v>-200000</v>
      </c>
      <c r="G73" s="59">
        <f ca="1"/>
        <v>-200000</v>
      </c>
      <c r="H73" s="59">
        <f ca="1"/>
        <v>-200000</v>
      </c>
      <c r="I73" s="59">
        <f ca="1"/>
        <v>-200000</v>
      </c>
      <c r="J73" s="59">
        <f ca="1"/>
        <v>-200000</v>
      </c>
      <c r="K73" s="59">
        <f ca="1"/>
        <v>0</v>
      </c>
      <c r="L73" s="59">
        <f ca="1"/>
        <v>0</v>
      </c>
      <c r="M73" s="59">
        <f ca="1"/>
        <v>0</v>
      </c>
      <c r="N73" s="59">
        <f ca="1"/>
        <v>0</v>
      </c>
      <c r="O73" s="59">
        <f ca="1"/>
        <v>0</v>
      </c>
      <c r="P73" s="59">
        <f ca="1"/>
        <v>0</v>
      </c>
      <c r="Q73" s="59">
        <f ca="1"/>
        <v>0</v>
      </c>
      <c r="R73" s="59">
        <f ca="1"/>
        <v>0</v>
      </c>
      <c r="S73" s="59">
        <f ca="1"/>
        <v>0</v>
      </c>
      <c r="T73" s="59">
        <f ca="1"/>
        <v>0</v>
      </c>
      <c r="U73" s="59">
        <f ca="1"/>
        <v>0</v>
      </c>
      <c r="V73" s="59">
        <f ca="1"/>
        <v>0</v>
      </c>
      <c r="W73" s="59">
        <f ca="1"/>
        <v>0</v>
      </c>
      <c r="X73" s="59">
        <f ca="1"/>
        <v>0</v>
      </c>
      <c r="Y73" s="59">
        <f ca="1"/>
        <v>0</v>
      </c>
      <c r="Z73" s="59">
        <f ca="1"/>
        <v>0</v>
      </c>
      <c r="AA73" s="59">
        <f ca="1"/>
        <v>0</v>
      </c>
      <c r="AB73" s="59">
        <f ca="1"/>
        <v>0</v>
      </c>
      <c r="AC73" s="59">
        <f ca="1"/>
        <v>0</v>
      </c>
      <c r="AD73" s="59">
        <f ca="1"/>
        <v>0</v>
      </c>
      <c r="AE73" s="59">
        <f ca="1"/>
        <v>0</v>
      </c>
      <c r="AF73" s="59">
        <f ca="1"/>
        <v>0</v>
      </c>
      <c r="AG73" s="59">
        <f ca="1"/>
        <v>0</v>
      </c>
      <c r="AH73" s="59">
        <f ca="1"/>
        <v>0</v>
      </c>
      <c r="AI73" s="59">
        <f ca="1"/>
        <v>0</v>
      </c>
      <c r="AJ73" s="59">
        <f ca="1"/>
        <v>0</v>
      </c>
      <c r="AK73" s="59">
        <f ca="1"/>
        <v>0</v>
      </c>
      <c r="AL73" s="59">
        <f ca="1"/>
        <v>0</v>
      </c>
      <c r="AM73" s="59">
        <f ca="1"/>
        <v>0</v>
      </c>
      <c r="AN73" s="59">
        <f ca="1"/>
        <v>0</v>
      </c>
      <c r="AO73" s="59">
        <f ca="1"/>
        <v>0</v>
      </c>
      <c r="AP73" s="59">
        <f ca="1"/>
        <v>0</v>
      </c>
      <c r="AQ73" s="59">
        <f ca="1"/>
        <v>0</v>
      </c>
      <c r="AR73" s="59">
        <f ca="1"/>
        <v>0</v>
      </c>
      <c r="AS73" s="59">
        <f ca="1"/>
        <v>0</v>
      </c>
      <c r="AT73" s="59">
        <f ca="1"/>
        <v>0</v>
      </c>
      <c r="AU73" s="59">
        <f ca="1"/>
        <v>0</v>
      </c>
      <c r="AV73" s="59">
        <f ca="1"/>
        <v>0</v>
      </c>
      <c r="AW73" s="59">
        <f ca="1"/>
        <v>0</v>
      </c>
      <c r="AX73" s="59">
        <f ca="1"/>
        <v>0</v>
      </c>
      <c r="AY73" s="59">
        <f ca="1"/>
        <v>0</v>
      </c>
      <c r="AZ73" s="59">
        <f ca="1"/>
        <v>0</v>
      </c>
      <c r="BA73" s="59">
        <f ca="1"/>
        <v>0</v>
      </c>
      <c r="BS73" s="5">
        <f t="shared" si="107"/>
        <v>0</v>
      </c>
      <c r="BT73" s="5" t="str">
        <f t="shared" si="108"/>
        <v>2032V_Vorsorg12</v>
      </c>
      <c r="BU73">
        <v>2032</v>
      </c>
      <c r="BV73" t="s">
        <v>95</v>
      </c>
      <c r="BW73">
        <v>12</v>
      </c>
      <c r="BX73">
        <v>1</v>
      </c>
      <c r="BY73" s="12">
        <v>0</v>
      </c>
      <c r="CB73" t="s">
        <v>244</v>
      </c>
      <c r="CC73">
        <v>1</v>
      </c>
      <c r="CD73" s="5" t="str">
        <f t="shared" ca="1" si="110"/>
        <v>Sheldon</v>
      </c>
      <c r="CE73" s="5" t="str">
        <f t="shared" ca="1" si="111"/>
        <v>Neues Säule 3a Gefäss II</v>
      </c>
      <c r="CF73" s="5" t="str">
        <f t="shared" ca="1" si="112"/>
        <v>Sheldon - Neues Säule 3a Gefäss II - Bezug</v>
      </c>
      <c r="CG73" s="5"/>
    </row>
    <row r="74" spans="1:85" x14ac:dyDescent="0.25">
      <c r="A74" s="66" t="str">
        <f ca="1"/>
        <v>PostFinance Festhypo</v>
      </c>
      <c r="B74" s="66">
        <f ca="1"/>
        <v>4</v>
      </c>
      <c r="C74" s="67" t="str">
        <f ca="1"/>
        <v>Sheldon</v>
      </c>
      <c r="D74" s="68">
        <f ca="1"/>
        <v>1.9699999999999999E-2</v>
      </c>
      <c r="E74" s="62">
        <f ca="1"/>
        <v>-300000</v>
      </c>
      <c r="F74" s="70">
        <f ca="1"/>
        <v>-300000</v>
      </c>
      <c r="G74" s="70">
        <f ca="1"/>
        <v>-300000</v>
      </c>
      <c r="H74" s="70">
        <f ca="1"/>
        <v>-300000</v>
      </c>
      <c r="I74" s="70">
        <f ca="1"/>
        <v>-300000</v>
      </c>
      <c r="J74" s="70">
        <f ca="1"/>
        <v>-300000</v>
      </c>
      <c r="K74" s="70">
        <f ca="1"/>
        <v>0</v>
      </c>
      <c r="L74" s="70">
        <f ca="1"/>
        <v>0</v>
      </c>
      <c r="M74" s="70">
        <f ca="1"/>
        <v>0</v>
      </c>
      <c r="N74" s="70">
        <f ca="1"/>
        <v>0</v>
      </c>
      <c r="O74" s="70">
        <f ca="1"/>
        <v>0</v>
      </c>
      <c r="P74" s="70">
        <f ca="1"/>
        <v>0</v>
      </c>
      <c r="Q74" s="70">
        <f ca="1"/>
        <v>0</v>
      </c>
      <c r="R74" s="70">
        <f ca="1"/>
        <v>0</v>
      </c>
      <c r="S74" s="70">
        <f ca="1"/>
        <v>0</v>
      </c>
      <c r="T74" s="70">
        <f ca="1"/>
        <v>0</v>
      </c>
      <c r="U74" s="70">
        <f ca="1"/>
        <v>0</v>
      </c>
      <c r="V74" s="70">
        <f ca="1"/>
        <v>0</v>
      </c>
      <c r="W74" s="70">
        <f ca="1"/>
        <v>0</v>
      </c>
      <c r="X74" s="70">
        <f ca="1"/>
        <v>0</v>
      </c>
      <c r="Y74" s="70">
        <f ca="1"/>
        <v>0</v>
      </c>
      <c r="Z74" s="70">
        <f ca="1"/>
        <v>0</v>
      </c>
      <c r="AA74" s="70">
        <f ca="1"/>
        <v>0</v>
      </c>
      <c r="AB74" s="70">
        <f ca="1"/>
        <v>0</v>
      </c>
      <c r="AC74" s="70">
        <f ca="1"/>
        <v>0</v>
      </c>
      <c r="AD74" s="70">
        <f ca="1"/>
        <v>0</v>
      </c>
      <c r="AE74" s="70">
        <f ca="1"/>
        <v>0</v>
      </c>
      <c r="AF74" s="70">
        <f ca="1"/>
        <v>0</v>
      </c>
      <c r="AG74" s="70">
        <f ca="1"/>
        <v>0</v>
      </c>
      <c r="AH74" s="70">
        <f ca="1"/>
        <v>0</v>
      </c>
      <c r="AI74" s="70">
        <f ca="1"/>
        <v>0</v>
      </c>
      <c r="AJ74" s="70">
        <f ca="1"/>
        <v>0</v>
      </c>
      <c r="AK74" s="70">
        <f ca="1"/>
        <v>0</v>
      </c>
      <c r="AL74" s="70">
        <f ca="1"/>
        <v>0</v>
      </c>
      <c r="AM74" s="70">
        <f ca="1"/>
        <v>0</v>
      </c>
      <c r="AN74" s="70">
        <f ca="1"/>
        <v>0</v>
      </c>
      <c r="AO74" s="70">
        <f ca="1"/>
        <v>0</v>
      </c>
      <c r="AP74" s="70">
        <f ca="1"/>
        <v>0</v>
      </c>
      <c r="AQ74" s="70">
        <f ca="1"/>
        <v>0</v>
      </c>
      <c r="AR74" s="70">
        <f ca="1"/>
        <v>0</v>
      </c>
      <c r="AS74" s="70">
        <f ca="1"/>
        <v>0</v>
      </c>
      <c r="AT74" s="70">
        <f ca="1"/>
        <v>0</v>
      </c>
      <c r="AU74" s="70">
        <f ca="1"/>
        <v>0</v>
      </c>
      <c r="AV74" s="70">
        <f ca="1"/>
        <v>0</v>
      </c>
      <c r="AW74" s="70">
        <f ca="1"/>
        <v>0</v>
      </c>
      <c r="AX74" s="70">
        <f ca="1"/>
        <v>0</v>
      </c>
      <c r="AY74" s="70">
        <f ca="1"/>
        <v>0</v>
      </c>
      <c r="AZ74" s="70">
        <f ca="1"/>
        <v>0</v>
      </c>
      <c r="BA74" s="70">
        <f ca="1"/>
        <v>0</v>
      </c>
      <c r="BS74" s="5">
        <f t="shared" si="107"/>
        <v>0</v>
      </c>
      <c r="BT74" s="5" t="str">
        <f t="shared" si="108"/>
        <v>2031A_Allg5</v>
      </c>
      <c r="BU74">
        <v>2031</v>
      </c>
      <c r="BV74" t="s">
        <v>85</v>
      </c>
      <c r="BW74">
        <v>5</v>
      </c>
      <c r="BX74">
        <v>1</v>
      </c>
      <c r="BY74" s="12">
        <v>0</v>
      </c>
      <c r="CD74" s="5" t="str">
        <f t="shared" ca="1" si="110"/>
        <v>Sheldon</v>
      </c>
      <c r="CE74" s="5" t="str">
        <f t="shared" ca="1" si="111"/>
        <v>Säule 3a Beitrag</v>
      </c>
      <c r="CF74" s="5" t="str">
        <f t="shared" ca="1" si="112"/>
        <v>Sheldon - Säule 3a Beitrag</v>
      </c>
      <c r="CG74" s="5"/>
    </row>
    <row r="75" spans="1:85" x14ac:dyDescent="0.25">
      <c r="A75" s="66" t="str">
        <f ca="1"/>
        <v>Nachfolgehypothek</v>
      </c>
      <c r="B75" s="66">
        <f ca="1"/>
        <v>5</v>
      </c>
      <c r="C75" s="67" t="str">
        <f ca="1"/>
        <v>-</v>
      </c>
      <c r="D75" s="68">
        <f ca="1"/>
        <v>0.02</v>
      </c>
      <c r="E75" s="62">
        <f ca="1"/>
        <v>0</v>
      </c>
      <c r="F75" s="70">
        <f ca="1"/>
        <v>0</v>
      </c>
      <c r="G75" s="70">
        <f ca="1"/>
        <v>0</v>
      </c>
      <c r="H75" s="70">
        <f ca="1"/>
        <v>0</v>
      </c>
      <c r="I75" s="70">
        <f ca="1"/>
        <v>-200000</v>
      </c>
      <c r="J75" s="70">
        <f ca="1"/>
        <v>-380000</v>
      </c>
      <c r="K75" s="70">
        <f ca="1"/>
        <v>-880000</v>
      </c>
      <c r="L75" s="70">
        <f ca="1"/>
        <v>-880000</v>
      </c>
      <c r="M75" s="70">
        <f ca="1"/>
        <v>-880000</v>
      </c>
      <c r="N75" s="70">
        <f ca="1"/>
        <v>-880000</v>
      </c>
      <c r="O75" s="70">
        <f ca="1"/>
        <v>-880000</v>
      </c>
      <c r="P75" s="70">
        <f ca="1"/>
        <v>-880000</v>
      </c>
      <c r="Q75" s="70">
        <f ca="1"/>
        <v>-880000</v>
      </c>
      <c r="R75" s="70">
        <f ca="1"/>
        <v>-880000</v>
      </c>
      <c r="S75" s="70">
        <f ca="1"/>
        <v>-880000</v>
      </c>
      <c r="T75" s="70">
        <f ca="1"/>
        <v>-880000</v>
      </c>
      <c r="U75" s="70">
        <f ca="1"/>
        <v>-880000</v>
      </c>
      <c r="V75" s="70">
        <f ca="1"/>
        <v>-880000</v>
      </c>
      <c r="W75" s="70">
        <f ca="1"/>
        <v>-880000</v>
      </c>
      <c r="X75" s="70">
        <f ca="1"/>
        <v>-880000</v>
      </c>
      <c r="Y75" s="70">
        <f ca="1"/>
        <v>-880000</v>
      </c>
      <c r="Z75" s="70">
        <f ca="1"/>
        <v>-880000</v>
      </c>
      <c r="AA75" s="70">
        <f ca="1"/>
        <v>-880000</v>
      </c>
      <c r="AB75" s="70">
        <f ca="1"/>
        <v>-880000</v>
      </c>
      <c r="AC75" s="70">
        <f ca="1"/>
        <v>-880000</v>
      </c>
      <c r="AD75" s="70">
        <f ca="1"/>
        <v>-880000</v>
      </c>
      <c r="AE75" s="70">
        <f ca="1"/>
        <v>-880000</v>
      </c>
      <c r="AF75" s="70">
        <f ca="1"/>
        <v>-880000</v>
      </c>
      <c r="AG75" s="70">
        <f ca="1"/>
        <v>-880000</v>
      </c>
      <c r="AH75" s="70">
        <f ca="1"/>
        <v>-880000</v>
      </c>
      <c r="AI75" s="70">
        <f ca="1"/>
        <v>-880000</v>
      </c>
      <c r="AJ75" s="70">
        <f ca="1"/>
        <v>-880000</v>
      </c>
      <c r="AK75" s="70">
        <f ca="1"/>
        <v>-880000</v>
      </c>
      <c r="AL75" s="70">
        <f ca="1"/>
        <v>-880000</v>
      </c>
      <c r="AM75" s="70">
        <f ca="1"/>
        <v>-880000</v>
      </c>
      <c r="AN75" s="70">
        <f ca="1"/>
        <v>-880000</v>
      </c>
      <c r="AO75" s="70">
        <f ca="1"/>
        <v>-880000</v>
      </c>
      <c r="AP75" s="70">
        <f ca="1"/>
        <v>-880000</v>
      </c>
      <c r="AQ75" s="70">
        <f ca="1"/>
        <v>-880000</v>
      </c>
      <c r="AR75" s="70">
        <f ca="1"/>
        <v>-880000</v>
      </c>
      <c r="AS75" s="70">
        <f ca="1"/>
        <v>-880000</v>
      </c>
      <c r="AT75" s="70">
        <f ca="1"/>
        <v>-880000</v>
      </c>
      <c r="AU75" s="70">
        <f ca="1"/>
        <v>-880000</v>
      </c>
      <c r="AV75" s="70">
        <f ca="1"/>
        <v>-880000</v>
      </c>
      <c r="AW75" s="70">
        <f ca="1"/>
        <v>-880000</v>
      </c>
      <c r="AX75" s="70">
        <f ca="1"/>
        <v>-880000</v>
      </c>
      <c r="AY75" s="70">
        <f ca="1"/>
        <v>-880000</v>
      </c>
      <c r="AZ75" s="70">
        <f ca="1"/>
        <v>-880000</v>
      </c>
      <c r="BA75" s="70">
        <f ca="1"/>
        <v>-880000</v>
      </c>
      <c r="BS75" s="5">
        <f t="shared" si="107"/>
        <v>0</v>
      </c>
      <c r="BT75" s="5" t="str">
        <f t="shared" si="108"/>
        <v>2031ST_Abz6</v>
      </c>
      <c r="BU75">
        <v>2031</v>
      </c>
      <c r="BV75" t="s">
        <v>110</v>
      </c>
      <c r="BW75">
        <v>6</v>
      </c>
      <c r="BX75">
        <v>1</v>
      </c>
      <c r="BY75" s="12">
        <v>0</v>
      </c>
      <c r="CD75" s="5" t="str">
        <f t="shared" ca="1" si="110"/>
        <v>Sheldon</v>
      </c>
      <c r="CE75" s="5" t="str">
        <f t="shared" ca="1" si="111"/>
        <v>Fahrkosten</v>
      </c>
      <c r="CF75" s="5" t="str">
        <f t="shared" ca="1" si="112"/>
        <v>Sheldon - Fahrkosten</v>
      </c>
      <c r="CG75" s="5"/>
    </row>
    <row r="76" spans="1:85" hidden="1" x14ac:dyDescent="0.25">
      <c r="A76" s="66"/>
      <c r="B76" s="66"/>
      <c r="C76" s="67"/>
      <c r="D76" s="68"/>
      <c r="E76" s="62"/>
      <c r="F76" s="70"/>
      <c r="G76" s="70"/>
      <c r="H76" s="70"/>
      <c r="I76" s="70"/>
      <c r="J76" s="70"/>
      <c r="K76" s="70"/>
      <c r="L76" s="70"/>
      <c r="M76" s="70"/>
      <c r="N76" s="70"/>
      <c r="O76" s="70"/>
      <c r="P76" s="70"/>
      <c r="Q76" s="70"/>
      <c r="R76" s="70"/>
      <c r="S76" s="70"/>
      <c r="T76" s="70"/>
      <c r="U76" s="70"/>
      <c r="V76" s="70"/>
      <c r="W76" s="70"/>
      <c r="X76" s="70"/>
      <c r="Y76" s="70"/>
      <c r="Z76" s="70"/>
      <c r="AA76" s="70"/>
      <c r="AB76" s="70"/>
      <c r="AC76" s="70"/>
      <c r="AD76" s="70"/>
      <c r="AE76" s="70"/>
      <c r="AF76" s="70"/>
      <c r="AG76" s="70"/>
      <c r="AH76" s="70"/>
      <c r="AI76" s="70"/>
      <c r="AJ76" s="70"/>
      <c r="AK76" s="70"/>
      <c r="AL76" s="70"/>
      <c r="AM76" s="70"/>
      <c r="AN76" s="70"/>
      <c r="AO76" s="70"/>
      <c r="AP76" s="70"/>
      <c r="AQ76" s="70"/>
      <c r="AR76" s="70"/>
      <c r="AS76" s="70"/>
      <c r="AT76" s="70"/>
      <c r="AU76" s="70"/>
      <c r="AV76" s="70"/>
      <c r="AW76" s="70"/>
      <c r="AX76" s="70"/>
      <c r="AY76" s="70"/>
      <c r="AZ76" s="70"/>
      <c r="BA76" s="70"/>
      <c r="BS76" s="5">
        <f t="shared" si="107"/>
        <v>0</v>
      </c>
      <c r="BT76" s="5" t="str">
        <f t="shared" si="108"/>
        <v>2031ST_Abz7</v>
      </c>
      <c r="BU76">
        <v>2031</v>
      </c>
      <c r="BV76" t="s">
        <v>110</v>
      </c>
      <c r="BW76">
        <v>7</v>
      </c>
      <c r="BX76">
        <v>1</v>
      </c>
      <c r="BY76" s="12">
        <v>0</v>
      </c>
      <c r="CD76" s="5" t="str">
        <f t="shared" ca="1" si="110"/>
        <v>Sheldon</v>
      </c>
      <c r="CE76" s="5" t="str">
        <f t="shared" ca="1" si="111"/>
        <v>Auswärtige Verpflegung</v>
      </c>
      <c r="CF76" s="5" t="str">
        <f t="shared" ca="1" si="112"/>
        <v>Sheldon - Auswärtige Verpflegung</v>
      </c>
      <c r="CG76" s="5"/>
    </row>
    <row r="77" spans="1:85" hidden="1" x14ac:dyDescent="0.25">
      <c r="A77" s="66"/>
      <c r="B77" s="66"/>
      <c r="C77" s="67"/>
      <c r="D77" s="68"/>
      <c r="E77" s="62"/>
      <c r="F77" s="70"/>
      <c r="G77" s="70"/>
      <c r="H77" s="70"/>
      <c r="I77" s="70"/>
      <c r="J77" s="70"/>
      <c r="K77" s="70"/>
      <c r="L77" s="70"/>
      <c r="M77" s="70"/>
      <c r="N77" s="70"/>
      <c r="O77" s="70"/>
      <c r="P77" s="70"/>
      <c r="Q77" s="70"/>
      <c r="R77" s="70"/>
      <c r="S77" s="70"/>
      <c r="T77" s="70"/>
      <c r="U77" s="70"/>
      <c r="V77" s="70"/>
      <c r="W77" s="70"/>
      <c r="X77" s="70"/>
      <c r="Y77" s="70"/>
      <c r="Z77" s="70"/>
      <c r="AA77" s="70"/>
      <c r="AB77" s="70"/>
      <c r="AC77" s="70"/>
      <c r="AD77" s="70"/>
      <c r="AE77" s="70"/>
      <c r="AF77" s="70"/>
      <c r="AG77" s="70"/>
      <c r="AH77" s="70"/>
      <c r="AI77" s="70"/>
      <c r="AJ77" s="70"/>
      <c r="AK77" s="70"/>
      <c r="AL77" s="70"/>
      <c r="AM77" s="70"/>
      <c r="AN77" s="70"/>
      <c r="AO77" s="70"/>
      <c r="AP77" s="70"/>
      <c r="AQ77" s="70"/>
      <c r="AR77" s="70"/>
      <c r="AS77" s="70"/>
      <c r="AT77" s="70"/>
      <c r="AU77" s="70"/>
      <c r="AV77" s="70"/>
      <c r="AW77" s="70"/>
      <c r="AX77" s="70"/>
      <c r="AY77" s="70"/>
      <c r="AZ77" s="70"/>
      <c r="BA77" s="70"/>
      <c r="BS77" s="5">
        <f t="shared" si="107"/>
        <v>0</v>
      </c>
      <c r="BT77" s="5" t="str">
        <f t="shared" si="108"/>
        <v>2031ST_Abz8</v>
      </c>
      <c r="BU77">
        <v>2031</v>
      </c>
      <c r="BV77" t="s">
        <v>110</v>
      </c>
      <c r="BW77">
        <v>8</v>
      </c>
      <c r="BX77">
        <v>1</v>
      </c>
      <c r="BY77" s="12">
        <v>0</v>
      </c>
      <c r="CD77" s="5" t="str">
        <f t="shared" ca="1" si="110"/>
        <v>Sheldon</v>
      </c>
      <c r="CE77" s="5" t="str">
        <f t="shared" ca="1" si="111"/>
        <v>Übrige Berufskosten</v>
      </c>
      <c r="CF77" s="5" t="str">
        <f t="shared" ca="1" si="112"/>
        <v>Sheldon - Übrige Berufskosten</v>
      </c>
      <c r="CG77" s="5"/>
    </row>
    <row r="78" spans="1:85" hidden="1" x14ac:dyDescent="0.25">
      <c r="A78" s="66"/>
      <c r="B78" s="66"/>
      <c r="C78" s="67"/>
      <c r="D78" s="68"/>
      <c r="E78" s="62"/>
      <c r="F78" s="70"/>
      <c r="G78" s="70"/>
      <c r="H78" s="70"/>
      <c r="I78" s="70"/>
      <c r="J78" s="70"/>
      <c r="K78" s="70"/>
      <c r="L78" s="70"/>
      <c r="M78" s="70"/>
      <c r="N78" s="70"/>
      <c r="O78" s="70"/>
      <c r="P78" s="70"/>
      <c r="Q78" s="70"/>
      <c r="R78" s="70"/>
      <c r="S78" s="70"/>
      <c r="T78" s="70"/>
      <c r="U78" s="70"/>
      <c r="V78" s="70"/>
      <c r="W78" s="70"/>
      <c r="X78" s="70"/>
      <c r="Y78" s="70"/>
      <c r="Z78" s="70"/>
      <c r="AA78" s="70"/>
      <c r="AB78" s="70"/>
      <c r="AC78" s="70"/>
      <c r="AD78" s="70"/>
      <c r="AE78" s="70"/>
      <c r="AF78" s="70"/>
      <c r="AG78" s="70"/>
      <c r="AH78" s="70"/>
      <c r="AI78" s="70"/>
      <c r="AJ78" s="70"/>
      <c r="AK78" s="70"/>
      <c r="AL78" s="70"/>
      <c r="AM78" s="70"/>
      <c r="AN78" s="70"/>
      <c r="AO78" s="70"/>
      <c r="AP78" s="70"/>
      <c r="AQ78" s="70"/>
      <c r="AR78" s="70"/>
      <c r="AS78" s="70"/>
      <c r="AT78" s="70"/>
      <c r="AU78" s="70"/>
      <c r="AV78" s="70"/>
      <c r="AW78" s="70"/>
      <c r="AX78" s="70"/>
      <c r="AY78" s="70"/>
      <c r="AZ78" s="70"/>
      <c r="BA78" s="70"/>
      <c r="BS78" s="5">
        <f t="shared" si="107"/>
        <v>0</v>
      </c>
      <c r="BT78" s="5" t="str">
        <f t="shared" si="108"/>
        <v>2029ST_Abz14</v>
      </c>
      <c r="BU78">
        <v>2029</v>
      </c>
      <c r="BV78" t="s">
        <v>110</v>
      </c>
      <c r="BW78">
        <v>14</v>
      </c>
      <c r="BX78">
        <v>1</v>
      </c>
      <c r="BY78" s="12">
        <v>0</v>
      </c>
      <c r="CD78" s="5" t="str">
        <f t="shared" ca="1" si="110"/>
        <v>Amy</v>
      </c>
      <c r="CE78" s="5" t="str">
        <f t="shared" ca="1" si="111"/>
        <v>Auswärtiger Wochenaufenthalt</v>
      </c>
      <c r="CF78" s="5" t="str">
        <f t="shared" ca="1" si="112"/>
        <v>Amy - Auswärtiger Wochenaufenthalt</v>
      </c>
      <c r="CG78" s="5"/>
    </row>
    <row r="79" spans="1:85" hidden="1" x14ac:dyDescent="0.25">
      <c r="A79" s="66"/>
      <c r="B79" s="66"/>
      <c r="C79" s="67"/>
      <c r="D79" s="68"/>
      <c r="E79" s="62"/>
      <c r="F79" s="70"/>
      <c r="G79" s="70"/>
      <c r="H79" s="70"/>
      <c r="I79" s="70"/>
      <c r="J79" s="70"/>
      <c r="K79" s="70"/>
      <c r="L79" s="70"/>
      <c r="M79" s="70"/>
      <c r="N79" s="70"/>
      <c r="O79" s="70"/>
      <c r="P79" s="70"/>
      <c r="Q79" s="70"/>
      <c r="R79" s="70"/>
      <c r="S79" s="70"/>
      <c r="T79" s="70"/>
      <c r="U79" s="70"/>
      <c r="V79" s="70"/>
      <c r="W79" s="70"/>
      <c r="X79" s="70"/>
      <c r="Y79" s="70"/>
      <c r="Z79" s="70"/>
      <c r="AA79" s="70"/>
      <c r="AB79" s="70"/>
      <c r="AC79" s="70"/>
      <c r="AD79" s="70"/>
      <c r="AE79" s="70"/>
      <c r="AF79" s="70"/>
      <c r="AG79" s="70"/>
      <c r="AH79" s="70"/>
      <c r="AI79" s="70"/>
      <c r="AJ79" s="70"/>
      <c r="AK79" s="70"/>
      <c r="AL79" s="70"/>
      <c r="AM79" s="70"/>
      <c r="AN79" s="70"/>
      <c r="AO79" s="70"/>
      <c r="AP79" s="70"/>
      <c r="AQ79" s="70"/>
      <c r="AR79" s="70"/>
      <c r="AS79" s="70"/>
      <c r="AT79" s="70"/>
      <c r="AU79" s="70"/>
      <c r="AV79" s="70"/>
      <c r="AW79" s="70"/>
      <c r="AX79" s="70"/>
      <c r="AY79" s="70"/>
      <c r="AZ79" s="70"/>
      <c r="BA79" s="70"/>
      <c r="BS79" s="5">
        <f t="shared" si="107"/>
        <v>0</v>
      </c>
      <c r="BT79" s="5" t="str">
        <f t="shared" si="108"/>
        <v>2029ST_Abz15</v>
      </c>
      <c r="BU79">
        <v>2029</v>
      </c>
      <c r="BV79" t="s">
        <v>110</v>
      </c>
      <c r="BW79">
        <v>15</v>
      </c>
      <c r="BX79">
        <v>1</v>
      </c>
      <c r="BY79" s="12">
        <v>0</v>
      </c>
      <c r="CD79" s="5" t="str">
        <f t="shared" ca="1" si="110"/>
        <v>Amy</v>
      </c>
      <c r="CE79" s="5" t="str">
        <f t="shared" ca="1" si="111"/>
        <v>Berufskosten</v>
      </c>
      <c r="CF79" s="5" t="str">
        <f t="shared" ca="1" si="112"/>
        <v>Amy - Berufskosten</v>
      </c>
      <c r="CG79" s="5"/>
    </row>
    <row r="80" spans="1:85" hidden="1" x14ac:dyDescent="0.25">
      <c r="A80" s="66"/>
      <c r="B80" s="66"/>
      <c r="C80" s="67"/>
      <c r="D80" s="68"/>
      <c r="E80" s="62"/>
      <c r="F80" s="70"/>
      <c r="G80" s="70"/>
      <c r="H80" s="70"/>
      <c r="I80" s="70"/>
      <c r="J80" s="70"/>
      <c r="K80" s="70"/>
      <c r="L80" s="70"/>
      <c r="M80" s="70"/>
      <c r="N80" s="70"/>
      <c r="O80" s="70"/>
      <c r="P80" s="70"/>
      <c r="Q80" s="70"/>
      <c r="R80" s="70"/>
      <c r="S80" s="70"/>
      <c r="T80" s="70"/>
      <c r="U80" s="70"/>
      <c r="V80" s="70"/>
      <c r="W80" s="70"/>
      <c r="X80" s="70"/>
      <c r="Y80" s="70"/>
      <c r="Z80" s="70"/>
      <c r="AA80" s="70"/>
      <c r="AB80" s="70"/>
      <c r="AC80" s="70"/>
      <c r="AD80" s="70"/>
      <c r="AE80" s="70"/>
      <c r="AF80" s="70"/>
      <c r="AG80" s="70"/>
      <c r="AH80" s="70"/>
      <c r="AI80" s="70"/>
      <c r="AJ80" s="70"/>
      <c r="AK80" s="70"/>
      <c r="AL80" s="70"/>
      <c r="AM80" s="70"/>
      <c r="AN80" s="70"/>
      <c r="AO80" s="70"/>
      <c r="AP80" s="70"/>
      <c r="AQ80" s="70"/>
      <c r="AR80" s="70"/>
      <c r="AS80" s="70"/>
      <c r="AT80" s="70"/>
      <c r="AU80" s="70"/>
      <c r="AV80" s="70"/>
      <c r="AW80" s="70"/>
      <c r="AX80" s="70"/>
      <c r="AY80" s="70"/>
      <c r="AZ80" s="70"/>
      <c r="BA80" s="70"/>
      <c r="BS80" s="5"/>
      <c r="BT80" s="5" t="str">
        <f t="shared" si="108"/>
        <v>2030A_Allg7</v>
      </c>
      <c r="BU80">
        <v>2030</v>
      </c>
      <c r="BV80" t="s">
        <v>85</v>
      </c>
      <c r="BW80">
        <v>7</v>
      </c>
      <c r="BX80">
        <v>1</v>
      </c>
      <c r="BY80" s="12">
        <v>0</v>
      </c>
      <c r="CD80" s="5" t="str">
        <f t="shared" ca="1" si="110"/>
        <v>Amy</v>
      </c>
      <c r="CE80" s="5" t="str">
        <f t="shared" ca="1" si="111"/>
        <v>Säule 3b Beitrag</v>
      </c>
      <c r="CF80" s="5" t="str">
        <f t="shared" ca="1" si="112"/>
        <v>Amy - Säule 3b Beitrag</v>
      </c>
      <c r="CG80" s="5"/>
    </row>
    <row r="81" spans="1:85" hidden="1" x14ac:dyDescent="0.25">
      <c r="A81" s="66"/>
      <c r="B81" s="66"/>
      <c r="C81" s="67"/>
      <c r="D81" s="68"/>
      <c r="E81" s="69"/>
      <c r="F81" s="70"/>
      <c r="G81" s="70"/>
      <c r="H81" s="70"/>
      <c r="I81" s="70"/>
      <c r="J81" s="70"/>
      <c r="K81" s="70"/>
      <c r="L81" s="70"/>
      <c r="M81" s="70"/>
      <c r="N81" s="70"/>
      <c r="O81" s="70"/>
      <c r="P81" s="70"/>
      <c r="Q81" s="70"/>
      <c r="R81" s="70"/>
      <c r="S81" s="70"/>
      <c r="T81" s="70"/>
      <c r="U81" s="70"/>
      <c r="V81" s="70"/>
      <c r="W81" s="70"/>
      <c r="X81" s="70"/>
      <c r="Y81" s="70"/>
      <c r="Z81" s="70"/>
      <c r="AA81" s="70"/>
      <c r="AB81" s="70"/>
      <c r="AC81" s="70"/>
      <c r="AD81" s="70"/>
      <c r="AE81" s="70"/>
      <c r="AF81" s="70"/>
      <c r="AG81" s="70"/>
      <c r="AH81" s="70"/>
      <c r="AI81" s="70"/>
      <c r="AJ81" s="70"/>
      <c r="AK81" s="70"/>
      <c r="AL81" s="70"/>
      <c r="AM81" s="70"/>
      <c r="AN81" s="70"/>
      <c r="AO81" s="70"/>
      <c r="AP81" s="70"/>
      <c r="AQ81" s="70"/>
      <c r="AR81" s="70"/>
      <c r="AS81" s="70"/>
      <c r="AT81" s="70"/>
      <c r="AU81" s="70"/>
      <c r="AV81" s="70"/>
      <c r="AW81" s="70"/>
      <c r="AX81" s="70"/>
      <c r="AY81" s="70"/>
      <c r="AZ81" s="70"/>
      <c r="BA81" s="70"/>
      <c r="BS81" s="5">
        <f>COUNTIF(BT:BT,BT80)-1</f>
        <v>0</v>
      </c>
      <c r="BT81" s="5" t="str">
        <f t="shared" si="108"/>
        <v/>
      </c>
      <c r="CD81" s="5" t="e">
        <f t="shared" ca="1" si="110"/>
        <v>#REF!</v>
      </c>
      <c r="CE81" s="5" t="e">
        <f t="shared" ca="1" si="111"/>
        <v>#REF!</v>
      </c>
      <c r="CF81" s="5" t="e">
        <f t="shared" ca="1" si="112"/>
        <v>#REF!</v>
      </c>
      <c r="CG81" s="5"/>
    </row>
    <row r="82" spans="1:85" ht="27.75" customHeight="1" x14ac:dyDescent="0.25">
      <c r="A82" s="71" t="s">
        <v>111</v>
      </c>
      <c r="B82" s="72"/>
      <c r="C82" s="73"/>
      <c r="D82" s="74"/>
      <c r="E82" s="75"/>
      <c r="F82" s="76">
        <f t="shared" ref="F82:BA82" ca="1" si="160">SUM(F83:F89)</f>
        <v>188099.4</v>
      </c>
      <c r="G82" s="76">
        <f t="shared" ca="1" si="160"/>
        <v>277708.08076921757</v>
      </c>
      <c r="H82" s="76">
        <f t="shared" ca="1" si="160"/>
        <v>370281.41250069806</v>
      </c>
      <c r="I82" s="76">
        <f t="shared" ca="1" si="160"/>
        <v>455071.68244706228</v>
      </c>
      <c r="J82" s="76">
        <f t="shared" ca="1" si="160"/>
        <v>636758.24241183628</v>
      </c>
      <c r="K82" s="76">
        <f t="shared" ca="1" si="160"/>
        <v>917666.82627215504</v>
      </c>
      <c r="L82" s="76">
        <f t="shared" ca="1" si="160"/>
        <v>998761.88957493985</v>
      </c>
      <c r="M82" s="76">
        <f t="shared" ca="1" si="160"/>
        <v>1016751.1349400781</v>
      </c>
      <c r="N82" s="76">
        <f t="shared" ca="1" si="160"/>
        <v>1046024.5431804988</v>
      </c>
      <c r="O82" s="76">
        <f t="shared" ca="1" si="160"/>
        <v>1059073.560745623</v>
      </c>
      <c r="P82" s="76">
        <f t="shared" ca="1" si="160"/>
        <v>1068758.926323497</v>
      </c>
      <c r="Q82" s="76">
        <f t="shared" ca="1" si="160"/>
        <v>1077331.7148195575</v>
      </c>
      <c r="R82" s="76">
        <f t="shared" ca="1" si="160"/>
        <v>1084756.2743988056</v>
      </c>
      <c r="S82" s="76">
        <f t="shared" ca="1" si="160"/>
        <v>1090977.9239343507</v>
      </c>
      <c r="T82" s="76">
        <f t="shared" ca="1" si="160"/>
        <v>1095953.6046804998</v>
      </c>
      <c r="U82" s="76">
        <f t="shared" ca="1" si="160"/>
        <v>1099631.4169778395</v>
      </c>
      <c r="V82" s="76">
        <f t="shared" ca="1" si="160"/>
        <v>1101958.4454680057</v>
      </c>
      <c r="W82" s="76">
        <f t="shared" ca="1" si="160"/>
        <v>1102886.5511292208</v>
      </c>
      <c r="X82" s="76">
        <f t="shared" ca="1" si="160"/>
        <v>1102359.7352730969</v>
      </c>
      <c r="Y82" s="76">
        <f t="shared" ca="1" si="160"/>
        <v>1100320.2895427283</v>
      </c>
      <c r="Z82" s="76">
        <f t="shared" ca="1" si="160"/>
        <v>1096708.7632473966</v>
      </c>
      <c r="AA82" s="76">
        <f t="shared" ca="1" si="160"/>
        <v>1091463.9158405585</v>
      </c>
      <c r="AB82" s="76">
        <f t="shared" ca="1" si="160"/>
        <v>1084529.0437337006</v>
      </c>
      <c r="AC82" s="76">
        <f t="shared" ca="1" si="160"/>
        <v>1075839.3371619526</v>
      </c>
      <c r="AD82" s="76">
        <f t="shared" ca="1" si="160"/>
        <v>1065327.4527381167</v>
      </c>
      <c r="AE82" s="76">
        <f t="shared" ca="1" si="160"/>
        <v>1052931.5477606973</v>
      </c>
      <c r="AF82" s="76">
        <f t="shared" ca="1" si="160"/>
        <v>1038580.9621644993</v>
      </c>
      <c r="AG82" s="76">
        <f t="shared" ca="1" si="160"/>
        <v>1022202.338679477</v>
      </c>
      <c r="AH82" s="76">
        <f t="shared" ca="1" si="160"/>
        <v>1003727.6066625625</v>
      </c>
      <c r="AI82" s="76">
        <f t="shared" ca="1" si="160"/>
        <v>983079.73202489922</v>
      </c>
      <c r="AJ82" s="76">
        <f t="shared" ca="1" si="160"/>
        <v>960179.37849416654</v>
      </c>
      <c r="AK82" s="76">
        <f t="shared" ca="1" si="160"/>
        <v>934951.68659187655</v>
      </c>
      <c r="AL82" s="76">
        <f t="shared" ca="1" si="160"/>
        <v>907312.68737196887</v>
      </c>
      <c r="AM82" s="76">
        <f t="shared" ca="1" si="160"/>
        <v>877182.12180915056</v>
      </c>
      <c r="AN82" s="76">
        <f t="shared" ca="1" si="160"/>
        <v>844468.26892425306</v>
      </c>
      <c r="AO82" s="76">
        <f t="shared" ca="1" si="160"/>
        <v>809073.93695708946</v>
      </c>
      <c r="AP82" s="76">
        <f t="shared" ca="1" si="160"/>
        <v>770904.28381498961</v>
      </c>
      <c r="AQ82" s="76">
        <f t="shared" ca="1" si="160"/>
        <v>729829.32294266659</v>
      </c>
      <c r="AR82" s="76">
        <f t="shared" ca="1" si="160"/>
        <v>685750.11155639775</v>
      </c>
      <c r="AS82" s="76">
        <f t="shared" ca="1" si="160"/>
        <v>638565.22542338958</v>
      </c>
      <c r="AT82" s="76">
        <f t="shared" ca="1" si="160"/>
        <v>588153.75826730137</v>
      </c>
      <c r="AU82" s="76">
        <f t="shared" ca="1" si="160"/>
        <v>534410.31080985849</v>
      </c>
      <c r="AV82" s="76">
        <f t="shared" ca="1" si="160"/>
        <v>477217.90157420118</v>
      </c>
      <c r="AW82" s="76">
        <f t="shared" ca="1" si="160"/>
        <v>416456.50024840253</v>
      </c>
      <c r="AX82" s="76">
        <f t="shared" ca="1" si="160"/>
        <v>351967.41736497177</v>
      </c>
      <c r="AY82" s="76">
        <f t="shared" ca="1" si="160"/>
        <v>283600.92589858593</v>
      </c>
      <c r="AZ82" s="76">
        <f t="shared" ca="1" si="160"/>
        <v>211225.62929363284</v>
      </c>
      <c r="BA82" s="76">
        <f t="shared" ca="1" si="160"/>
        <v>134685.6334206656</v>
      </c>
      <c r="BS82" s="5">
        <f>COUNTIF(BT:BT,BT81)-1</f>
        <v>1048495</v>
      </c>
      <c r="BT82" s="5"/>
      <c r="CD82" s="5" t="e">
        <f t="shared" ca="1" si="110"/>
        <v>#REF!</v>
      </c>
      <c r="CE82" s="5" t="e">
        <f t="shared" ca="1" si="111"/>
        <v>#REF!</v>
      </c>
      <c r="CF82" s="5" t="e">
        <f t="shared" ca="1" si="112"/>
        <v>#REF!</v>
      </c>
      <c r="CG82" s="5"/>
    </row>
    <row r="83" spans="1:85" x14ac:dyDescent="0.25">
      <c r="A83" s="57" t="s">
        <v>114</v>
      </c>
      <c r="B83" s="57"/>
      <c r="C83" s="53"/>
      <c r="D83" s="54"/>
      <c r="E83" s="63"/>
      <c r="F83" s="59">
        <f t="shared" ref="F83:BA83" si="161">E45</f>
        <v>74700</v>
      </c>
      <c r="G83" s="59">
        <f t="shared" ca="1" si="161"/>
        <v>188099.4</v>
      </c>
      <c r="H83" s="59">
        <f t="shared" ca="1" si="161"/>
        <v>277708.08076921757</v>
      </c>
      <c r="I83" s="59">
        <f t="shared" ca="1" si="161"/>
        <v>370281.41250069806</v>
      </c>
      <c r="J83" s="59">
        <f t="shared" ca="1" si="161"/>
        <v>455071.68244706228</v>
      </c>
      <c r="K83" s="59">
        <f t="shared" ca="1" si="161"/>
        <v>636758.24241183628</v>
      </c>
      <c r="L83" s="59">
        <f t="shared" ca="1" si="161"/>
        <v>917666.82627215504</v>
      </c>
      <c r="M83" s="59">
        <f t="shared" ca="1" si="161"/>
        <v>998761.88957493985</v>
      </c>
      <c r="N83" s="59">
        <f t="shared" ca="1" si="161"/>
        <v>1016751.1349400781</v>
      </c>
      <c r="O83" s="59">
        <f t="shared" ca="1" si="161"/>
        <v>1046024.5431804988</v>
      </c>
      <c r="P83" s="59">
        <f t="shared" ca="1" si="161"/>
        <v>1059073.560745623</v>
      </c>
      <c r="Q83" s="59">
        <f t="shared" ca="1" si="161"/>
        <v>1068758.926323497</v>
      </c>
      <c r="R83" s="59">
        <f t="shared" ca="1" si="161"/>
        <v>1077331.7148195575</v>
      </c>
      <c r="S83" s="59">
        <f t="shared" ca="1" si="161"/>
        <v>1084756.2743988056</v>
      </c>
      <c r="T83" s="59">
        <f t="shared" ca="1" si="161"/>
        <v>1090977.9239343507</v>
      </c>
      <c r="U83" s="59">
        <f t="shared" ca="1" si="161"/>
        <v>1095953.6046804998</v>
      </c>
      <c r="V83" s="59">
        <f t="shared" ca="1" si="161"/>
        <v>1099631.4169778395</v>
      </c>
      <c r="W83" s="59">
        <f t="shared" ca="1" si="161"/>
        <v>1101958.4454680057</v>
      </c>
      <c r="X83" s="59">
        <f t="shared" ca="1" si="161"/>
        <v>1102886.5511292208</v>
      </c>
      <c r="Y83" s="59">
        <f t="shared" ca="1" si="161"/>
        <v>1102359.7352730969</v>
      </c>
      <c r="Z83" s="59">
        <f t="shared" ca="1" si="161"/>
        <v>1100320.2895427283</v>
      </c>
      <c r="AA83" s="59">
        <f t="shared" ca="1" si="161"/>
        <v>1096708.7632473966</v>
      </c>
      <c r="AB83" s="59">
        <f t="shared" ca="1" si="161"/>
        <v>1091463.9158405585</v>
      </c>
      <c r="AC83" s="59">
        <f t="shared" ca="1" si="161"/>
        <v>1084529.0437337006</v>
      </c>
      <c r="AD83" s="59">
        <f t="shared" ca="1" si="161"/>
        <v>1075839.3371619526</v>
      </c>
      <c r="AE83" s="59">
        <f t="shared" ca="1" si="161"/>
        <v>1065327.4527381167</v>
      </c>
      <c r="AF83" s="59">
        <f t="shared" ca="1" si="161"/>
        <v>1052931.5477606973</v>
      </c>
      <c r="AG83" s="59">
        <f t="shared" ca="1" si="161"/>
        <v>1038580.9621644993</v>
      </c>
      <c r="AH83" s="59">
        <f t="shared" ca="1" si="161"/>
        <v>1022202.338679477</v>
      </c>
      <c r="AI83" s="59">
        <f t="shared" ca="1" si="161"/>
        <v>1003727.6066625625</v>
      </c>
      <c r="AJ83" s="59">
        <f t="shared" ca="1" si="161"/>
        <v>983079.73202489922</v>
      </c>
      <c r="AK83" s="59">
        <f t="shared" ca="1" si="161"/>
        <v>960179.37849416654</v>
      </c>
      <c r="AL83" s="59">
        <f t="shared" ca="1" si="161"/>
        <v>934951.68659187655</v>
      </c>
      <c r="AM83" s="59">
        <f t="shared" ca="1" si="161"/>
        <v>907312.68737196887</v>
      </c>
      <c r="AN83" s="59">
        <f t="shared" ca="1" si="161"/>
        <v>877182.12180915056</v>
      </c>
      <c r="AO83" s="59">
        <f t="shared" ca="1" si="161"/>
        <v>844468.26892425306</v>
      </c>
      <c r="AP83" s="59">
        <f t="shared" ca="1" si="161"/>
        <v>809073.93695708946</v>
      </c>
      <c r="AQ83" s="59">
        <f t="shared" ca="1" si="161"/>
        <v>770904.28381498961</v>
      </c>
      <c r="AR83" s="59">
        <f t="shared" ca="1" si="161"/>
        <v>729829.32294266659</v>
      </c>
      <c r="AS83" s="59">
        <f t="shared" ca="1" si="161"/>
        <v>685750.11155639775</v>
      </c>
      <c r="AT83" s="59">
        <f t="shared" ca="1" si="161"/>
        <v>638565.22542338958</v>
      </c>
      <c r="AU83" s="59">
        <f t="shared" ca="1" si="161"/>
        <v>588153.75826730137</v>
      </c>
      <c r="AV83" s="59">
        <f t="shared" ca="1" si="161"/>
        <v>534410.31080985849</v>
      </c>
      <c r="AW83" s="59">
        <f t="shared" ca="1" si="161"/>
        <v>477217.90157420118</v>
      </c>
      <c r="AX83" s="59">
        <f t="shared" ca="1" si="161"/>
        <v>416456.50024840253</v>
      </c>
      <c r="AY83" s="59">
        <f t="shared" ca="1" si="161"/>
        <v>351967.41736497177</v>
      </c>
      <c r="AZ83" s="59">
        <f t="shared" ca="1" si="161"/>
        <v>283600.92589858593</v>
      </c>
      <c r="BA83" s="59">
        <f t="shared" ca="1" si="161"/>
        <v>211225.62929363284</v>
      </c>
      <c r="BS83" s="5">
        <f t="shared" ref="BS83:BS104" si="162">COUNTIF(BT:BT,BT82)-1</f>
        <v>-1</v>
      </c>
      <c r="BT83" s="5"/>
      <c r="CD83" s="5" t="e">
        <f t="shared" ca="1" si="110"/>
        <v>#REF!</v>
      </c>
      <c r="CE83" s="5" t="e">
        <f t="shared" ca="1" si="111"/>
        <v>#REF!</v>
      </c>
      <c r="CF83" s="5" t="e">
        <f t="shared" ca="1" si="112"/>
        <v>#REF!</v>
      </c>
      <c r="CG83" s="5"/>
    </row>
    <row r="84" spans="1:85" x14ac:dyDescent="0.25">
      <c r="A84" s="57" t="s">
        <v>115</v>
      </c>
      <c r="B84" s="57"/>
      <c r="C84" s="53"/>
      <c r="D84" s="54"/>
      <c r="E84" s="63"/>
      <c r="F84" s="59">
        <f t="shared" ref="F84:BA84" ca="1" si="163">SUM(F40:F41)</f>
        <v>59880</v>
      </c>
      <c r="G84" s="59">
        <f t="shared" ca="1" si="163"/>
        <v>39920.751615938672</v>
      </c>
      <c r="H84" s="59">
        <f t="shared" ca="1" si="163"/>
        <v>38093.955366641632</v>
      </c>
      <c r="I84" s="59">
        <f t="shared" ca="1" si="163"/>
        <v>34475.332527115301</v>
      </c>
      <c r="J84" s="59">
        <f t="shared" ca="1" si="163"/>
        <v>30230.025630591525</v>
      </c>
      <c r="K84" s="59">
        <f t="shared" ca="1" si="163"/>
        <v>23215.769411208283</v>
      </c>
      <c r="L84" s="59">
        <f t="shared" ca="1" si="163"/>
        <v>12152.751989293436</v>
      </c>
      <c r="M84" s="59">
        <f t="shared" ca="1" si="163"/>
        <v>-45943.790044210953</v>
      </c>
      <c r="N84" s="59">
        <f t="shared" ca="1" si="163"/>
        <v>-34857.665008892058</v>
      </c>
      <c r="O84" s="59">
        <f t="shared" ca="1" si="163"/>
        <v>-23156.600929919761</v>
      </c>
      <c r="P84" s="59">
        <f t="shared" ca="1" si="163"/>
        <v>-26911.261963855228</v>
      </c>
      <c r="Q84" s="59">
        <f t="shared" ca="1" si="163"/>
        <v>-28337.861351608692</v>
      </c>
      <c r="R84" s="59">
        <f t="shared" ca="1" si="163"/>
        <v>-29761.228933106977</v>
      </c>
      <c r="S84" s="59">
        <f t="shared" ca="1" si="163"/>
        <v>-31198.840362076604</v>
      </c>
      <c r="T84" s="59">
        <f t="shared" ca="1" si="163"/>
        <v>-32637.392227570745</v>
      </c>
      <c r="U84" s="59">
        <f t="shared" ca="1" si="163"/>
        <v>-34084.092252066577</v>
      </c>
      <c r="V84" s="59">
        <f t="shared" ca="1" si="163"/>
        <v>-35538.153419221737</v>
      </c>
      <c r="W84" s="59">
        <f t="shared" ca="1" si="163"/>
        <v>-36993.061356427541</v>
      </c>
      <c r="X84" s="59">
        <f t="shared" ca="1" si="163"/>
        <v>-38454.884664025987</v>
      </c>
      <c r="Y84" s="59">
        <f t="shared" ca="1" si="163"/>
        <v>-39923.377361107603</v>
      </c>
      <c r="Z84" s="59">
        <f t="shared" ca="1" si="163"/>
        <v>-41398.266761009538</v>
      </c>
      <c r="AA84" s="59">
        <f t="shared" ca="1" si="163"/>
        <v>-42879.266948891294</v>
      </c>
      <c r="AB84" s="59">
        <f t="shared" ca="1" si="163"/>
        <v>-44359.812443515795</v>
      </c>
      <c r="AC84" s="59">
        <f t="shared" ca="1" si="163"/>
        <v>-45845.919510985332</v>
      </c>
      <c r="AD84" s="59">
        <f t="shared" ca="1" si="163"/>
        <v>-47337.848869291556</v>
      </c>
      <c r="AE84" s="59">
        <f t="shared" ca="1" si="163"/>
        <v>-48827.877958971556</v>
      </c>
      <c r="AF84" s="59">
        <f t="shared" ca="1" si="163"/>
        <v>-50322.545226360977</v>
      </c>
      <c r="AG84" s="59">
        <f t="shared" ca="1" si="163"/>
        <v>-51822.070919685342</v>
      </c>
      <c r="AH84" s="59">
        <f t="shared" ca="1" si="163"/>
        <v>-53318.735990856236</v>
      </c>
      <c r="AI84" s="59">
        <f t="shared" ca="1" si="163"/>
        <v>-54819.00822688239</v>
      </c>
      <c r="AJ84" s="59">
        <f t="shared" ca="1" si="163"/>
        <v>-56322.500394696937</v>
      </c>
      <c r="AK84" s="59">
        <f t="shared" ca="1" si="163"/>
        <v>-57822.083685096542</v>
      </c>
      <c r="AL84" s="59">
        <f t="shared" ca="1" si="163"/>
        <v>-59324.135872848521</v>
      </c>
      <c r="AM84" s="59">
        <f t="shared" ca="1" si="163"/>
        <v>-60822.122477481302</v>
      </c>
      <c r="AN84" s="59">
        <f t="shared" ca="1" si="163"/>
        <v>-62324.547565815956</v>
      </c>
      <c r="AO84" s="59">
        <f t="shared" ca="1" si="163"/>
        <v>-63833.632805417656</v>
      </c>
      <c r="AP84" s="59">
        <f t="shared" ca="1" si="163"/>
        <v>-65343.725735231405</v>
      </c>
      <c r="AQ84" s="59">
        <f t="shared" ca="1" si="163"/>
        <v>-66886.103986091141</v>
      </c>
      <c r="AR84" s="59">
        <f t="shared" ca="1" si="163"/>
        <v>-68425.786426793333</v>
      </c>
      <c r="AS84" s="59">
        <f t="shared" ca="1" si="163"/>
        <v>-69961.80839064579</v>
      </c>
      <c r="AT84" s="59">
        <f t="shared" ca="1" si="163"/>
        <v>-71509.82805494529</v>
      </c>
      <c r="AU84" s="59">
        <f t="shared" ca="1" si="163"/>
        <v>-73050.4461884997</v>
      </c>
      <c r="AV84" s="59">
        <f t="shared" ca="1" si="163"/>
        <v>-74591.420259461782</v>
      </c>
      <c r="AW84" s="59">
        <f t="shared" ca="1" si="163"/>
        <v>-76131.722733067014</v>
      </c>
      <c r="AX84" s="59">
        <f t="shared" ca="1" si="163"/>
        <v>-77705.219058599396</v>
      </c>
      <c r="AY84" s="59">
        <f t="shared" ca="1" si="163"/>
        <v>-79297.642333326614</v>
      </c>
      <c r="AZ84" s="59">
        <f t="shared" ca="1" si="163"/>
        <v>-80885.827038234493</v>
      </c>
      <c r="BA84" s="59">
        <f t="shared" ca="1" si="163"/>
        <v>-82489.32962972422</v>
      </c>
      <c r="BS84" s="5">
        <f t="shared" si="162"/>
        <v>-1</v>
      </c>
      <c r="BT84" s="5"/>
      <c r="CD84" s="5" t="e">
        <f t="shared" ca="1" si="110"/>
        <v>#REF!</v>
      </c>
      <c r="CE84" s="5" t="e">
        <f t="shared" ca="1" si="111"/>
        <v>#REF!</v>
      </c>
      <c r="CF84" s="5" t="e">
        <f t="shared" ca="1" si="112"/>
        <v>#REF!</v>
      </c>
      <c r="CG84" s="5"/>
    </row>
    <row r="85" spans="1:85" x14ac:dyDescent="0.25">
      <c r="A85" s="57" t="s">
        <v>103</v>
      </c>
      <c r="B85" s="57"/>
      <c r="C85" s="53"/>
      <c r="D85" s="54">
        <v>3.5000000000000003E-2</v>
      </c>
      <c r="E85" s="63"/>
      <c r="F85" s="59">
        <f t="shared" ref="F85:BA85" ca="1" si="164">(F83+F84*0.5)*$D85</f>
        <v>3662.4000000000005</v>
      </c>
      <c r="G85" s="59">
        <f t="shared" ca="1" si="164"/>
        <v>7282.0921532789271</v>
      </c>
      <c r="H85" s="59">
        <f t="shared" ca="1" si="164"/>
        <v>10386.427045838846</v>
      </c>
      <c r="I85" s="59">
        <f t="shared" ca="1" si="164"/>
        <v>13563.167756748951</v>
      </c>
      <c r="J85" s="59">
        <f t="shared" ca="1" si="164"/>
        <v>16456.534334182532</v>
      </c>
      <c r="K85" s="59">
        <f t="shared" ca="1" si="164"/>
        <v>22692.814449110418</v>
      </c>
      <c r="L85" s="59">
        <f t="shared" ca="1" si="164"/>
        <v>32331.012079338063</v>
      </c>
      <c r="M85" s="59">
        <f t="shared" ca="1" si="164"/>
        <v>34152.649809349205</v>
      </c>
      <c r="N85" s="59">
        <f t="shared" ca="1" si="164"/>
        <v>34976.280585247128</v>
      </c>
      <c r="O85" s="59">
        <f t="shared" ca="1" si="164"/>
        <v>36205.618495043862</v>
      </c>
      <c r="P85" s="59">
        <f t="shared" ca="1" si="164"/>
        <v>36596.627541729344</v>
      </c>
      <c r="Q85" s="59">
        <f t="shared" ca="1" si="164"/>
        <v>36910.649847669243</v>
      </c>
      <c r="R85" s="59">
        <f t="shared" ca="1" si="164"/>
        <v>37185.788512355139</v>
      </c>
      <c r="S85" s="59">
        <f t="shared" ca="1" si="164"/>
        <v>37420.489897621854</v>
      </c>
      <c r="T85" s="59">
        <f t="shared" ca="1" si="164"/>
        <v>37613.072973719798</v>
      </c>
      <c r="U85" s="59">
        <f t="shared" ca="1" si="164"/>
        <v>37761.904549406332</v>
      </c>
      <c r="V85" s="59">
        <f t="shared" ca="1" si="164"/>
        <v>37865.181909388004</v>
      </c>
      <c r="W85" s="59">
        <f t="shared" ca="1" si="164"/>
        <v>37921.167017642721</v>
      </c>
      <c r="X85" s="59">
        <f t="shared" ca="1" si="164"/>
        <v>37928.068807902273</v>
      </c>
      <c r="Y85" s="59">
        <f t="shared" ca="1" si="164"/>
        <v>37883.931630739011</v>
      </c>
      <c r="Z85" s="59">
        <f t="shared" ca="1" si="164"/>
        <v>37786.740465677831</v>
      </c>
      <c r="AA85" s="59">
        <f t="shared" ca="1" si="164"/>
        <v>37634.419542053285</v>
      </c>
      <c r="AB85" s="59">
        <f t="shared" ca="1" si="164"/>
        <v>37424.940336658023</v>
      </c>
      <c r="AC85" s="59">
        <f t="shared" ca="1" si="164"/>
        <v>37156.212939237281</v>
      </c>
      <c r="AD85" s="59">
        <f t="shared" ca="1" si="164"/>
        <v>36825.964445455742</v>
      </c>
      <c r="AE85" s="59">
        <f t="shared" ca="1" si="164"/>
        <v>36431.972981552084</v>
      </c>
      <c r="AF85" s="59">
        <f t="shared" ca="1" si="164"/>
        <v>35971.959630163095</v>
      </c>
      <c r="AG85" s="59">
        <f t="shared" ca="1" si="164"/>
        <v>35443.447434662987</v>
      </c>
      <c r="AH85" s="59">
        <f t="shared" ca="1" si="164"/>
        <v>34844.003973941712</v>
      </c>
      <c r="AI85" s="59">
        <f t="shared" ca="1" si="164"/>
        <v>34171.133589219244</v>
      </c>
      <c r="AJ85" s="59">
        <f t="shared" ca="1" si="164"/>
        <v>33422.146863964284</v>
      </c>
      <c r="AK85" s="59">
        <f t="shared" ca="1" si="164"/>
        <v>32594.391782806641</v>
      </c>
      <c r="AL85" s="59">
        <f t="shared" ca="1" si="164"/>
        <v>31685.136652940833</v>
      </c>
      <c r="AM85" s="59">
        <f t="shared" ca="1" si="164"/>
        <v>30691.55691466299</v>
      </c>
      <c r="AN85" s="59">
        <f t="shared" ca="1" si="164"/>
        <v>29610.694680918492</v>
      </c>
      <c r="AO85" s="59">
        <f t="shared" ca="1" si="164"/>
        <v>28439.30083825405</v>
      </c>
      <c r="AP85" s="59">
        <f t="shared" ca="1" si="164"/>
        <v>27174.072593131586</v>
      </c>
      <c r="AQ85" s="59">
        <f t="shared" ca="1" si="164"/>
        <v>25811.143113768041</v>
      </c>
      <c r="AR85" s="59">
        <f t="shared" ca="1" si="164"/>
        <v>24346.575040524451</v>
      </c>
      <c r="AS85" s="59">
        <f t="shared" ca="1" si="164"/>
        <v>22776.922257637623</v>
      </c>
      <c r="AT85" s="59">
        <f t="shared" ca="1" si="164"/>
        <v>21098.360898857096</v>
      </c>
      <c r="AU85" s="59">
        <f t="shared" ca="1" si="164"/>
        <v>19306.998731056807</v>
      </c>
      <c r="AV85" s="59">
        <f t="shared" ca="1" si="164"/>
        <v>17399.011023804469</v>
      </c>
      <c r="AW85" s="59">
        <f t="shared" ca="1" si="164"/>
        <v>15370.32140726837</v>
      </c>
      <c r="AX85" s="59">
        <f t="shared" ca="1" si="164"/>
        <v>13216.1361751686</v>
      </c>
      <c r="AY85" s="59">
        <f t="shared" ca="1" si="164"/>
        <v>10931.150866940798</v>
      </c>
      <c r="AZ85" s="59">
        <f t="shared" ca="1" si="164"/>
        <v>8510.5304332814048</v>
      </c>
      <c r="BA85" s="59">
        <f t="shared" ca="1" si="164"/>
        <v>5949.3337567569761</v>
      </c>
      <c r="BS85" s="5">
        <f t="shared" si="162"/>
        <v>-1</v>
      </c>
      <c r="BT85" s="5"/>
      <c r="CD85" s="5" t="e">
        <f t="shared" ca="1" si="110"/>
        <v>#REF!</v>
      </c>
      <c r="CE85" s="5" t="e">
        <f t="shared" ca="1" si="111"/>
        <v>#REF!</v>
      </c>
      <c r="CF85" s="5" t="e">
        <f t="shared" ca="1" si="112"/>
        <v>#REF!</v>
      </c>
      <c r="CG85" s="5"/>
    </row>
    <row r="86" spans="1:85" x14ac:dyDescent="0.25">
      <c r="A86" s="57" t="s">
        <v>117</v>
      </c>
      <c r="B86" s="57"/>
      <c r="C86" s="53"/>
      <c r="D86" s="54"/>
      <c r="E86" s="63"/>
      <c r="F86" s="59">
        <f t="shared" ref="F86:BA86" ca="1" si="165">-(F70-E70)</f>
        <v>0</v>
      </c>
      <c r="G86" s="59">
        <f t="shared" ca="1" si="165"/>
        <v>0</v>
      </c>
      <c r="H86" s="59">
        <f t="shared" ca="1" si="165"/>
        <v>0</v>
      </c>
      <c r="I86" s="59">
        <f t="shared" ca="1" si="165"/>
        <v>0</v>
      </c>
      <c r="J86" s="59">
        <f t="shared" ca="1" si="165"/>
        <v>0</v>
      </c>
      <c r="K86" s="59">
        <f t="shared" ca="1" si="165"/>
        <v>0</v>
      </c>
      <c r="L86" s="59">
        <f t="shared" ca="1" si="165"/>
        <v>0</v>
      </c>
      <c r="M86" s="59">
        <f t="shared" ca="1" si="165"/>
        <v>0</v>
      </c>
      <c r="N86" s="59">
        <f t="shared" ca="1" si="165"/>
        <v>0</v>
      </c>
      <c r="O86" s="59">
        <f t="shared" ca="1" si="165"/>
        <v>0</v>
      </c>
      <c r="P86" s="59">
        <f t="shared" ca="1" si="165"/>
        <v>0</v>
      </c>
      <c r="Q86" s="59">
        <f t="shared" ca="1" si="165"/>
        <v>0</v>
      </c>
      <c r="R86" s="59">
        <f t="shared" ca="1" si="165"/>
        <v>0</v>
      </c>
      <c r="S86" s="59">
        <f t="shared" ca="1" si="165"/>
        <v>0</v>
      </c>
      <c r="T86" s="59">
        <f t="shared" ca="1" si="165"/>
        <v>0</v>
      </c>
      <c r="U86" s="59">
        <f t="shared" ca="1" si="165"/>
        <v>0</v>
      </c>
      <c r="V86" s="59">
        <f t="shared" ca="1" si="165"/>
        <v>0</v>
      </c>
      <c r="W86" s="59">
        <f t="shared" ca="1" si="165"/>
        <v>0</v>
      </c>
      <c r="X86" s="59">
        <f t="shared" ca="1" si="165"/>
        <v>0</v>
      </c>
      <c r="Y86" s="59">
        <f t="shared" ca="1" si="165"/>
        <v>0</v>
      </c>
      <c r="Z86" s="59">
        <f t="shared" ca="1" si="165"/>
        <v>0</v>
      </c>
      <c r="AA86" s="59">
        <f t="shared" ca="1" si="165"/>
        <v>0</v>
      </c>
      <c r="AB86" s="59">
        <f t="shared" ca="1" si="165"/>
        <v>0</v>
      </c>
      <c r="AC86" s="59">
        <f t="shared" ca="1" si="165"/>
        <v>0</v>
      </c>
      <c r="AD86" s="59">
        <f t="shared" ca="1" si="165"/>
        <v>0</v>
      </c>
      <c r="AE86" s="59">
        <f t="shared" ca="1" si="165"/>
        <v>0</v>
      </c>
      <c r="AF86" s="59">
        <f t="shared" ca="1" si="165"/>
        <v>0</v>
      </c>
      <c r="AG86" s="59">
        <f t="shared" ca="1" si="165"/>
        <v>0</v>
      </c>
      <c r="AH86" s="59">
        <f t="shared" ca="1" si="165"/>
        <v>0</v>
      </c>
      <c r="AI86" s="59">
        <f t="shared" ca="1" si="165"/>
        <v>0</v>
      </c>
      <c r="AJ86" s="59">
        <f t="shared" ca="1" si="165"/>
        <v>0</v>
      </c>
      <c r="AK86" s="59">
        <f t="shared" ca="1" si="165"/>
        <v>0</v>
      </c>
      <c r="AL86" s="59">
        <f t="shared" ca="1" si="165"/>
        <v>0</v>
      </c>
      <c r="AM86" s="59">
        <f t="shared" ca="1" si="165"/>
        <v>0</v>
      </c>
      <c r="AN86" s="59">
        <f t="shared" ca="1" si="165"/>
        <v>0</v>
      </c>
      <c r="AO86" s="59">
        <f t="shared" ca="1" si="165"/>
        <v>0</v>
      </c>
      <c r="AP86" s="59">
        <f t="shared" ca="1" si="165"/>
        <v>0</v>
      </c>
      <c r="AQ86" s="59">
        <f t="shared" ca="1" si="165"/>
        <v>0</v>
      </c>
      <c r="AR86" s="59">
        <f t="shared" ca="1" si="165"/>
        <v>0</v>
      </c>
      <c r="AS86" s="59">
        <f t="shared" ca="1" si="165"/>
        <v>0</v>
      </c>
      <c r="AT86" s="59">
        <f t="shared" ca="1" si="165"/>
        <v>0</v>
      </c>
      <c r="AU86" s="59">
        <f t="shared" ca="1" si="165"/>
        <v>0</v>
      </c>
      <c r="AV86" s="59">
        <f t="shared" ca="1" si="165"/>
        <v>0</v>
      </c>
      <c r="AW86" s="59">
        <f t="shared" ca="1" si="165"/>
        <v>0</v>
      </c>
      <c r="AX86" s="59">
        <f t="shared" ca="1" si="165"/>
        <v>0</v>
      </c>
      <c r="AY86" s="59">
        <f t="shared" ca="1" si="165"/>
        <v>0</v>
      </c>
      <c r="AZ86" s="59">
        <f t="shared" ca="1" si="165"/>
        <v>0</v>
      </c>
      <c r="BA86" s="59">
        <f t="shared" ca="1" si="165"/>
        <v>0</v>
      </c>
      <c r="BS86" s="5">
        <f t="shared" si="162"/>
        <v>-1</v>
      </c>
      <c r="BT86" s="5"/>
      <c r="CD86" s="5" t="e">
        <f t="shared" ca="1" si="110"/>
        <v>#REF!</v>
      </c>
      <c r="CE86" s="5" t="e">
        <f t="shared" ca="1" si="111"/>
        <v>#REF!</v>
      </c>
      <c r="CF86" s="5" t="e">
        <f t="shared" ca="1" si="112"/>
        <v>#REF!</v>
      </c>
      <c r="CG86" s="5"/>
    </row>
    <row r="87" spans="1:85" x14ac:dyDescent="0.25">
      <c r="A87" s="57" t="s">
        <v>116</v>
      </c>
      <c r="B87" s="57"/>
      <c r="C87" s="53"/>
      <c r="D87" s="54"/>
      <c r="E87" s="63"/>
      <c r="F87" s="59"/>
      <c r="G87" s="59"/>
      <c r="H87" s="59"/>
      <c r="I87" s="59"/>
      <c r="J87" s="59"/>
      <c r="K87" s="59">
        <v>100000</v>
      </c>
      <c r="L87" s="59"/>
      <c r="M87" s="59"/>
      <c r="N87" s="59"/>
      <c r="O87" s="59"/>
      <c r="P87" s="59"/>
      <c r="Q87" s="59"/>
      <c r="R87" s="59"/>
      <c r="S87" s="59"/>
      <c r="T87" s="59"/>
      <c r="U87" s="59"/>
      <c r="V87" s="59"/>
      <c r="W87" s="59"/>
      <c r="X87" s="59"/>
      <c r="Y87" s="59"/>
      <c r="Z87" s="59"/>
      <c r="AA87" s="59"/>
      <c r="AB87" s="59"/>
      <c r="AC87" s="59"/>
      <c r="AD87" s="59"/>
      <c r="AE87" s="59"/>
      <c r="AF87" s="59"/>
      <c r="AG87" s="59"/>
      <c r="AH87" s="59"/>
      <c r="AI87" s="59"/>
      <c r="AJ87" s="59"/>
      <c r="AK87" s="59"/>
      <c r="AL87" s="59"/>
      <c r="AM87" s="59"/>
      <c r="AN87" s="59"/>
      <c r="AO87" s="59"/>
      <c r="AP87" s="59"/>
      <c r="AQ87" s="59"/>
      <c r="AR87" s="59"/>
      <c r="AS87" s="59"/>
      <c r="AT87" s="59"/>
      <c r="AU87" s="59"/>
      <c r="AV87" s="59"/>
      <c r="AW87" s="59"/>
      <c r="AX87" s="59"/>
      <c r="AY87" s="59"/>
      <c r="AZ87" s="59"/>
      <c r="BA87" s="59"/>
      <c r="BS87" s="5">
        <f t="shared" si="162"/>
        <v>-1</v>
      </c>
      <c r="BT87" s="5"/>
      <c r="CD87" s="5" t="e">
        <f t="shared" ca="1" si="110"/>
        <v>#REF!</v>
      </c>
      <c r="CE87" s="5" t="e">
        <f t="shared" ca="1" si="111"/>
        <v>#REF!</v>
      </c>
      <c r="CF87" s="5" t="e">
        <f t="shared" ca="1" si="112"/>
        <v>#REF!</v>
      </c>
      <c r="CG87" s="5"/>
    </row>
    <row r="88" spans="1:85" x14ac:dyDescent="0.25">
      <c r="A88" s="57" t="s">
        <v>269</v>
      </c>
      <c r="B88" s="57"/>
      <c r="C88" s="53" t="str">
        <f>PD_Bez1</f>
        <v>Sheldon</v>
      </c>
      <c r="D88" s="54"/>
      <c r="E88" s="63"/>
      <c r="F88" s="59"/>
      <c r="G88" s="59">
        <v>20718.837</v>
      </c>
      <c r="H88" s="59"/>
      <c r="I88" s="59">
        <v>14324.385600000001</v>
      </c>
      <c r="J88" s="59"/>
      <c r="K88" s="59"/>
      <c r="L88" s="59">
        <v>36611.299234153194</v>
      </c>
      <c r="M88" s="59">
        <v>7056</v>
      </c>
      <c r="N88" s="59"/>
      <c r="O88" s="59"/>
      <c r="P88" s="59"/>
      <c r="Q88" s="59"/>
      <c r="R88" s="59"/>
      <c r="S88" s="59"/>
      <c r="T88" s="59"/>
      <c r="U88" s="59"/>
      <c r="V88" s="59"/>
      <c r="W88" s="59"/>
      <c r="X88" s="59"/>
      <c r="Y88" s="59"/>
      <c r="Z88" s="59"/>
      <c r="AA88" s="59"/>
      <c r="AB88" s="59"/>
      <c r="AC88" s="59"/>
      <c r="AD88" s="59"/>
      <c r="AE88" s="59"/>
      <c r="AF88" s="59"/>
      <c r="AG88" s="59"/>
      <c r="AH88" s="59"/>
      <c r="AI88" s="59"/>
      <c r="AJ88" s="59"/>
      <c r="AK88" s="59"/>
      <c r="AL88" s="59"/>
      <c r="AM88" s="59"/>
      <c r="AN88" s="59"/>
      <c r="AO88" s="59"/>
      <c r="AP88" s="59"/>
      <c r="AQ88" s="59"/>
      <c r="AR88" s="59"/>
      <c r="AS88" s="59"/>
      <c r="AT88" s="59"/>
      <c r="AU88" s="59"/>
      <c r="AV88" s="59"/>
      <c r="AW88" s="59"/>
      <c r="AX88" s="59"/>
      <c r="AY88" s="59"/>
      <c r="AZ88" s="59"/>
      <c r="BA88" s="59"/>
      <c r="BS88" s="5">
        <f t="shared" si="162"/>
        <v>-1</v>
      </c>
      <c r="BT88" s="5"/>
      <c r="CD88" s="5" t="e">
        <f t="shared" ca="1" si="110"/>
        <v>#REF!</v>
      </c>
      <c r="CE88" s="5" t="e">
        <f t="shared" ca="1" si="111"/>
        <v>#REF!</v>
      </c>
      <c r="CF88" s="5" t="e">
        <f t="shared" ca="1" si="112"/>
        <v>#REF!</v>
      </c>
      <c r="CG88" s="5"/>
    </row>
    <row r="89" spans="1:85" x14ac:dyDescent="0.25">
      <c r="A89" s="66" t="s">
        <v>269</v>
      </c>
      <c r="B89" s="66"/>
      <c r="C89" s="67" t="str">
        <f>PD_Bez2</f>
        <v>Amy</v>
      </c>
      <c r="D89" s="68"/>
      <c r="E89" s="69"/>
      <c r="F89" s="70">
        <v>49857</v>
      </c>
      <c r="G89" s="70">
        <v>21687</v>
      </c>
      <c r="H89" s="70">
        <v>44092.949318999985</v>
      </c>
      <c r="I89" s="70">
        <v>22427.384062499998</v>
      </c>
      <c r="J89" s="70">
        <v>135000</v>
      </c>
      <c r="K89" s="70">
        <v>135000</v>
      </c>
      <c r="L89" s="70"/>
      <c r="M89" s="70">
        <v>22724.385600000001</v>
      </c>
      <c r="N89" s="70">
        <v>29154.792664065601</v>
      </c>
      <c r="O89" s="70"/>
      <c r="P89" s="70"/>
      <c r="Q89" s="70"/>
      <c r="R89" s="70"/>
      <c r="S89" s="70"/>
      <c r="T89" s="70"/>
      <c r="U89" s="70"/>
      <c r="V89" s="70"/>
      <c r="W89" s="70"/>
      <c r="X89" s="70"/>
      <c r="Y89" s="70"/>
      <c r="Z89" s="70"/>
      <c r="AA89" s="70"/>
      <c r="AB89" s="70"/>
      <c r="AC89" s="70"/>
      <c r="AD89" s="70"/>
      <c r="AE89" s="70"/>
      <c r="AF89" s="70"/>
      <c r="AG89" s="70"/>
      <c r="AH89" s="70"/>
      <c r="AI89" s="70"/>
      <c r="AJ89" s="70"/>
      <c r="AK89" s="70"/>
      <c r="AL89" s="70"/>
      <c r="AM89" s="70"/>
      <c r="AN89" s="70"/>
      <c r="AO89" s="70"/>
      <c r="AP89" s="70"/>
      <c r="AQ89" s="70"/>
      <c r="AR89" s="70"/>
      <c r="AS89" s="70"/>
      <c r="AT89" s="70"/>
      <c r="AU89" s="70"/>
      <c r="AV89" s="70"/>
      <c r="AW89" s="70"/>
      <c r="AX89" s="70"/>
      <c r="AY89" s="70"/>
      <c r="AZ89" s="70"/>
      <c r="BA89" s="70"/>
      <c r="BS89" s="5">
        <f t="shared" si="162"/>
        <v>-1</v>
      </c>
      <c r="BT89" s="5"/>
      <c r="CD89" s="5" t="e">
        <f t="shared" ca="1" si="110"/>
        <v>#REF!</v>
      </c>
      <c r="CE89" s="5" t="e">
        <f t="shared" ca="1" si="111"/>
        <v>#REF!</v>
      </c>
      <c r="CF89" s="5" t="e">
        <f t="shared" ca="1" si="112"/>
        <v>#REF!</v>
      </c>
      <c r="CG89" s="5"/>
    </row>
    <row r="90" spans="1:85" ht="27.75" customHeight="1" x14ac:dyDescent="0.25">
      <c r="A90" s="71" t="s">
        <v>16</v>
      </c>
      <c r="B90" s="72" t="s">
        <v>110</v>
      </c>
      <c r="C90" s="73"/>
      <c r="D90" s="74"/>
      <c r="E90" s="75"/>
      <c r="F90" s="76">
        <f t="shared" ref="F90:BA90" ca="1" si="166">SUM(F91:F136)</f>
        <v>130911.20000000001</v>
      </c>
      <c r="G90" s="76">
        <f t="shared" ca="1" si="166"/>
        <v>132721.04607663947</v>
      </c>
      <c r="H90" s="76">
        <f t="shared" ca="1" si="166"/>
        <v>134273.21352291942</v>
      </c>
      <c r="I90" s="76">
        <f t="shared" ca="1" si="166"/>
        <v>134361.58387837448</v>
      </c>
      <c r="J90" s="76">
        <f t="shared" ca="1" si="166"/>
        <v>132863.38383375792</v>
      </c>
      <c r="K90" s="76">
        <f t="shared" ca="1" si="166"/>
        <v>158487.62944677746</v>
      </c>
      <c r="L90" s="76">
        <f t="shared" ca="1" si="166"/>
        <v>163110.67196501303</v>
      </c>
      <c r="M90" s="76">
        <f t="shared" ca="1" si="166"/>
        <v>108799.49083001859</v>
      </c>
      <c r="N90" s="76">
        <f t="shared" ca="1" si="166"/>
        <v>101686.30621796756</v>
      </c>
      <c r="O90" s="76">
        <f t="shared" ca="1" si="166"/>
        <v>113325.97517286593</v>
      </c>
      <c r="P90" s="76">
        <f t="shared" ca="1" si="166"/>
        <v>113521.47969620867</v>
      </c>
      <c r="Q90" s="76">
        <f t="shared" ca="1" si="166"/>
        <v>113678.49084917863</v>
      </c>
      <c r="R90" s="76">
        <f t="shared" ca="1" si="166"/>
        <v>113816.06018152158</v>
      </c>
      <c r="S90" s="76">
        <f t="shared" ca="1" si="166"/>
        <v>113933.41087415494</v>
      </c>
      <c r="T90" s="76">
        <f t="shared" ca="1" si="166"/>
        <v>114029.70241220389</v>
      </c>
      <c r="U90" s="76">
        <f t="shared" ca="1" si="166"/>
        <v>114104.11820004717</v>
      </c>
      <c r="V90" s="76">
        <f t="shared" ca="1" si="166"/>
        <v>114155.75688003801</v>
      </c>
      <c r="W90" s="76">
        <f t="shared" ca="1" si="166"/>
        <v>114183.74943416537</v>
      </c>
      <c r="X90" s="76">
        <f t="shared" ca="1" si="166"/>
        <v>114187.20032929513</v>
      </c>
      <c r="Y90" s="76">
        <f t="shared" ca="1" si="166"/>
        <v>114165.13174071349</v>
      </c>
      <c r="Z90" s="76">
        <f t="shared" ca="1" si="166"/>
        <v>114116.53615818292</v>
      </c>
      <c r="AA90" s="76">
        <f t="shared" ca="1" si="166"/>
        <v>114040.37569637064</v>
      </c>
      <c r="AB90" s="76">
        <f t="shared" ca="1" si="166"/>
        <v>113935.63609367301</v>
      </c>
      <c r="AC90" s="76">
        <f t="shared" ca="1" si="166"/>
        <v>113801.27239496264</v>
      </c>
      <c r="AD90" s="76">
        <f t="shared" ca="1" si="166"/>
        <v>113636.14814807186</v>
      </c>
      <c r="AE90" s="76">
        <f t="shared" ca="1" si="166"/>
        <v>113439.15241612005</v>
      </c>
      <c r="AF90" s="76">
        <f t="shared" ca="1" si="166"/>
        <v>113209.14574042556</v>
      </c>
      <c r="AG90" s="76">
        <f t="shared" ca="1" si="166"/>
        <v>112944.88964267549</v>
      </c>
      <c r="AH90" s="76">
        <f t="shared" ca="1" si="166"/>
        <v>112645.16791231485</v>
      </c>
      <c r="AI90" s="76">
        <f t="shared" ca="1" si="166"/>
        <v>112308.73271995364</v>
      </c>
      <c r="AJ90" s="76">
        <f t="shared" ca="1" si="166"/>
        <v>111934.23935732615</v>
      </c>
      <c r="AK90" s="76">
        <f t="shared" ca="1" si="166"/>
        <v>111520.36181674732</v>
      </c>
      <c r="AL90" s="76">
        <f t="shared" ca="1" si="166"/>
        <v>111065.73425181441</v>
      </c>
      <c r="AM90" s="76">
        <f t="shared" ca="1" si="166"/>
        <v>110568.9443826755</v>
      </c>
      <c r="AN90" s="76">
        <f t="shared" ca="1" si="166"/>
        <v>110028.51326580325</v>
      </c>
      <c r="AO90" s="76">
        <f t="shared" ca="1" si="166"/>
        <v>109442.81634447102</v>
      </c>
      <c r="AP90" s="76">
        <f t="shared" ca="1" si="166"/>
        <v>108810.2022219098</v>
      </c>
      <c r="AQ90" s="76">
        <f t="shared" ca="1" si="166"/>
        <v>108128.73748222803</v>
      </c>
      <c r="AR90" s="76">
        <f t="shared" ca="1" si="166"/>
        <v>107396.45344560622</v>
      </c>
      <c r="AS90" s="76">
        <f t="shared" ca="1" si="166"/>
        <v>106611.62705416282</v>
      </c>
      <c r="AT90" s="76">
        <f t="shared" ca="1" si="166"/>
        <v>105772.34637477255</v>
      </c>
      <c r="AU90" s="76">
        <f t="shared" ca="1" si="166"/>
        <v>104876.66529087241</v>
      </c>
      <c r="AV90" s="76">
        <f t="shared" ca="1" si="166"/>
        <v>103922.67143724623</v>
      </c>
      <c r="AW90" s="76">
        <f t="shared" ca="1" si="166"/>
        <v>102908.32662897819</v>
      </c>
      <c r="AX90" s="76">
        <f t="shared" ca="1" si="166"/>
        <v>101831.2340129283</v>
      </c>
      <c r="AY90" s="76">
        <f t="shared" ca="1" si="166"/>
        <v>100688.7413588144</v>
      </c>
      <c r="AZ90" s="76">
        <f t="shared" ca="1" si="166"/>
        <v>99478.431141984707</v>
      </c>
      <c r="BA90" s="76">
        <f t="shared" ca="1" si="166"/>
        <v>98197.832803722486</v>
      </c>
      <c r="BS90" s="5">
        <f t="shared" si="162"/>
        <v>-1</v>
      </c>
      <c r="BT90" s="5"/>
      <c r="CD90" s="5" t="e">
        <f t="shared" ca="1" si="110"/>
        <v>#REF!</v>
      </c>
      <c r="CE90" s="5" t="e">
        <f t="shared" ca="1" si="111"/>
        <v>#REF!</v>
      </c>
      <c r="CF90" s="5" t="e">
        <f t="shared" ca="1" si="112"/>
        <v>#REF!</v>
      </c>
      <c r="CG90" s="5"/>
    </row>
    <row r="91" spans="1:85" x14ac:dyDescent="0.25">
      <c r="A91" s="57" t="s">
        <v>225</v>
      </c>
      <c r="B91" s="57"/>
      <c r="C91" s="53"/>
      <c r="D91" s="54"/>
      <c r="E91" s="63"/>
      <c r="F91" s="59">
        <f t="shared" ref="F91:BA91" ca="1" si="167">F6</f>
        <v>200000</v>
      </c>
      <c r="G91" s="59">
        <f t="shared" ca="1" si="167"/>
        <v>200000</v>
      </c>
      <c r="H91" s="59">
        <f t="shared" ca="1" si="167"/>
        <v>200000</v>
      </c>
      <c r="I91" s="59">
        <f t="shared" ca="1" si="167"/>
        <v>200000</v>
      </c>
      <c r="J91" s="59">
        <f t="shared" ca="1" si="167"/>
        <v>197055.11666666667</v>
      </c>
      <c r="K91" s="59">
        <f t="shared" ca="1" si="167"/>
        <v>194219.22222222225</v>
      </c>
      <c r="L91" s="59">
        <f t="shared" ca="1" si="167"/>
        <v>184567.16592534399</v>
      </c>
      <c r="M91" s="59">
        <f t="shared" ca="1" si="167"/>
        <v>114317.165925344</v>
      </c>
      <c r="N91" s="59">
        <f t="shared" ca="1" si="167"/>
        <v>103992.165925344</v>
      </c>
      <c r="O91" s="59">
        <f t="shared" ca="1" si="167"/>
        <v>115017.165925344</v>
      </c>
      <c r="P91" s="59">
        <f t="shared" ca="1" si="167"/>
        <v>115017.165925344</v>
      </c>
      <c r="Q91" s="59">
        <f t="shared" ca="1" si="167"/>
        <v>115017.165925344</v>
      </c>
      <c r="R91" s="59">
        <f t="shared" ca="1" si="167"/>
        <v>115017.165925344</v>
      </c>
      <c r="S91" s="59">
        <f t="shared" ca="1" si="167"/>
        <v>115017.165925344</v>
      </c>
      <c r="T91" s="59">
        <f t="shared" ca="1" si="167"/>
        <v>115017.165925344</v>
      </c>
      <c r="U91" s="59">
        <f t="shared" ca="1" si="167"/>
        <v>115017.165925344</v>
      </c>
      <c r="V91" s="59">
        <f t="shared" ca="1" si="167"/>
        <v>115017.165925344</v>
      </c>
      <c r="W91" s="59">
        <f t="shared" ca="1" si="167"/>
        <v>115017.165925344</v>
      </c>
      <c r="X91" s="59">
        <f t="shared" ca="1" si="167"/>
        <v>115017.165925344</v>
      </c>
      <c r="Y91" s="59">
        <f t="shared" ca="1" si="167"/>
        <v>115017.165925344</v>
      </c>
      <c r="Z91" s="59">
        <f t="shared" ca="1" si="167"/>
        <v>115017.165925344</v>
      </c>
      <c r="AA91" s="59">
        <f t="shared" ca="1" si="167"/>
        <v>115017.165925344</v>
      </c>
      <c r="AB91" s="59">
        <f t="shared" ca="1" si="167"/>
        <v>115017.165925344</v>
      </c>
      <c r="AC91" s="59">
        <f t="shared" ca="1" si="167"/>
        <v>115017.165925344</v>
      </c>
      <c r="AD91" s="59">
        <f t="shared" ca="1" si="167"/>
        <v>115017.165925344</v>
      </c>
      <c r="AE91" s="59">
        <f t="shared" ca="1" si="167"/>
        <v>115017.165925344</v>
      </c>
      <c r="AF91" s="59">
        <f t="shared" ca="1" si="167"/>
        <v>115017.165925344</v>
      </c>
      <c r="AG91" s="59">
        <f t="shared" ca="1" si="167"/>
        <v>115017.165925344</v>
      </c>
      <c r="AH91" s="59">
        <f t="shared" ca="1" si="167"/>
        <v>115017.165925344</v>
      </c>
      <c r="AI91" s="59">
        <f t="shared" ca="1" si="167"/>
        <v>115017.165925344</v>
      </c>
      <c r="AJ91" s="59">
        <f t="shared" ca="1" si="167"/>
        <v>115017.165925344</v>
      </c>
      <c r="AK91" s="59">
        <f t="shared" ca="1" si="167"/>
        <v>115017.165925344</v>
      </c>
      <c r="AL91" s="59">
        <f t="shared" ca="1" si="167"/>
        <v>115017.165925344</v>
      </c>
      <c r="AM91" s="59">
        <f t="shared" ca="1" si="167"/>
        <v>115017.165925344</v>
      </c>
      <c r="AN91" s="59">
        <f t="shared" ca="1" si="167"/>
        <v>115017.165925344</v>
      </c>
      <c r="AO91" s="59">
        <f t="shared" ca="1" si="167"/>
        <v>115017.165925344</v>
      </c>
      <c r="AP91" s="59">
        <f t="shared" ca="1" si="167"/>
        <v>115017.165925344</v>
      </c>
      <c r="AQ91" s="59">
        <f t="shared" ca="1" si="167"/>
        <v>115017.165925344</v>
      </c>
      <c r="AR91" s="59">
        <f t="shared" ca="1" si="167"/>
        <v>115017.165925344</v>
      </c>
      <c r="AS91" s="59">
        <f t="shared" ca="1" si="167"/>
        <v>115017.165925344</v>
      </c>
      <c r="AT91" s="59">
        <f t="shared" ca="1" si="167"/>
        <v>115017.165925344</v>
      </c>
      <c r="AU91" s="59">
        <f t="shared" ca="1" si="167"/>
        <v>115017.165925344</v>
      </c>
      <c r="AV91" s="59">
        <f t="shared" ca="1" si="167"/>
        <v>115017.165925344</v>
      </c>
      <c r="AW91" s="59">
        <f t="shared" ca="1" si="167"/>
        <v>115017.165925344</v>
      </c>
      <c r="AX91" s="59">
        <f t="shared" ca="1" si="167"/>
        <v>115017.165925344</v>
      </c>
      <c r="AY91" s="59">
        <f t="shared" ca="1" si="167"/>
        <v>115017.165925344</v>
      </c>
      <c r="AZ91" s="59">
        <f t="shared" ca="1" si="167"/>
        <v>115017.165925344</v>
      </c>
      <c r="BA91" s="59">
        <f t="shared" ca="1" si="167"/>
        <v>115017.165925344</v>
      </c>
      <c r="BS91" s="5">
        <f t="shared" si="162"/>
        <v>-1</v>
      </c>
      <c r="BT91" s="5"/>
      <c r="CD91" s="5" t="e">
        <f t="shared" ca="1" si="110"/>
        <v>#REF!</v>
      </c>
      <c r="CE91" s="5" t="e">
        <f t="shared" ca="1" si="111"/>
        <v>#REF!</v>
      </c>
      <c r="CF91" s="5" t="e">
        <f t="shared" ca="1" si="112"/>
        <v>#REF!</v>
      </c>
      <c r="CG91" s="5"/>
    </row>
    <row r="92" spans="1:85" x14ac:dyDescent="0.25">
      <c r="A92" s="57" t="s">
        <v>107</v>
      </c>
      <c r="B92" s="57"/>
      <c r="C92" s="34"/>
      <c r="D92" s="61">
        <v>0.5</v>
      </c>
      <c r="E92" s="65"/>
      <c r="F92" s="59">
        <f t="shared" ref="F92:BA92" ca="1" si="168">F85*$D92</f>
        <v>1831.2000000000003</v>
      </c>
      <c r="G92" s="59">
        <f t="shared" ca="1" si="168"/>
        <v>3641.0460766394635</v>
      </c>
      <c r="H92" s="59">
        <f t="shared" ca="1" si="168"/>
        <v>5193.2135229194228</v>
      </c>
      <c r="I92" s="59">
        <f t="shared" ca="1" si="168"/>
        <v>6781.5838783744757</v>
      </c>
      <c r="J92" s="59">
        <f t="shared" ca="1" si="168"/>
        <v>8228.2671670912659</v>
      </c>
      <c r="K92" s="59">
        <f t="shared" ca="1" si="168"/>
        <v>11346.407224555209</v>
      </c>
      <c r="L92" s="59">
        <f t="shared" ca="1" si="168"/>
        <v>16165.506039669031</v>
      </c>
      <c r="M92" s="59">
        <f t="shared" ca="1" si="168"/>
        <v>17076.324904674602</v>
      </c>
      <c r="N92" s="59">
        <f t="shared" ca="1" si="168"/>
        <v>17488.140292623564</v>
      </c>
      <c r="O92" s="59">
        <f t="shared" ca="1" si="168"/>
        <v>18102.809247521931</v>
      </c>
      <c r="P92" s="59">
        <f t="shared" ca="1" si="168"/>
        <v>18298.313770864672</v>
      </c>
      <c r="Q92" s="59">
        <f t="shared" ca="1" si="168"/>
        <v>18455.324923834622</v>
      </c>
      <c r="R92" s="59">
        <f t="shared" ca="1" si="168"/>
        <v>18592.894256177569</v>
      </c>
      <c r="S92" s="59">
        <f t="shared" ca="1" si="168"/>
        <v>18710.244948810927</v>
      </c>
      <c r="T92" s="59">
        <f t="shared" ca="1" si="168"/>
        <v>18806.536486859899</v>
      </c>
      <c r="U92" s="59">
        <f t="shared" ca="1" si="168"/>
        <v>18880.952274703166</v>
      </c>
      <c r="V92" s="59">
        <f t="shared" ca="1" si="168"/>
        <v>18932.590954694002</v>
      </c>
      <c r="W92" s="59">
        <f t="shared" ca="1" si="168"/>
        <v>18960.583508821361</v>
      </c>
      <c r="X92" s="59">
        <f t="shared" ca="1" si="168"/>
        <v>18964.034403951136</v>
      </c>
      <c r="Y92" s="59">
        <f t="shared" ca="1" si="168"/>
        <v>18941.965815369505</v>
      </c>
      <c r="Z92" s="59">
        <f t="shared" ca="1" si="168"/>
        <v>18893.370232838915</v>
      </c>
      <c r="AA92" s="59">
        <f t="shared" ca="1" si="168"/>
        <v>18817.209771026643</v>
      </c>
      <c r="AB92" s="59">
        <f t="shared" ca="1" si="168"/>
        <v>18712.470168329011</v>
      </c>
      <c r="AC92" s="59">
        <f t="shared" ca="1" si="168"/>
        <v>18578.10646961864</v>
      </c>
      <c r="AD92" s="59">
        <f t="shared" ca="1" si="168"/>
        <v>18412.982222727871</v>
      </c>
      <c r="AE92" s="59">
        <f t="shared" ca="1" si="168"/>
        <v>18215.986490776042</v>
      </c>
      <c r="AF92" s="59">
        <f t="shared" ca="1" si="168"/>
        <v>17985.979815081548</v>
      </c>
      <c r="AG92" s="59">
        <f t="shared" ca="1" si="168"/>
        <v>17721.723717331493</v>
      </c>
      <c r="AH92" s="59">
        <f t="shared" ca="1" si="168"/>
        <v>17422.001986970856</v>
      </c>
      <c r="AI92" s="59">
        <f t="shared" ca="1" si="168"/>
        <v>17085.566794609622</v>
      </c>
      <c r="AJ92" s="59">
        <f t="shared" ca="1" si="168"/>
        <v>16711.073431982142</v>
      </c>
      <c r="AK92" s="59">
        <f t="shared" ca="1" si="168"/>
        <v>16297.19589140332</v>
      </c>
      <c r="AL92" s="59">
        <f t="shared" ca="1" si="168"/>
        <v>15842.568326470417</v>
      </c>
      <c r="AM92" s="59">
        <f t="shared" ca="1" si="168"/>
        <v>15345.778457331495</v>
      </c>
      <c r="AN92" s="59">
        <f t="shared" ca="1" si="168"/>
        <v>14805.347340459246</v>
      </c>
      <c r="AO92" s="59">
        <f t="shared" ca="1" si="168"/>
        <v>14219.650419127025</v>
      </c>
      <c r="AP92" s="59">
        <f t="shared" ca="1" si="168"/>
        <v>13587.036296565793</v>
      </c>
      <c r="AQ92" s="59">
        <f t="shared" ca="1" si="168"/>
        <v>12905.571556884021</v>
      </c>
      <c r="AR92" s="59">
        <f t="shared" ca="1" si="168"/>
        <v>12173.287520262225</v>
      </c>
      <c r="AS92" s="59">
        <f t="shared" ca="1" si="168"/>
        <v>11388.461128818812</v>
      </c>
      <c r="AT92" s="59">
        <f t="shared" ca="1" si="168"/>
        <v>10549.180449428548</v>
      </c>
      <c r="AU92" s="59">
        <f t="shared" ca="1" si="168"/>
        <v>9653.4993655284034</v>
      </c>
      <c r="AV92" s="59">
        <f t="shared" ca="1" si="168"/>
        <v>8699.5055119022345</v>
      </c>
      <c r="AW92" s="59">
        <f t="shared" ca="1" si="168"/>
        <v>7685.1607036341848</v>
      </c>
      <c r="AX92" s="59">
        <f t="shared" ca="1" si="168"/>
        <v>6608.0680875843</v>
      </c>
      <c r="AY92" s="59">
        <f t="shared" ca="1" si="168"/>
        <v>5465.5754334703988</v>
      </c>
      <c r="AZ92" s="59">
        <f t="shared" ca="1" si="168"/>
        <v>4255.2652166407024</v>
      </c>
      <c r="BA92" s="59">
        <f t="shared" ca="1" si="168"/>
        <v>2974.666878378488</v>
      </c>
      <c r="BS92" s="5">
        <f t="shared" si="162"/>
        <v>-1</v>
      </c>
      <c r="BT92" s="5"/>
      <c r="CD92" s="5" t="e">
        <f t="shared" ca="1" si="110"/>
        <v>#REF!</v>
      </c>
      <c r="CE92" s="5" t="e">
        <f t="shared" ca="1" si="111"/>
        <v>#REF!</v>
      </c>
      <c r="CF92" s="5" t="e">
        <f t="shared" ca="1" si="112"/>
        <v>#REF!</v>
      </c>
      <c r="CG92" s="5"/>
    </row>
    <row r="93" spans="1:85" x14ac:dyDescent="0.25">
      <c r="A93" s="57" t="s">
        <v>100</v>
      </c>
      <c r="B93" s="57"/>
      <c r="C93" s="53"/>
      <c r="D93" s="54"/>
      <c r="E93" s="63"/>
      <c r="F93" s="59">
        <f t="shared" ref="F93:BA93" ca="1" si="169">F37</f>
        <v>-14390</v>
      </c>
      <c r="G93" s="59">
        <f t="shared" ca="1" si="169"/>
        <v>-14390</v>
      </c>
      <c r="H93" s="59">
        <f t="shared" ca="1" si="169"/>
        <v>-14390</v>
      </c>
      <c r="I93" s="59">
        <f t="shared" ca="1" si="169"/>
        <v>-15890</v>
      </c>
      <c r="J93" s="59">
        <f t="shared" ca="1" si="169"/>
        <v>-15890</v>
      </c>
      <c r="K93" s="59">
        <f t="shared" ca="1" si="169"/>
        <v>-17600</v>
      </c>
      <c r="L93" s="59">
        <f t="shared" ca="1" si="169"/>
        <v>-17600</v>
      </c>
      <c r="M93" s="59">
        <f t="shared" ca="1" si="169"/>
        <v>-17600</v>
      </c>
      <c r="N93" s="59">
        <f t="shared" ca="1" si="169"/>
        <v>-17600</v>
      </c>
      <c r="O93" s="59">
        <f t="shared" ca="1" si="169"/>
        <v>-17600</v>
      </c>
      <c r="P93" s="59">
        <f t="shared" ca="1" si="169"/>
        <v>-17600</v>
      </c>
      <c r="Q93" s="59">
        <f t="shared" ca="1" si="169"/>
        <v>-17600</v>
      </c>
      <c r="R93" s="59">
        <f t="shared" ca="1" si="169"/>
        <v>-17600</v>
      </c>
      <c r="S93" s="59">
        <f t="shared" ca="1" si="169"/>
        <v>-17600</v>
      </c>
      <c r="T93" s="59">
        <f t="shared" ca="1" si="169"/>
        <v>-17600</v>
      </c>
      <c r="U93" s="59">
        <f t="shared" ca="1" si="169"/>
        <v>-17600</v>
      </c>
      <c r="V93" s="59">
        <f t="shared" ca="1" si="169"/>
        <v>-17600</v>
      </c>
      <c r="W93" s="59">
        <f t="shared" ca="1" si="169"/>
        <v>-17600</v>
      </c>
      <c r="X93" s="59">
        <f t="shared" ca="1" si="169"/>
        <v>-17600</v>
      </c>
      <c r="Y93" s="59">
        <f t="shared" ca="1" si="169"/>
        <v>-17600</v>
      </c>
      <c r="Z93" s="59">
        <f t="shared" ca="1" si="169"/>
        <v>-17600</v>
      </c>
      <c r="AA93" s="59">
        <f t="shared" ca="1" si="169"/>
        <v>-17600</v>
      </c>
      <c r="AB93" s="59">
        <f t="shared" ca="1" si="169"/>
        <v>-17600</v>
      </c>
      <c r="AC93" s="59">
        <f t="shared" ca="1" si="169"/>
        <v>-17600</v>
      </c>
      <c r="AD93" s="59">
        <f t="shared" ca="1" si="169"/>
        <v>-17600</v>
      </c>
      <c r="AE93" s="59">
        <f t="shared" ca="1" si="169"/>
        <v>-17600</v>
      </c>
      <c r="AF93" s="59">
        <f t="shared" ca="1" si="169"/>
        <v>-17600</v>
      </c>
      <c r="AG93" s="59">
        <f t="shared" ca="1" si="169"/>
        <v>-17600</v>
      </c>
      <c r="AH93" s="59">
        <f t="shared" ca="1" si="169"/>
        <v>-17600</v>
      </c>
      <c r="AI93" s="59">
        <f t="shared" ca="1" si="169"/>
        <v>-17600</v>
      </c>
      <c r="AJ93" s="59">
        <f t="shared" ca="1" si="169"/>
        <v>-17600</v>
      </c>
      <c r="AK93" s="59">
        <f t="shared" ca="1" si="169"/>
        <v>-17600</v>
      </c>
      <c r="AL93" s="59">
        <f t="shared" ca="1" si="169"/>
        <v>-17600</v>
      </c>
      <c r="AM93" s="59">
        <f t="shared" ca="1" si="169"/>
        <v>-17600</v>
      </c>
      <c r="AN93" s="59">
        <f t="shared" ca="1" si="169"/>
        <v>-17600</v>
      </c>
      <c r="AO93" s="59">
        <f t="shared" ca="1" si="169"/>
        <v>-17600</v>
      </c>
      <c r="AP93" s="59">
        <f t="shared" ca="1" si="169"/>
        <v>-17600</v>
      </c>
      <c r="AQ93" s="59">
        <f t="shared" ca="1" si="169"/>
        <v>-17600</v>
      </c>
      <c r="AR93" s="59">
        <f t="shared" ca="1" si="169"/>
        <v>-17600</v>
      </c>
      <c r="AS93" s="59">
        <f t="shared" ca="1" si="169"/>
        <v>-17600</v>
      </c>
      <c r="AT93" s="59">
        <f t="shared" ca="1" si="169"/>
        <v>-17600</v>
      </c>
      <c r="AU93" s="59">
        <f t="shared" ca="1" si="169"/>
        <v>-17600</v>
      </c>
      <c r="AV93" s="59">
        <f t="shared" ca="1" si="169"/>
        <v>-17600</v>
      </c>
      <c r="AW93" s="59">
        <f t="shared" ca="1" si="169"/>
        <v>-17600</v>
      </c>
      <c r="AX93" s="59">
        <f t="shared" ca="1" si="169"/>
        <v>-17600</v>
      </c>
      <c r="AY93" s="59">
        <f t="shared" ca="1" si="169"/>
        <v>-17600</v>
      </c>
      <c r="AZ93" s="59">
        <f t="shared" ca="1" si="169"/>
        <v>-17600</v>
      </c>
      <c r="BA93" s="59">
        <f t="shared" ca="1" si="169"/>
        <v>-17600</v>
      </c>
      <c r="BS93" s="5">
        <f t="shared" si="162"/>
        <v>-1</v>
      </c>
      <c r="BT93" s="5"/>
      <c r="CD93" s="5" t="e">
        <f t="shared" ca="1" si="110"/>
        <v>#REF!</v>
      </c>
      <c r="CE93" s="5" t="e">
        <f t="shared" ca="1" si="111"/>
        <v>#REF!</v>
      </c>
      <c r="CF93" s="5" t="e">
        <f t="shared" ca="1" si="112"/>
        <v>#REF!</v>
      </c>
      <c r="CG93" s="5"/>
    </row>
    <row r="94" spans="1:85" hidden="1" x14ac:dyDescent="0.25">
      <c r="A94" s="57"/>
      <c r="B94" s="57"/>
      <c r="C94" s="53"/>
      <c r="D94" s="54"/>
      <c r="E94" s="63"/>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c r="AE94" s="59"/>
      <c r="AF94" s="59"/>
      <c r="AG94" s="59"/>
      <c r="AH94" s="59"/>
      <c r="AI94" s="59"/>
      <c r="AJ94" s="59"/>
      <c r="AK94" s="59"/>
      <c r="AL94" s="59"/>
      <c r="AM94" s="59"/>
      <c r="AN94" s="59"/>
      <c r="AO94" s="59"/>
      <c r="AP94" s="59"/>
      <c r="AQ94" s="59"/>
      <c r="AR94" s="59"/>
      <c r="AS94" s="59"/>
      <c r="AT94" s="59"/>
      <c r="AU94" s="59"/>
      <c r="AV94" s="59"/>
      <c r="AW94" s="59"/>
      <c r="AX94" s="59"/>
      <c r="AY94" s="59"/>
      <c r="AZ94" s="59"/>
      <c r="BA94" s="59"/>
      <c r="BS94" s="5">
        <f t="shared" si="162"/>
        <v>-1</v>
      </c>
      <c r="BT94" s="5"/>
      <c r="CD94" s="5" t="e">
        <f t="shared" ca="1" si="110"/>
        <v>#REF!</v>
      </c>
      <c r="CE94" s="5" t="e">
        <f t="shared" ca="1" si="111"/>
        <v>#REF!</v>
      </c>
      <c r="CF94" s="5" t="e">
        <f t="shared" ca="1" si="112"/>
        <v>#REF!</v>
      </c>
      <c r="CG94" s="5"/>
    </row>
    <row r="95" spans="1:85" hidden="1" x14ac:dyDescent="0.25">
      <c r="A95" s="57"/>
      <c r="B95" s="57"/>
      <c r="C95" s="53"/>
      <c r="D95" s="54"/>
      <c r="E95" s="63"/>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c r="AE95" s="59"/>
      <c r="AF95" s="59"/>
      <c r="AG95" s="59"/>
      <c r="AH95" s="59"/>
      <c r="AI95" s="59"/>
      <c r="AJ95" s="59"/>
      <c r="AK95" s="59"/>
      <c r="AL95" s="59"/>
      <c r="AM95" s="59"/>
      <c r="AN95" s="59"/>
      <c r="AO95" s="59"/>
      <c r="AP95" s="59"/>
      <c r="AQ95" s="59"/>
      <c r="AR95" s="59"/>
      <c r="AS95" s="59"/>
      <c r="AT95" s="59"/>
      <c r="AU95" s="59"/>
      <c r="AV95" s="59"/>
      <c r="AW95" s="59"/>
      <c r="AX95" s="59"/>
      <c r="AY95" s="59"/>
      <c r="AZ95" s="59"/>
      <c r="BA95" s="59"/>
      <c r="BS95" s="5">
        <f t="shared" si="162"/>
        <v>-1</v>
      </c>
      <c r="BT95" s="5"/>
      <c r="CD95" s="5" t="e">
        <f t="shared" ca="1" si="110"/>
        <v>#REF!</v>
      </c>
      <c r="CE95" s="5" t="e">
        <f t="shared" ca="1" si="111"/>
        <v>#REF!</v>
      </c>
      <c r="CF95" s="5" t="e">
        <f t="shared" ca="1" si="112"/>
        <v>#REF!</v>
      </c>
      <c r="CG95" s="5"/>
    </row>
    <row r="96" spans="1:85" hidden="1" x14ac:dyDescent="0.25">
      <c r="A96" s="57"/>
      <c r="B96" s="57" t="s">
        <v>85</v>
      </c>
      <c r="C96" s="53"/>
      <c r="D96" s="54"/>
      <c r="E96" s="63"/>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c r="AE96" s="59"/>
      <c r="AF96" s="59"/>
      <c r="AG96" s="59"/>
      <c r="AH96" s="59"/>
      <c r="AI96" s="59"/>
      <c r="AJ96" s="59"/>
      <c r="AK96" s="59"/>
      <c r="AL96" s="59"/>
      <c r="AM96" s="59"/>
      <c r="AN96" s="59"/>
      <c r="AO96" s="59"/>
      <c r="AP96" s="59"/>
      <c r="AQ96" s="59"/>
      <c r="AR96" s="59"/>
      <c r="AS96" s="59"/>
      <c r="AT96" s="59"/>
      <c r="AU96" s="59"/>
      <c r="AV96" s="59"/>
      <c r="AW96" s="59"/>
      <c r="AX96" s="59"/>
      <c r="AY96" s="59"/>
      <c r="AZ96" s="59"/>
      <c r="BA96" s="59"/>
      <c r="BS96" s="5">
        <f t="shared" si="162"/>
        <v>-1</v>
      </c>
      <c r="BT96" s="5"/>
      <c r="CD96" s="5" t="e">
        <f t="shared" ca="1" si="110"/>
        <v>#REF!</v>
      </c>
      <c r="CE96" s="5" t="e">
        <f t="shared" ca="1" si="111"/>
        <v>#REF!</v>
      </c>
      <c r="CF96" s="5" t="e">
        <f t="shared" ca="1" si="112"/>
        <v>#REF!</v>
      </c>
      <c r="CG96" s="5"/>
    </row>
    <row r="97" spans="1:85" x14ac:dyDescent="0.25">
      <c r="A97" s="57" t="str" cm="1">
        <f t="array" aca="1" ref="A97:A99" ca="1">_xlfn._xlws.FILTER(INDIRECT($B96&amp;"[Titel]"),INDIRECT($B96&amp;"[Abziehb]")=1)</f>
        <v>Unterhaltskosten Leonard</v>
      </c>
      <c r="B97" s="57" cm="1">
        <f t="array" aca="1" ref="B97:B99" ca="1">_xlfn._xlws.FILTER(INDIRECT($B96&amp;"[Id]"),INDIRECT($B96&amp;"[Abziehb]")=1)</f>
        <v>4</v>
      </c>
      <c r="C97" s="53" t="str" cm="1">
        <f t="array" aca="1" ref="C97:C99" ca="1">_xlfn._xlws.FILTER(INDIRECT($B96&amp;"[Zugehörigkeit Bezeichnung]"),INDIRECT($B96&amp;"[Abziehb]")=1)</f>
        <v>Amy</v>
      </c>
      <c r="D97" s="54" cm="1">
        <f t="array" aca="1" ref="D97:D99" ca="1">_xlfn._xlws.FILTER(INDIRECT($B96&amp;"[Rendite / Zins]"),INDIRECT($B96&amp;"[Abziehb]")=1)</f>
        <v>0</v>
      </c>
      <c r="E97" s="54"/>
      <c r="F97" s="59" cm="1">
        <f t="array" aca="1" ref="F97:F99" ca="1">_xlfn._xlws.FILTER(INDIRECT($B96&amp;"[Betrag]"),INDIRECT($B96&amp;"[Abziehb]")=1)</f>
        <v>-12000</v>
      </c>
      <c r="G97" s="59" cm="1">
        <f t="array" aca="1" ref="G97:G99" ca="1">_xlfn.SWITCH(IFERROR(VLOOKUP(G$3&amp;$B$96&amp;_xlfn.ANCHORARRAY($B97),$BT:$CA,5,0),0),
0,_xlfn.ANCHORARRAY(F97)*(1+_xlfn.ANCHORARRAY($D97))+SUMIF($BT:$BT,G$3&amp;$B$96&amp;_xlfn.ANCHORARRAY($B97),$CA:$CA),
1,VLOOKUP(G$3&amp;$B$96&amp;_xlfn.ANCHORARRAY($B97),$BT:$CA,6,0),
2,_xlfn.ANCHORARRAY(F97)*(1+_xlfn.ANCHORARRAY($D97))*VLOOKUP(G$3&amp;$B$96&amp;_xlfn.ANCHORARRAY($B97),$BT:$CA,7,0))</f>
        <v>-12000</v>
      </c>
      <c r="H97" s="59" cm="1">
        <f t="array" aca="1" ref="H97:H99" ca="1">_xlfn.SWITCH(IFERROR(VLOOKUP(H$3&amp;$B$20&amp;_xlfn.ANCHORARRAY($B97),$BT:$CA,5,0),0),
0,_xlfn.ANCHORARRAY(G97)*(1+_xlfn.ANCHORARRAY($D97))+SUMIF($BT:$BT,H$3&amp;$B$20&amp;_xlfn.ANCHORARRAY($B97),$CA:$CA),
1,VLOOKUP(H$3&amp;$B$20&amp;_xlfn.ANCHORARRAY($B97),$BT:$CA,6,0),
2,_xlfn.ANCHORARRAY(G97)*(1+_xlfn.ANCHORARRAY($D97))*VLOOKUP(H$3&amp;$B$20&amp;_xlfn.ANCHORARRAY($B97),$BT:$CA,7,0))</f>
        <v>-12000</v>
      </c>
      <c r="I97" s="59" cm="1">
        <f t="array" aca="1" ref="I97:I99" ca="1">_xlfn.SWITCH(IFERROR(VLOOKUP(I$3&amp;$B$20&amp;_xlfn.ANCHORARRAY($B97),$BT:$CA,5,0),0),
0,_xlfn.ANCHORARRAY(H97)*(1+_xlfn.ANCHORARRAY($D97))+SUMIF($BT:$BT,I$3&amp;$B$20&amp;_xlfn.ANCHORARRAY($B97),$CA:$CA),
1,VLOOKUP(I$3&amp;$B$20&amp;_xlfn.ANCHORARRAY($B97),$BT:$CA,6,0),
2,_xlfn.ANCHORARRAY(H97)*(1+_xlfn.ANCHORARRAY($D97))*VLOOKUP(I$3&amp;$B$20&amp;_xlfn.ANCHORARRAY($B97),$BT:$CA,7,0))</f>
        <v>-12000</v>
      </c>
      <c r="J97" s="59" cm="1">
        <f t="array" aca="1" ref="J97:J99" ca="1">_xlfn.SWITCH(IFERROR(VLOOKUP(J$3&amp;$B$20&amp;_xlfn.ANCHORARRAY($B97),$BT:$CA,5,0),0),
0,_xlfn.ANCHORARRAY(I97)*(1+_xlfn.ANCHORARRAY($D97))+SUMIF($BT:$BT,J$3&amp;$B$20&amp;_xlfn.ANCHORARRAY($B97),$CA:$CA),
1,VLOOKUP(J$3&amp;$B$20&amp;_xlfn.ANCHORARRAY($B97),$BT:$CA,6,0),
2,_xlfn.ANCHORARRAY(I97)*(1+_xlfn.ANCHORARRAY($D97))*VLOOKUP(J$3&amp;$B$20&amp;_xlfn.ANCHORARRAY($B97),$BT:$CA,7,0))</f>
        <v>-12000</v>
      </c>
      <c r="K97" s="59" cm="1">
        <f t="array" aca="1" ref="K97:K99" ca="1">_xlfn.SWITCH(IFERROR(VLOOKUP(K$3&amp;$B$20&amp;_xlfn.ANCHORARRAY($B97),$BT:$CA,5,0),0),
0,_xlfn.ANCHORARRAY(J97)*(1+_xlfn.ANCHORARRAY($D97))+SUMIF($BT:$BT,K$3&amp;$B$20&amp;_xlfn.ANCHORARRAY($B97),$CA:$CA),
1,VLOOKUP(K$3&amp;$B$20&amp;_xlfn.ANCHORARRAY($B97),$BT:$CA,6,0),
2,_xlfn.ANCHORARRAY(J97)*(1+_xlfn.ANCHORARRAY($D97))*VLOOKUP(K$3&amp;$B$20&amp;_xlfn.ANCHORARRAY($B97),$BT:$CA,7,0))</f>
        <v>-8000</v>
      </c>
      <c r="L97" s="59" cm="1">
        <f t="array" aca="1" ref="L97:L99" ca="1">_xlfn.SWITCH(IFERROR(VLOOKUP(L$3&amp;$B$20&amp;_xlfn.ANCHORARRAY($B97),$BT:$CA,5,0),0),
0,_xlfn.ANCHORARRAY(K97)*(1+_xlfn.ANCHORARRAY($D97))+SUMIF($BT:$BT,L$3&amp;$B$20&amp;_xlfn.ANCHORARRAY($B97),$CA:$CA),
1,VLOOKUP(L$3&amp;$B$20&amp;_xlfn.ANCHORARRAY($B97),$BT:$CA,6,0),
2,_xlfn.ANCHORARRAY(K97)*(1+_xlfn.ANCHORARRAY($D97))*VLOOKUP(L$3&amp;$B$20&amp;_xlfn.ANCHORARRAY($B97),$BT:$CA,7,0))</f>
        <v>0</v>
      </c>
      <c r="M97" s="59" cm="1">
        <f t="array" aca="1" ref="M97:M99" ca="1">_xlfn.SWITCH(IFERROR(VLOOKUP(M$3&amp;$B$20&amp;_xlfn.ANCHORARRAY($B97),$BT:$CA,5,0),0),
0,_xlfn.ANCHORARRAY(L97)*(1+_xlfn.ANCHORARRAY($D97))+SUMIF($BT:$BT,M$3&amp;$B$20&amp;_xlfn.ANCHORARRAY($B97),$CA:$CA),
1,VLOOKUP(M$3&amp;$B$20&amp;_xlfn.ANCHORARRAY($B97),$BT:$CA,6,0),
2,_xlfn.ANCHORARRAY(L97)*(1+_xlfn.ANCHORARRAY($D97))*VLOOKUP(M$3&amp;$B$20&amp;_xlfn.ANCHORARRAY($B97),$BT:$CA,7,0))</f>
        <v>0</v>
      </c>
      <c r="N97" s="59" cm="1">
        <f t="array" aca="1" ref="N97:N99" ca="1">_xlfn.SWITCH(IFERROR(VLOOKUP(N$3&amp;$B$20&amp;_xlfn.ANCHORARRAY($B97),$BT:$CA,5,0),0),
0,_xlfn.ANCHORARRAY(M97)*(1+_xlfn.ANCHORARRAY($D97))+SUMIF($BT:$BT,N$3&amp;$B$20&amp;_xlfn.ANCHORARRAY($B97),$CA:$CA),
1,VLOOKUP(N$3&amp;$B$20&amp;_xlfn.ANCHORARRAY($B97),$BT:$CA,6,0),
2,_xlfn.ANCHORARRAY(M97)*(1+_xlfn.ANCHORARRAY($D97))*VLOOKUP(N$3&amp;$B$20&amp;_xlfn.ANCHORARRAY($B97),$BT:$CA,7,0))</f>
        <v>0</v>
      </c>
      <c r="O97" s="59" cm="1">
        <f t="array" aca="1" ref="O97:O99" ca="1">_xlfn.SWITCH(IFERROR(VLOOKUP(O$3&amp;$B$20&amp;_xlfn.ANCHORARRAY($B97),$BT:$CA,5,0),0),
0,_xlfn.ANCHORARRAY(N97)*(1+_xlfn.ANCHORARRAY($D97))+SUMIF($BT:$BT,O$3&amp;$B$20&amp;_xlfn.ANCHORARRAY($B97),$CA:$CA),
1,VLOOKUP(O$3&amp;$B$20&amp;_xlfn.ANCHORARRAY($B97),$BT:$CA,6,0),
2,_xlfn.ANCHORARRAY(N97)*(1+_xlfn.ANCHORARRAY($D97))*VLOOKUP(O$3&amp;$B$20&amp;_xlfn.ANCHORARRAY($B97),$BT:$CA,7,0))</f>
        <v>0</v>
      </c>
      <c r="P97" s="59" cm="1">
        <f t="array" aca="1" ref="P97:P99" ca="1">_xlfn.SWITCH(IFERROR(VLOOKUP(P$3&amp;$B$20&amp;_xlfn.ANCHORARRAY($B97),$BT:$CA,5,0),0),
0,_xlfn.ANCHORARRAY(O97)*(1+_xlfn.ANCHORARRAY($D97))+SUMIF($BT:$BT,P$3&amp;$B$20&amp;_xlfn.ANCHORARRAY($B97),$CA:$CA),
1,VLOOKUP(P$3&amp;$B$20&amp;_xlfn.ANCHORARRAY($B97),$BT:$CA,6,0),
2,_xlfn.ANCHORARRAY(O97)*(1+_xlfn.ANCHORARRAY($D97))*VLOOKUP(P$3&amp;$B$20&amp;_xlfn.ANCHORARRAY($B97),$BT:$CA,7,0))</f>
        <v>0</v>
      </c>
      <c r="Q97" s="59" cm="1">
        <f t="array" aca="1" ref="Q97:Q99" ca="1">_xlfn.SWITCH(IFERROR(VLOOKUP(Q$3&amp;$B$20&amp;_xlfn.ANCHORARRAY($B97),$BT:$CA,5,0),0),
0,_xlfn.ANCHORARRAY(P97)*(1+_xlfn.ANCHORARRAY($D97))+SUMIF($BT:$BT,Q$3&amp;$B$20&amp;_xlfn.ANCHORARRAY($B97),$CA:$CA),
1,VLOOKUP(Q$3&amp;$B$20&amp;_xlfn.ANCHORARRAY($B97),$BT:$CA,6,0),
2,_xlfn.ANCHORARRAY(P97)*(1+_xlfn.ANCHORARRAY($D97))*VLOOKUP(Q$3&amp;$B$20&amp;_xlfn.ANCHORARRAY($B97),$BT:$CA,7,0))</f>
        <v>0</v>
      </c>
      <c r="R97" s="59" cm="1">
        <f t="array" aca="1" ref="R97:R99" ca="1">_xlfn.SWITCH(IFERROR(VLOOKUP(R$3&amp;$B$20&amp;_xlfn.ANCHORARRAY($B97),$BT:$CA,5,0),0),
0,_xlfn.ANCHORARRAY(Q97)*(1+_xlfn.ANCHORARRAY($D97))+SUMIF($BT:$BT,R$3&amp;$B$20&amp;_xlfn.ANCHORARRAY($B97),$CA:$CA),
1,VLOOKUP(R$3&amp;$B$20&amp;_xlfn.ANCHORARRAY($B97),$BT:$CA,6,0),
2,_xlfn.ANCHORARRAY(Q97)*(1+_xlfn.ANCHORARRAY($D97))*VLOOKUP(R$3&amp;$B$20&amp;_xlfn.ANCHORARRAY($B97),$BT:$CA,7,0))</f>
        <v>0</v>
      </c>
      <c r="S97" s="59" cm="1">
        <f t="array" aca="1" ref="S97:S99" ca="1">_xlfn.SWITCH(IFERROR(VLOOKUP(S$3&amp;$B$20&amp;_xlfn.ANCHORARRAY($B97),$BT:$CA,5,0),0),
0,_xlfn.ANCHORARRAY(R97)*(1+_xlfn.ANCHORARRAY($D97))+SUMIF($BT:$BT,S$3&amp;$B$20&amp;_xlfn.ANCHORARRAY($B97),$CA:$CA),
1,VLOOKUP(S$3&amp;$B$20&amp;_xlfn.ANCHORARRAY($B97),$BT:$CA,6,0),
2,_xlfn.ANCHORARRAY(R97)*(1+_xlfn.ANCHORARRAY($D97))*VLOOKUP(S$3&amp;$B$20&amp;_xlfn.ANCHORARRAY($B97),$BT:$CA,7,0))</f>
        <v>0</v>
      </c>
      <c r="T97" s="59" cm="1">
        <f t="array" aca="1" ref="T97:T99" ca="1">_xlfn.SWITCH(IFERROR(VLOOKUP(T$3&amp;$B$20&amp;_xlfn.ANCHORARRAY($B97),$BT:$CA,5,0),0),
0,_xlfn.ANCHORARRAY(S97)*(1+_xlfn.ANCHORARRAY($D97))+SUMIF($BT:$BT,T$3&amp;$B$20&amp;_xlfn.ANCHORARRAY($B97),$CA:$CA),
1,VLOOKUP(T$3&amp;$B$20&amp;_xlfn.ANCHORARRAY($B97),$BT:$CA,6,0),
2,_xlfn.ANCHORARRAY(S97)*(1+_xlfn.ANCHORARRAY($D97))*VLOOKUP(T$3&amp;$B$20&amp;_xlfn.ANCHORARRAY($B97),$BT:$CA,7,0))</f>
        <v>0</v>
      </c>
      <c r="U97" s="59" cm="1">
        <f t="array" aca="1" ref="U97:U99" ca="1">_xlfn.SWITCH(IFERROR(VLOOKUP(U$3&amp;$B$20&amp;_xlfn.ANCHORARRAY($B97),$BT:$CA,5,0),0),
0,_xlfn.ANCHORARRAY(T97)*(1+_xlfn.ANCHORARRAY($D97))+SUMIF($BT:$BT,U$3&amp;$B$20&amp;_xlfn.ANCHORARRAY($B97),$CA:$CA),
1,VLOOKUP(U$3&amp;$B$20&amp;_xlfn.ANCHORARRAY($B97),$BT:$CA,6,0),
2,_xlfn.ANCHORARRAY(T97)*(1+_xlfn.ANCHORARRAY($D97))*VLOOKUP(U$3&amp;$B$20&amp;_xlfn.ANCHORARRAY($B97),$BT:$CA,7,0))</f>
        <v>0</v>
      </c>
      <c r="V97" s="59" cm="1">
        <f t="array" aca="1" ref="V97:V99" ca="1">_xlfn.SWITCH(IFERROR(VLOOKUP(V$3&amp;$B$20&amp;_xlfn.ANCHORARRAY($B97),$BT:$CA,5,0),0),
0,_xlfn.ANCHORARRAY(U97)*(1+_xlfn.ANCHORARRAY($D97))+SUMIF($BT:$BT,V$3&amp;$B$20&amp;_xlfn.ANCHORARRAY($B97),$CA:$CA),
1,VLOOKUP(V$3&amp;$B$20&amp;_xlfn.ANCHORARRAY($B97),$BT:$CA,6,0),
2,_xlfn.ANCHORARRAY(U97)*(1+_xlfn.ANCHORARRAY($D97))*VLOOKUP(V$3&amp;$B$20&amp;_xlfn.ANCHORARRAY($B97),$BT:$CA,7,0))</f>
        <v>0</v>
      </c>
      <c r="W97" s="59" cm="1">
        <f t="array" aca="1" ref="W97:W99" ca="1">_xlfn.SWITCH(IFERROR(VLOOKUP(W$3&amp;$B$20&amp;_xlfn.ANCHORARRAY($B97),$BT:$CA,5,0),0),
0,_xlfn.ANCHORARRAY(V97)*(1+_xlfn.ANCHORARRAY($D97))+SUMIF($BT:$BT,W$3&amp;$B$20&amp;_xlfn.ANCHORARRAY($B97),$CA:$CA),
1,VLOOKUP(W$3&amp;$B$20&amp;_xlfn.ANCHORARRAY($B97),$BT:$CA,6,0),
2,_xlfn.ANCHORARRAY(V97)*(1+_xlfn.ANCHORARRAY($D97))*VLOOKUP(W$3&amp;$B$20&amp;_xlfn.ANCHORARRAY($B97),$BT:$CA,7,0))</f>
        <v>0</v>
      </c>
      <c r="X97" s="59" cm="1">
        <f t="array" aca="1" ref="X97:X99" ca="1">_xlfn.SWITCH(IFERROR(VLOOKUP(X$3&amp;$B$20&amp;_xlfn.ANCHORARRAY($B97),$BT:$CA,5,0),0),
0,_xlfn.ANCHORARRAY(W97)*(1+_xlfn.ANCHORARRAY($D97))+SUMIF($BT:$BT,X$3&amp;$B$20&amp;_xlfn.ANCHORARRAY($B97),$CA:$CA),
1,VLOOKUP(X$3&amp;$B$20&amp;_xlfn.ANCHORARRAY($B97),$BT:$CA,6,0),
2,_xlfn.ANCHORARRAY(W97)*(1+_xlfn.ANCHORARRAY($D97))*VLOOKUP(X$3&amp;$B$20&amp;_xlfn.ANCHORARRAY($B97),$BT:$CA,7,0))</f>
        <v>0</v>
      </c>
      <c r="Y97" s="59" cm="1">
        <f t="array" aca="1" ref="Y97:Y99" ca="1">_xlfn.SWITCH(IFERROR(VLOOKUP(Y$3&amp;$B$20&amp;_xlfn.ANCHORARRAY($B97),$BT:$CA,5,0),0),
0,_xlfn.ANCHORARRAY(X97)*(1+_xlfn.ANCHORARRAY($D97))+SUMIF($BT:$BT,Y$3&amp;$B$20&amp;_xlfn.ANCHORARRAY($B97),$CA:$CA),
1,VLOOKUP(Y$3&amp;$B$20&amp;_xlfn.ANCHORARRAY($B97),$BT:$CA,6,0),
2,_xlfn.ANCHORARRAY(X97)*(1+_xlfn.ANCHORARRAY($D97))*VLOOKUP(Y$3&amp;$B$20&amp;_xlfn.ANCHORARRAY($B97),$BT:$CA,7,0))</f>
        <v>0</v>
      </c>
      <c r="Z97" s="59" cm="1">
        <f t="array" aca="1" ref="Z97:Z99" ca="1">_xlfn.SWITCH(IFERROR(VLOOKUP(Z$3&amp;$B$20&amp;_xlfn.ANCHORARRAY($B97),$BT:$CA,5,0),0),
0,_xlfn.ANCHORARRAY(Y97)*(1+_xlfn.ANCHORARRAY($D97))+SUMIF($BT:$BT,Z$3&amp;$B$20&amp;_xlfn.ANCHORARRAY($B97),$CA:$CA),
1,VLOOKUP(Z$3&amp;$B$20&amp;_xlfn.ANCHORARRAY($B97),$BT:$CA,6,0),
2,_xlfn.ANCHORARRAY(Y97)*(1+_xlfn.ANCHORARRAY($D97))*VLOOKUP(Z$3&amp;$B$20&amp;_xlfn.ANCHORARRAY($B97),$BT:$CA,7,0))</f>
        <v>0</v>
      </c>
      <c r="AA97" s="59" cm="1">
        <f t="array" aca="1" ref="AA97:AA99" ca="1">_xlfn.SWITCH(IFERROR(VLOOKUP(AA$3&amp;$B$20&amp;_xlfn.ANCHORARRAY($B97),$BT:$CA,5,0),0),
0,_xlfn.ANCHORARRAY(Z97)*(1+_xlfn.ANCHORARRAY($D97))+SUMIF($BT:$BT,AA$3&amp;$B$20&amp;_xlfn.ANCHORARRAY($B97),$CA:$CA),
1,VLOOKUP(AA$3&amp;$B$20&amp;_xlfn.ANCHORARRAY($B97),$BT:$CA,6,0),
2,_xlfn.ANCHORARRAY(Z97)*(1+_xlfn.ANCHORARRAY($D97))*VLOOKUP(AA$3&amp;$B$20&amp;_xlfn.ANCHORARRAY($B97),$BT:$CA,7,0))</f>
        <v>0</v>
      </c>
      <c r="AB97" s="59" cm="1">
        <f t="array" aca="1" ref="AB97:AB99" ca="1">_xlfn.SWITCH(IFERROR(VLOOKUP(AB$3&amp;$B$20&amp;_xlfn.ANCHORARRAY($B97),$BT:$CA,5,0),0),
0,_xlfn.ANCHORARRAY(AA97)*(1+_xlfn.ANCHORARRAY($D97))+SUMIF($BT:$BT,AB$3&amp;$B$20&amp;_xlfn.ANCHORARRAY($B97),$CA:$CA),
1,VLOOKUP(AB$3&amp;$B$20&amp;_xlfn.ANCHORARRAY($B97),$BT:$CA,6,0),
2,_xlfn.ANCHORARRAY(AA97)*(1+_xlfn.ANCHORARRAY($D97))*VLOOKUP(AB$3&amp;$B$20&amp;_xlfn.ANCHORARRAY($B97),$BT:$CA,7,0))</f>
        <v>0</v>
      </c>
      <c r="AC97" s="59" cm="1">
        <f t="array" aca="1" ref="AC97:AC99" ca="1">_xlfn.SWITCH(IFERROR(VLOOKUP(AC$3&amp;$B$20&amp;_xlfn.ANCHORARRAY($B97),$BT:$CA,5,0),0),
0,_xlfn.ANCHORARRAY(AB97)*(1+_xlfn.ANCHORARRAY($D97))+SUMIF($BT:$BT,AC$3&amp;$B$20&amp;_xlfn.ANCHORARRAY($B97),$CA:$CA),
1,VLOOKUP(AC$3&amp;$B$20&amp;_xlfn.ANCHORARRAY($B97),$BT:$CA,6,0),
2,_xlfn.ANCHORARRAY(AB97)*(1+_xlfn.ANCHORARRAY($D97))*VLOOKUP(AC$3&amp;$B$20&amp;_xlfn.ANCHORARRAY($B97),$BT:$CA,7,0))</f>
        <v>0</v>
      </c>
      <c r="AD97" s="59" cm="1">
        <f t="array" aca="1" ref="AD97:AD99" ca="1">_xlfn.SWITCH(IFERROR(VLOOKUP(AD$3&amp;$B$20&amp;_xlfn.ANCHORARRAY($B97),$BT:$CA,5,0),0),
0,_xlfn.ANCHORARRAY(AC97)*(1+_xlfn.ANCHORARRAY($D97))+SUMIF($BT:$BT,AD$3&amp;$B$20&amp;_xlfn.ANCHORARRAY($B97),$CA:$CA),
1,VLOOKUP(AD$3&amp;$B$20&amp;_xlfn.ANCHORARRAY($B97),$BT:$CA,6,0),
2,_xlfn.ANCHORARRAY(AC97)*(1+_xlfn.ANCHORARRAY($D97))*VLOOKUP(AD$3&amp;$B$20&amp;_xlfn.ANCHORARRAY($B97),$BT:$CA,7,0))</f>
        <v>0</v>
      </c>
      <c r="AE97" s="59" cm="1">
        <f t="array" aca="1" ref="AE97:AE99" ca="1">_xlfn.SWITCH(IFERROR(VLOOKUP(AE$3&amp;$B$20&amp;_xlfn.ANCHORARRAY($B97),$BT:$CA,5,0),0),
0,_xlfn.ANCHORARRAY(AD97)*(1+_xlfn.ANCHORARRAY($D97))+SUMIF($BT:$BT,AE$3&amp;$B$20&amp;_xlfn.ANCHORARRAY($B97),$CA:$CA),
1,VLOOKUP(AE$3&amp;$B$20&amp;_xlfn.ANCHORARRAY($B97),$BT:$CA,6,0),
2,_xlfn.ANCHORARRAY(AD97)*(1+_xlfn.ANCHORARRAY($D97))*VLOOKUP(AE$3&amp;$B$20&amp;_xlfn.ANCHORARRAY($B97),$BT:$CA,7,0))</f>
        <v>0</v>
      </c>
      <c r="AF97" s="59" cm="1">
        <f t="array" aca="1" ref="AF97:AF99" ca="1">_xlfn.SWITCH(IFERROR(VLOOKUP(AF$3&amp;$B$20&amp;_xlfn.ANCHORARRAY($B97),$BT:$CA,5,0),0),
0,_xlfn.ANCHORARRAY(AE97)*(1+_xlfn.ANCHORARRAY($D97))+SUMIF($BT:$BT,AF$3&amp;$B$20&amp;_xlfn.ANCHORARRAY($B97),$CA:$CA),
1,VLOOKUP(AF$3&amp;$B$20&amp;_xlfn.ANCHORARRAY($B97),$BT:$CA,6,0),
2,_xlfn.ANCHORARRAY(AE97)*(1+_xlfn.ANCHORARRAY($D97))*VLOOKUP(AF$3&amp;$B$20&amp;_xlfn.ANCHORARRAY($B97),$BT:$CA,7,0))</f>
        <v>0</v>
      </c>
      <c r="AG97" s="59" cm="1">
        <f t="array" aca="1" ref="AG97:AG99" ca="1">_xlfn.SWITCH(IFERROR(VLOOKUP(AG$3&amp;$B$20&amp;_xlfn.ANCHORARRAY($B97),$BT:$CA,5,0),0),
0,_xlfn.ANCHORARRAY(AF97)*(1+_xlfn.ANCHORARRAY($D97))+SUMIF($BT:$BT,AG$3&amp;$B$20&amp;_xlfn.ANCHORARRAY($B97),$CA:$CA),
1,VLOOKUP(AG$3&amp;$B$20&amp;_xlfn.ANCHORARRAY($B97),$BT:$CA,6,0),
2,_xlfn.ANCHORARRAY(AF97)*(1+_xlfn.ANCHORARRAY($D97))*VLOOKUP(AG$3&amp;$B$20&amp;_xlfn.ANCHORARRAY($B97),$BT:$CA,7,0))</f>
        <v>0</v>
      </c>
      <c r="AH97" s="59" cm="1">
        <f t="array" aca="1" ref="AH97:AH99" ca="1">_xlfn.SWITCH(IFERROR(VLOOKUP(AH$3&amp;$B$20&amp;_xlfn.ANCHORARRAY($B97),$BT:$CA,5,0),0),
0,_xlfn.ANCHORARRAY(AG97)*(1+_xlfn.ANCHORARRAY($D97))+SUMIF($BT:$BT,AH$3&amp;$B$20&amp;_xlfn.ANCHORARRAY($B97),$CA:$CA),
1,VLOOKUP(AH$3&amp;$B$20&amp;_xlfn.ANCHORARRAY($B97),$BT:$CA,6,0),
2,_xlfn.ANCHORARRAY(AG97)*(1+_xlfn.ANCHORARRAY($D97))*VLOOKUP(AH$3&amp;$B$20&amp;_xlfn.ANCHORARRAY($B97),$BT:$CA,7,0))</f>
        <v>0</v>
      </c>
      <c r="AI97" s="59" cm="1">
        <f t="array" aca="1" ref="AI97:AI99" ca="1">_xlfn.SWITCH(IFERROR(VLOOKUP(AI$3&amp;$B$20&amp;_xlfn.ANCHORARRAY($B97),$BT:$CA,5,0),0),
0,_xlfn.ANCHORARRAY(AH97)*(1+_xlfn.ANCHORARRAY($D97))+SUMIF($BT:$BT,AI$3&amp;$B$20&amp;_xlfn.ANCHORARRAY($B97),$CA:$CA),
1,VLOOKUP(AI$3&amp;$B$20&amp;_xlfn.ANCHORARRAY($B97),$BT:$CA,6,0),
2,_xlfn.ANCHORARRAY(AH97)*(1+_xlfn.ANCHORARRAY($D97))*VLOOKUP(AI$3&amp;$B$20&amp;_xlfn.ANCHORARRAY($B97),$BT:$CA,7,0))</f>
        <v>0</v>
      </c>
      <c r="AJ97" s="59" cm="1">
        <f t="array" aca="1" ref="AJ97:AJ99" ca="1">_xlfn.SWITCH(IFERROR(VLOOKUP(AJ$3&amp;$B$20&amp;_xlfn.ANCHORARRAY($B97),$BT:$CA,5,0),0),
0,_xlfn.ANCHORARRAY(AI97)*(1+_xlfn.ANCHORARRAY($D97))+SUMIF($BT:$BT,AJ$3&amp;$B$20&amp;_xlfn.ANCHORARRAY($B97),$CA:$CA),
1,VLOOKUP(AJ$3&amp;$B$20&amp;_xlfn.ANCHORARRAY($B97),$BT:$CA,6,0),
2,_xlfn.ANCHORARRAY(AI97)*(1+_xlfn.ANCHORARRAY($D97))*VLOOKUP(AJ$3&amp;$B$20&amp;_xlfn.ANCHORARRAY($B97),$BT:$CA,7,0))</f>
        <v>0</v>
      </c>
      <c r="AK97" s="59" cm="1">
        <f t="array" aca="1" ref="AK97:AK99" ca="1">_xlfn.SWITCH(IFERROR(VLOOKUP(AK$3&amp;$B$20&amp;_xlfn.ANCHORARRAY($B97),$BT:$CA,5,0),0),
0,_xlfn.ANCHORARRAY(AJ97)*(1+_xlfn.ANCHORARRAY($D97))+SUMIF($BT:$BT,AK$3&amp;$B$20&amp;_xlfn.ANCHORARRAY($B97),$CA:$CA),
1,VLOOKUP(AK$3&amp;$B$20&amp;_xlfn.ANCHORARRAY($B97),$BT:$CA,6,0),
2,_xlfn.ANCHORARRAY(AJ97)*(1+_xlfn.ANCHORARRAY($D97))*VLOOKUP(AK$3&amp;$B$20&amp;_xlfn.ANCHORARRAY($B97),$BT:$CA,7,0))</f>
        <v>0</v>
      </c>
      <c r="AL97" s="59" cm="1">
        <f t="array" aca="1" ref="AL97:AL99" ca="1">_xlfn.SWITCH(IFERROR(VLOOKUP(AL$3&amp;$B$20&amp;_xlfn.ANCHORARRAY($B97),$BT:$CA,5,0),0),
0,_xlfn.ANCHORARRAY(AK97)*(1+_xlfn.ANCHORARRAY($D97))+SUMIF($BT:$BT,AL$3&amp;$B$20&amp;_xlfn.ANCHORARRAY($B97),$CA:$CA),
1,VLOOKUP(AL$3&amp;$B$20&amp;_xlfn.ANCHORARRAY($B97),$BT:$CA,6,0),
2,_xlfn.ANCHORARRAY(AK97)*(1+_xlfn.ANCHORARRAY($D97))*VLOOKUP(AL$3&amp;$B$20&amp;_xlfn.ANCHORARRAY($B97),$BT:$CA,7,0))</f>
        <v>0</v>
      </c>
      <c r="AM97" s="59" cm="1">
        <f t="array" aca="1" ref="AM97:AM99" ca="1">_xlfn.SWITCH(IFERROR(VLOOKUP(AM$3&amp;$B$20&amp;_xlfn.ANCHORARRAY($B97),$BT:$CA,5,0),0),
0,_xlfn.ANCHORARRAY(AL97)*(1+_xlfn.ANCHORARRAY($D97))+SUMIF($BT:$BT,AM$3&amp;$B$20&amp;_xlfn.ANCHORARRAY($B97),$CA:$CA),
1,VLOOKUP(AM$3&amp;$B$20&amp;_xlfn.ANCHORARRAY($B97),$BT:$CA,6,0),
2,_xlfn.ANCHORARRAY(AL97)*(1+_xlfn.ANCHORARRAY($D97))*VLOOKUP(AM$3&amp;$B$20&amp;_xlfn.ANCHORARRAY($B97),$BT:$CA,7,0))</f>
        <v>0</v>
      </c>
      <c r="AN97" s="59" cm="1">
        <f t="array" aca="1" ref="AN97:AN99" ca="1">_xlfn.SWITCH(IFERROR(VLOOKUP(AN$3&amp;$B$20&amp;_xlfn.ANCHORARRAY($B97),$BT:$CA,5,0),0),
0,_xlfn.ANCHORARRAY(AM97)*(1+_xlfn.ANCHORARRAY($D97))+SUMIF($BT:$BT,AN$3&amp;$B$20&amp;_xlfn.ANCHORARRAY($B97),$CA:$CA),
1,VLOOKUP(AN$3&amp;$B$20&amp;_xlfn.ANCHORARRAY($B97),$BT:$CA,6,0),
2,_xlfn.ANCHORARRAY(AM97)*(1+_xlfn.ANCHORARRAY($D97))*VLOOKUP(AN$3&amp;$B$20&amp;_xlfn.ANCHORARRAY($B97),$BT:$CA,7,0))</f>
        <v>0</v>
      </c>
      <c r="AO97" s="59" cm="1">
        <f t="array" aca="1" ref="AO97:AO99" ca="1">_xlfn.SWITCH(IFERROR(VLOOKUP(AO$3&amp;$B$20&amp;_xlfn.ANCHORARRAY($B97),$BT:$CA,5,0),0),
0,_xlfn.ANCHORARRAY(AN97)*(1+_xlfn.ANCHORARRAY($D97))+SUMIF($BT:$BT,AO$3&amp;$B$20&amp;_xlfn.ANCHORARRAY($B97),$CA:$CA),
1,VLOOKUP(AO$3&amp;$B$20&amp;_xlfn.ANCHORARRAY($B97),$BT:$CA,6,0),
2,_xlfn.ANCHORARRAY(AN97)*(1+_xlfn.ANCHORARRAY($D97))*VLOOKUP(AO$3&amp;$B$20&amp;_xlfn.ANCHORARRAY($B97),$BT:$CA,7,0))</f>
        <v>0</v>
      </c>
      <c r="AP97" s="59" cm="1">
        <f t="array" aca="1" ref="AP97:AP99" ca="1">_xlfn.SWITCH(IFERROR(VLOOKUP(AP$3&amp;$B$20&amp;_xlfn.ANCHORARRAY($B97),$BT:$CA,5,0),0),
0,_xlfn.ANCHORARRAY(AO97)*(1+_xlfn.ANCHORARRAY($D97))+SUMIF($BT:$BT,AP$3&amp;$B$20&amp;_xlfn.ANCHORARRAY($B97),$CA:$CA),
1,VLOOKUP(AP$3&amp;$B$20&amp;_xlfn.ANCHORARRAY($B97),$BT:$CA,6,0),
2,_xlfn.ANCHORARRAY(AO97)*(1+_xlfn.ANCHORARRAY($D97))*VLOOKUP(AP$3&amp;$B$20&amp;_xlfn.ANCHORARRAY($B97),$BT:$CA,7,0))</f>
        <v>0</v>
      </c>
      <c r="AQ97" s="59" cm="1">
        <f t="array" aca="1" ref="AQ97:AQ99" ca="1">_xlfn.SWITCH(IFERROR(VLOOKUP(AQ$3&amp;$B$20&amp;_xlfn.ANCHORARRAY($B97),$BT:$CA,5,0),0),
0,_xlfn.ANCHORARRAY(AP97)*(1+_xlfn.ANCHORARRAY($D97))+SUMIF($BT:$BT,AQ$3&amp;$B$20&amp;_xlfn.ANCHORARRAY($B97),$CA:$CA),
1,VLOOKUP(AQ$3&amp;$B$20&amp;_xlfn.ANCHORARRAY($B97),$BT:$CA,6,0),
2,_xlfn.ANCHORARRAY(AP97)*(1+_xlfn.ANCHORARRAY($D97))*VLOOKUP(AQ$3&amp;$B$20&amp;_xlfn.ANCHORARRAY($B97),$BT:$CA,7,0))</f>
        <v>0</v>
      </c>
      <c r="AR97" s="59" cm="1">
        <f t="array" aca="1" ref="AR97:AR99" ca="1">_xlfn.SWITCH(IFERROR(VLOOKUP(AR$3&amp;$B$20&amp;_xlfn.ANCHORARRAY($B97),$BT:$CA,5,0),0),
0,_xlfn.ANCHORARRAY(AQ97)*(1+_xlfn.ANCHORARRAY($D97))+SUMIF($BT:$BT,AR$3&amp;$B$20&amp;_xlfn.ANCHORARRAY($B97),$CA:$CA),
1,VLOOKUP(AR$3&amp;$B$20&amp;_xlfn.ANCHORARRAY($B97),$BT:$CA,6,0),
2,_xlfn.ANCHORARRAY(AQ97)*(1+_xlfn.ANCHORARRAY($D97))*VLOOKUP(AR$3&amp;$B$20&amp;_xlfn.ANCHORARRAY($B97),$BT:$CA,7,0))</f>
        <v>0</v>
      </c>
      <c r="AS97" s="59" cm="1">
        <f t="array" aca="1" ref="AS97:AS99" ca="1">_xlfn.SWITCH(IFERROR(VLOOKUP(AS$3&amp;$B$20&amp;_xlfn.ANCHORARRAY($B97),$BT:$CA,5,0),0),
0,_xlfn.ANCHORARRAY(AR97)*(1+_xlfn.ANCHORARRAY($D97))+SUMIF($BT:$BT,AS$3&amp;$B$20&amp;_xlfn.ANCHORARRAY($B97),$CA:$CA),
1,VLOOKUP(AS$3&amp;$B$20&amp;_xlfn.ANCHORARRAY($B97),$BT:$CA,6,0),
2,_xlfn.ANCHORARRAY(AR97)*(1+_xlfn.ANCHORARRAY($D97))*VLOOKUP(AS$3&amp;$B$20&amp;_xlfn.ANCHORARRAY($B97),$BT:$CA,7,0))</f>
        <v>0</v>
      </c>
      <c r="AT97" s="59" cm="1">
        <f t="array" aca="1" ref="AT97:AT99" ca="1">_xlfn.SWITCH(IFERROR(VLOOKUP(AT$3&amp;$B$20&amp;_xlfn.ANCHORARRAY($B97),$BT:$CA,5,0),0),
0,_xlfn.ANCHORARRAY(AS97)*(1+_xlfn.ANCHORARRAY($D97))+SUMIF($BT:$BT,AT$3&amp;$B$20&amp;_xlfn.ANCHORARRAY($B97),$CA:$CA),
1,VLOOKUP(AT$3&amp;$B$20&amp;_xlfn.ANCHORARRAY($B97),$BT:$CA,6,0),
2,_xlfn.ANCHORARRAY(AS97)*(1+_xlfn.ANCHORARRAY($D97))*VLOOKUP(AT$3&amp;$B$20&amp;_xlfn.ANCHORARRAY($B97),$BT:$CA,7,0))</f>
        <v>0</v>
      </c>
      <c r="AU97" s="59" cm="1">
        <f t="array" aca="1" ref="AU97:AU99" ca="1">_xlfn.SWITCH(IFERROR(VLOOKUP(AU$3&amp;$B$20&amp;_xlfn.ANCHORARRAY($B97),$BT:$CA,5,0),0),
0,_xlfn.ANCHORARRAY(AT97)*(1+_xlfn.ANCHORARRAY($D97))+SUMIF($BT:$BT,AU$3&amp;$B$20&amp;_xlfn.ANCHORARRAY($B97),$CA:$CA),
1,VLOOKUP(AU$3&amp;$B$20&amp;_xlfn.ANCHORARRAY($B97),$BT:$CA,6,0),
2,_xlfn.ANCHORARRAY(AT97)*(1+_xlfn.ANCHORARRAY($D97))*VLOOKUP(AU$3&amp;$B$20&amp;_xlfn.ANCHORARRAY($B97),$BT:$CA,7,0))</f>
        <v>0</v>
      </c>
      <c r="AV97" s="59" cm="1">
        <f t="array" aca="1" ref="AV97:AV99" ca="1">_xlfn.SWITCH(IFERROR(VLOOKUP(AV$3&amp;$B$20&amp;_xlfn.ANCHORARRAY($B97),$BT:$CA,5,0),0),
0,_xlfn.ANCHORARRAY(AU97)*(1+_xlfn.ANCHORARRAY($D97))+SUMIF($BT:$BT,AV$3&amp;$B$20&amp;_xlfn.ANCHORARRAY($B97),$CA:$CA),
1,VLOOKUP(AV$3&amp;$B$20&amp;_xlfn.ANCHORARRAY($B97),$BT:$CA,6,0),
2,_xlfn.ANCHORARRAY(AU97)*(1+_xlfn.ANCHORARRAY($D97))*VLOOKUP(AV$3&amp;$B$20&amp;_xlfn.ANCHORARRAY($B97),$BT:$CA,7,0))</f>
        <v>0</v>
      </c>
      <c r="AW97" s="59" cm="1">
        <f t="array" aca="1" ref="AW97:AW99" ca="1">_xlfn.SWITCH(IFERROR(VLOOKUP(AW$3&amp;$B$20&amp;_xlfn.ANCHORARRAY($B97),$BT:$CA,5,0),0),
0,_xlfn.ANCHORARRAY(AV97)*(1+_xlfn.ANCHORARRAY($D97))+SUMIF($BT:$BT,AW$3&amp;$B$20&amp;_xlfn.ANCHORARRAY($B97),$CA:$CA),
1,VLOOKUP(AW$3&amp;$B$20&amp;_xlfn.ANCHORARRAY($B97),$BT:$CA,6,0),
2,_xlfn.ANCHORARRAY(AV97)*(1+_xlfn.ANCHORARRAY($D97))*VLOOKUP(AW$3&amp;$B$20&amp;_xlfn.ANCHORARRAY($B97),$BT:$CA,7,0))</f>
        <v>0</v>
      </c>
      <c r="AX97" s="59" cm="1">
        <f t="array" aca="1" ref="AX97:AX99" ca="1">_xlfn.SWITCH(IFERROR(VLOOKUP(AX$3&amp;$B$20&amp;_xlfn.ANCHORARRAY($B97),$BT:$CA,5,0),0),
0,_xlfn.ANCHORARRAY(AW97)*(1+_xlfn.ANCHORARRAY($D97))+SUMIF($BT:$BT,AX$3&amp;$B$20&amp;_xlfn.ANCHORARRAY($B97),$CA:$CA),
1,VLOOKUP(AX$3&amp;$B$20&amp;_xlfn.ANCHORARRAY($B97),$BT:$CA,6,0),
2,_xlfn.ANCHORARRAY(AW97)*(1+_xlfn.ANCHORARRAY($D97))*VLOOKUP(AX$3&amp;$B$20&amp;_xlfn.ANCHORARRAY($B97),$BT:$CA,7,0))</f>
        <v>0</v>
      </c>
      <c r="AY97" s="59" cm="1">
        <f t="array" aca="1" ref="AY97:AY99" ca="1">_xlfn.SWITCH(IFERROR(VLOOKUP(AY$3&amp;$B$20&amp;_xlfn.ANCHORARRAY($B97),$BT:$CA,5,0),0),
0,_xlfn.ANCHORARRAY(AX97)*(1+_xlfn.ANCHORARRAY($D97))+SUMIF($BT:$BT,AY$3&amp;$B$20&amp;_xlfn.ANCHORARRAY($B97),$CA:$CA),
1,VLOOKUP(AY$3&amp;$B$20&amp;_xlfn.ANCHORARRAY($B97),$BT:$CA,6,0),
2,_xlfn.ANCHORARRAY(AX97)*(1+_xlfn.ANCHORARRAY($D97))*VLOOKUP(AY$3&amp;$B$20&amp;_xlfn.ANCHORARRAY($B97),$BT:$CA,7,0))</f>
        <v>0</v>
      </c>
      <c r="AZ97" s="59" cm="1">
        <f t="array" aca="1" ref="AZ97:AZ99" ca="1">_xlfn.SWITCH(IFERROR(VLOOKUP(AZ$3&amp;$B$20&amp;_xlfn.ANCHORARRAY($B97),$BT:$CA,5,0),0),
0,_xlfn.ANCHORARRAY(AY97)*(1+_xlfn.ANCHORARRAY($D97))+SUMIF($BT:$BT,AZ$3&amp;$B$20&amp;_xlfn.ANCHORARRAY($B97),$CA:$CA),
1,VLOOKUP(AZ$3&amp;$B$20&amp;_xlfn.ANCHORARRAY($B97),$BT:$CA,6,0),
2,_xlfn.ANCHORARRAY(AY97)*(1+_xlfn.ANCHORARRAY($D97))*VLOOKUP(AZ$3&amp;$B$20&amp;_xlfn.ANCHORARRAY($B97),$BT:$CA,7,0))</f>
        <v>0</v>
      </c>
      <c r="BA97" s="59" cm="1">
        <f t="array" aca="1" ref="BA97:BA99" ca="1">_xlfn.SWITCH(IFERROR(VLOOKUP(BA$3&amp;$B$20&amp;_xlfn.ANCHORARRAY($B97),$BT:$CA,5,0),0),
0,_xlfn.ANCHORARRAY(AZ97)*(1+_xlfn.ANCHORARRAY($D97))+SUMIF($BT:$BT,BA$3&amp;$B$20&amp;_xlfn.ANCHORARRAY($B97),$CA:$CA),
1,VLOOKUP(BA$3&amp;$B$20&amp;_xlfn.ANCHORARRAY($B97),$BT:$CA,6,0),
2,_xlfn.ANCHORARRAY(AZ97)*(1+_xlfn.ANCHORARRAY($D97))*VLOOKUP(BA$3&amp;$B$20&amp;_xlfn.ANCHORARRAY($B97),$BT:$CA,7,0))</f>
        <v>0</v>
      </c>
      <c r="BS97" s="5">
        <f t="shared" si="162"/>
        <v>-1</v>
      </c>
      <c r="BT97" s="5"/>
      <c r="CD97" s="5" t="e">
        <f t="shared" ca="1" si="110"/>
        <v>#REF!</v>
      </c>
      <c r="CE97" s="5" t="e">
        <f t="shared" ca="1" si="111"/>
        <v>#REF!</v>
      </c>
      <c r="CF97" s="5" t="e">
        <f t="shared" ca="1" si="112"/>
        <v>#REF!</v>
      </c>
      <c r="CG97" s="5"/>
    </row>
    <row r="98" spans="1:85" x14ac:dyDescent="0.25">
      <c r="A98" s="57" t="str">
        <f ca="1"/>
        <v>Säule 3a Beitrag</v>
      </c>
      <c r="B98" s="57">
        <f ca="1"/>
        <v>6</v>
      </c>
      <c r="C98" s="53" t="str">
        <f ca="1"/>
        <v>Amy</v>
      </c>
      <c r="D98" s="54">
        <f ca="1"/>
        <v>0</v>
      </c>
      <c r="E98" s="54"/>
      <c r="F98" s="59">
        <f ca="1"/>
        <v>-7056</v>
      </c>
      <c r="G98" s="59">
        <f ca="1"/>
        <v>-7056</v>
      </c>
      <c r="H98" s="59">
        <f ca="1"/>
        <v>-7056</v>
      </c>
      <c r="I98" s="59">
        <f ca="1"/>
        <v>-7056</v>
      </c>
      <c r="J98" s="59">
        <f ca="1"/>
        <v>-7056</v>
      </c>
      <c r="K98" s="59">
        <f ca="1"/>
        <v>-7056</v>
      </c>
      <c r="L98" s="59">
        <f ca="1"/>
        <v>-5600</v>
      </c>
      <c r="M98" s="59">
        <f ca="1"/>
        <v>-2800</v>
      </c>
      <c r="N98" s="59">
        <f ca="1"/>
        <v>0</v>
      </c>
      <c r="O98" s="59">
        <f ca="1"/>
        <v>0</v>
      </c>
      <c r="P98" s="59">
        <f ca="1"/>
        <v>0</v>
      </c>
      <c r="Q98" s="59">
        <f ca="1"/>
        <v>0</v>
      </c>
      <c r="R98" s="59">
        <f ca="1"/>
        <v>0</v>
      </c>
      <c r="S98" s="59">
        <f ca="1"/>
        <v>0</v>
      </c>
      <c r="T98" s="59">
        <f ca="1"/>
        <v>0</v>
      </c>
      <c r="U98" s="59">
        <f ca="1"/>
        <v>0</v>
      </c>
      <c r="V98" s="59">
        <f ca="1"/>
        <v>0</v>
      </c>
      <c r="W98" s="59">
        <f ca="1"/>
        <v>0</v>
      </c>
      <c r="X98" s="59">
        <f ca="1"/>
        <v>0</v>
      </c>
      <c r="Y98" s="59">
        <f ca="1"/>
        <v>0</v>
      </c>
      <c r="Z98" s="59">
        <f ca="1"/>
        <v>0</v>
      </c>
      <c r="AA98" s="59">
        <f ca="1"/>
        <v>0</v>
      </c>
      <c r="AB98" s="59">
        <f ca="1"/>
        <v>0</v>
      </c>
      <c r="AC98" s="59">
        <f ca="1"/>
        <v>0</v>
      </c>
      <c r="AD98" s="59">
        <f ca="1"/>
        <v>0</v>
      </c>
      <c r="AE98" s="59">
        <f ca="1"/>
        <v>0</v>
      </c>
      <c r="AF98" s="59">
        <f ca="1"/>
        <v>0</v>
      </c>
      <c r="AG98" s="59">
        <f ca="1"/>
        <v>0</v>
      </c>
      <c r="AH98" s="59">
        <f ca="1"/>
        <v>0</v>
      </c>
      <c r="AI98" s="59">
        <f ca="1"/>
        <v>0</v>
      </c>
      <c r="AJ98" s="59">
        <f ca="1"/>
        <v>0</v>
      </c>
      <c r="AK98" s="59">
        <f ca="1"/>
        <v>0</v>
      </c>
      <c r="AL98" s="59">
        <f ca="1"/>
        <v>0</v>
      </c>
      <c r="AM98" s="59">
        <f ca="1"/>
        <v>0</v>
      </c>
      <c r="AN98" s="59">
        <f ca="1"/>
        <v>0</v>
      </c>
      <c r="AO98" s="59">
        <f ca="1"/>
        <v>0</v>
      </c>
      <c r="AP98" s="59">
        <f ca="1"/>
        <v>0</v>
      </c>
      <c r="AQ98" s="59">
        <f ca="1"/>
        <v>0</v>
      </c>
      <c r="AR98" s="59">
        <f ca="1"/>
        <v>0</v>
      </c>
      <c r="AS98" s="59">
        <f ca="1"/>
        <v>0</v>
      </c>
      <c r="AT98" s="59">
        <f ca="1"/>
        <v>0</v>
      </c>
      <c r="AU98" s="59">
        <f ca="1"/>
        <v>0</v>
      </c>
      <c r="AV98" s="59">
        <f ca="1"/>
        <v>0</v>
      </c>
      <c r="AW98" s="59">
        <f ca="1"/>
        <v>0</v>
      </c>
      <c r="AX98" s="59">
        <f ca="1"/>
        <v>0</v>
      </c>
      <c r="AY98" s="59">
        <f ca="1"/>
        <v>0</v>
      </c>
      <c r="AZ98" s="59">
        <f ca="1"/>
        <v>0</v>
      </c>
      <c r="BA98" s="59">
        <f ca="1"/>
        <v>0</v>
      </c>
      <c r="BS98" s="5">
        <f t="shared" si="162"/>
        <v>-1</v>
      </c>
      <c r="BT98" s="5"/>
      <c r="CD98" s="5" t="e">
        <f t="shared" ca="1" si="110"/>
        <v>#REF!</v>
      </c>
      <c r="CE98" s="5" t="e">
        <f t="shared" ca="1" si="111"/>
        <v>#REF!</v>
      </c>
      <c r="CF98" s="5" t="e">
        <f t="shared" ca="1" si="112"/>
        <v>#REF!</v>
      </c>
      <c r="CG98" s="5"/>
    </row>
    <row r="99" spans="1:85" x14ac:dyDescent="0.25">
      <c r="A99" s="57" t="str">
        <f ca="1"/>
        <v>Säule 3a Beitrag</v>
      </c>
      <c r="B99" s="57">
        <f ca="1"/>
        <v>5</v>
      </c>
      <c r="C99" s="53" t="str">
        <f ca="1"/>
        <v>Sheldon</v>
      </c>
      <c r="D99" s="54">
        <f ca="1"/>
        <v>0</v>
      </c>
      <c r="E99" s="54"/>
      <c r="F99" s="59">
        <f ca="1"/>
        <v>-7056</v>
      </c>
      <c r="G99" s="59">
        <f ca="1"/>
        <v>-7056</v>
      </c>
      <c r="H99" s="59">
        <f ca="1"/>
        <v>-7056</v>
      </c>
      <c r="I99" s="59">
        <f ca="1"/>
        <v>-7056</v>
      </c>
      <c r="J99" s="59">
        <f ca="1"/>
        <v>-7056</v>
      </c>
      <c r="K99" s="59">
        <f ca="1"/>
        <v>-7056</v>
      </c>
      <c r="L99" s="59">
        <f ca="1"/>
        <v>-7056</v>
      </c>
      <c r="M99" s="59">
        <f ca="1"/>
        <v>0</v>
      </c>
      <c r="N99" s="59">
        <f ca="1"/>
        <v>0</v>
      </c>
      <c r="O99" s="59">
        <f ca="1"/>
        <v>0</v>
      </c>
      <c r="P99" s="59">
        <f ca="1"/>
        <v>0</v>
      </c>
      <c r="Q99" s="59">
        <f ca="1"/>
        <v>0</v>
      </c>
      <c r="R99" s="59">
        <f ca="1"/>
        <v>0</v>
      </c>
      <c r="S99" s="59">
        <f ca="1"/>
        <v>0</v>
      </c>
      <c r="T99" s="59">
        <f ca="1"/>
        <v>0</v>
      </c>
      <c r="U99" s="59">
        <f ca="1"/>
        <v>0</v>
      </c>
      <c r="V99" s="59">
        <f ca="1"/>
        <v>0</v>
      </c>
      <c r="W99" s="59">
        <f ca="1"/>
        <v>0</v>
      </c>
      <c r="X99" s="59">
        <f ca="1"/>
        <v>0</v>
      </c>
      <c r="Y99" s="59">
        <f ca="1"/>
        <v>0</v>
      </c>
      <c r="Z99" s="59">
        <f ca="1"/>
        <v>0</v>
      </c>
      <c r="AA99" s="59">
        <f ca="1"/>
        <v>0</v>
      </c>
      <c r="AB99" s="59">
        <f ca="1"/>
        <v>0</v>
      </c>
      <c r="AC99" s="59">
        <f ca="1"/>
        <v>0</v>
      </c>
      <c r="AD99" s="59">
        <f ca="1"/>
        <v>0</v>
      </c>
      <c r="AE99" s="59">
        <f ca="1"/>
        <v>0</v>
      </c>
      <c r="AF99" s="59">
        <f ca="1"/>
        <v>0</v>
      </c>
      <c r="AG99" s="59">
        <f ca="1"/>
        <v>0</v>
      </c>
      <c r="AH99" s="59">
        <f ca="1"/>
        <v>0</v>
      </c>
      <c r="AI99" s="59">
        <f ca="1"/>
        <v>0</v>
      </c>
      <c r="AJ99" s="59">
        <f ca="1"/>
        <v>0</v>
      </c>
      <c r="AK99" s="59">
        <f ca="1"/>
        <v>0</v>
      </c>
      <c r="AL99" s="59">
        <f ca="1"/>
        <v>0</v>
      </c>
      <c r="AM99" s="59">
        <f ca="1"/>
        <v>0</v>
      </c>
      <c r="AN99" s="59">
        <f ca="1"/>
        <v>0</v>
      </c>
      <c r="AO99" s="59">
        <f ca="1"/>
        <v>0</v>
      </c>
      <c r="AP99" s="59">
        <f ca="1"/>
        <v>0</v>
      </c>
      <c r="AQ99" s="59">
        <f ca="1"/>
        <v>0</v>
      </c>
      <c r="AR99" s="59">
        <f ca="1"/>
        <v>0</v>
      </c>
      <c r="AS99" s="59">
        <f ca="1"/>
        <v>0</v>
      </c>
      <c r="AT99" s="59">
        <f ca="1"/>
        <v>0</v>
      </c>
      <c r="AU99" s="59">
        <f ca="1"/>
        <v>0</v>
      </c>
      <c r="AV99" s="59">
        <f ca="1"/>
        <v>0</v>
      </c>
      <c r="AW99" s="59">
        <f ca="1"/>
        <v>0</v>
      </c>
      <c r="AX99" s="59">
        <f ca="1"/>
        <v>0</v>
      </c>
      <c r="AY99" s="59">
        <f ca="1"/>
        <v>0</v>
      </c>
      <c r="AZ99" s="59">
        <f ca="1"/>
        <v>0</v>
      </c>
      <c r="BA99" s="59">
        <f ca="1"/>
        <v>0</v>
      </c>
      <c r="BS99" s="5">
        <f t="shared" si="162"/>
        <v>-1</v>
      </c>
      <c r="BT99" s="5"/>
      <c r="CD99" s="5" t="e">
        <f t="shared" ca="1" si="110"/>
        <v>#REF!</v>
      </c>
      <c r="CE99" s="5" t="e">
        <f t="shared" ca="1" si="111"/>
        <v>#REF!</v>
      </c>
      <c r="CF99" s="5" t="e">
        <f t="shared" ca="1" si="112"/>
        <v>#REF!</v>
      </c>
      <c r="CG99" s="5"/>
    </row>
    <row r="100" spans="1:85" hidden="1" x14ac:dyDescent="0.25">
      <c r="A100" s="57"/>
      <c r="B100" s="57"/>
      <c r="C100" s="53"/>
      <c r="D100" s="54"/>
      <c r="E100" s="54"/>
      <c r="F100" s="59"/>
      <c r="G100" s="59"/>
      <c r="H100" s="59"/>
      <c r="I100" s="59"/>
      <c r="J100" s="59"/>
      <c r="K100" s="59"/>
      <c r="L100" s="59"/>
      <c r="M100" s="59"/>
      <c r="N100" s="59"/>
      <c r="O100" s="59"/>
      <c r="P100" s="59"/>
      <c r="Q100" s="59"/>
      <c r="R100" s="59"/>
      <c r="S100" s="59"/>
      <c r="T100" s="59"/>
      <c r="U100" s="59"/>
      <c r="V100" s="59"/>
      <c r="W100" s="59"/>
      <c r="X100" s="59"/>
      <c r="Y100" s="59"/>
      <c r="Z100" s="59"/>
      <c r="AA100" s="59"/>
      <c r="AB100" s="59"/>
      <c r="AC100" s="59"/>
      <c r="AD100" s="59"/>
      <c r="AE100" s="59"/>
      <c r="AF100" s="59"/>
      <c r="AG100" s="59"/>
      <c r="AH100" s="59"/>
      <c r="AI100" s="59"/>
      <c r="AJ100" s="59"/>
      <c r="AK100" s="59"/>
      <c r="AL100" s="59"/>
      <c r="AM100" s="59"/>
      <c r="AN100" s="59"/>
      <c r="AO100" s="59"/>
      <c r="AP100" s="59"/>
      <c r="AQ100" s="59"/>
      <c r="AR100" s="59"/>
      <c r="AS100" s="59"/>
      <c r="AT100" s="59"/>
      <c r="AU100" s="59"/>
      <c r="AV100" s="59"/>
      <c r="AW100" s="59"/>
      <c r="AX100" s="59"/>
      <c r="AY100" s="59"/>
      <c r="AZ100" s="59"/>
      <c r="BA100" s="59"/>
      <c r="BS100" s="5">
        <f t="shared" si="162"/>
        <v>-1</v>
      </c>
      <c r="BT100" s="5"/>
      <c r="CD100" s="5" t="e">
        <f t="shared" ca="1" si="110"/>
        <v>#REF!</v>
      </c>
      <c r="CE100" s="5" t="e">
        <f t="shared" ca="1" si="111"/>
        <v>#REF!</v>
      </c>
      <c r="CF100" s="5" t="e">
        <f t="shared" ca="1" si="112"/>
        <v>#REF!</v>
      </c>
      <c r="CG100" s="5"/>
    </row>
    <row r="101" spans="1:85" hidden="1" x14ac:dyDescent="0.25">
      <c r="A101" s="57"/>
      <c r="B101" s="57"/>
      <c r="C101" s="53"/>
      <c r="D101" s="54"/>
      <c r="E101" s="54"/>
      <c r="F101" s="59"/>
      <c r="G101" s="59"/>
      <c r="H101" s="59"/>
      <c r="I101" s="59"/>
      <c r="J101" s="59"/>
      <c r="K101" s="59"/>
      <c r="L101" s="59"/>
      <c r="M101" s="59"/>
      <c r="N101" s="59"/>
      <c r="O101" s="59"/>
      <c r="P101" s="59"/>
      <c r="Q101" s="59"/>
      <c r="R101" s="59"/>
      <c r="S101" s="59"/>
      <c r="T101" s="59"/>
      <c r="U101" s="59"/>
      <c r="V101" s="59"/>
      <c r="W101" s="59"/>
      <c r="X101" s="59"/>
      <c r="Y101" s="59"/>
      <c r="Z101" s="59"/>
      <c r="AA101" s="59"/>
      <c r="AB101" s="59"/>
      <c r="AC101" s="59"/>
      <c r="AD101" s="59"/>
      <c r="AE101" s="59"/>
      <c r="AF101" s="59"/>
      <c r="AG101" s="59"/>
      <c r="AH101" s="59"/>
      <c r="AI101" s="59"/>
      <c r="AJ101" s="59"/>
      <c r="AK101" s="59"/>
      <c r="AL101" s="59"/>
      <c r="AM101" s="59"/>
      <c r="AN101" s="59"/>
      <c r="AO101" s="59"/>
      <c r="AP101" s="59"/>
      <c r="AQ101" s="59"/>
      <c r="AR101" s="59"/>
      <c r="AS101" s="59"/>
      <c r="AT101" s="59"/>
      <c r="AU101" s="59"/>
      <c r="AV101" s="59"/>
      <c r="AW101" s="59"/>
      <c r="AX101" s="59"/>
      <c r="AY101" s="59"/>
      <c r="AZ101" s="59"/>
      <c r="BA101" s="59"/>
      <c r="BS101" s="5">
        <f t="shared" si="162"/>
        <v>-1</v>
      </c>
      <c r="BT101" s="5"/>
      <c r="CD101" s="5" t="e">
        <f t="shared" ca="1" si="110"/>
        <v>#REF!</v>
      </c>
      <c r="CE101" s="5" t="e">
        <f t="shared" ca="1" si="111"/>
        <v>#REF!</v>
      </c>
      <c r="CF101" s="5" t="e">
        <f t="shared" ca="1" si="112"/>
        <v>#REF!</v>
      </c>
      <c r="CG101" s="5"/>
    </row>
    <row r="102" spans="1:85" hidden="1" x14ac:dyDescent="0.25">
      <c r="A102" s="57"/>
      <c r="B102" s="57"/>
      <c r="C102" s="53"/>
      <c r="D102" s="54"/>
      <c r="E102" s="54"/>
      <c r="F102" s="59"/>
      <c r="G102" s="59"/>
      <c r="H102" s="59"/>
      <c r="I102" s="59"/>
      <c r="J102" s="59"/>
      <c r="K102" s="59"/>
      <c r="L102" s="59"/>
      <c r="M102" s="59"/>
      <c r="N102" s="59"/>
      <c r="O102" s="59"/>
      <c r="P102" s="59"/>
      <c r="Q102" s="59"/>
      <c r="R102" s="59"/>
      <c r="S102" s="59"/>
      <c r="T102" s="59"/>
      <c r="U102" s="59"/>
      <c r="V102" s="59"/>
      <c r="W102" s="59"/>
      <c r="X102" s="59"/>
      <c r="Y102" s="59"/>
      <c r="Z102" s="59"/>
      <c r="AA102" s="59"/>
      <c r="AB102" s="59"/>
      <c r="AC102" s="59"/>
      <c r="AD102" s="59"/>
      <c r="AE102" s="59"/>
      <c r="AF102" s="59"/>
      <c r="AG102" s="59"/>
      <c r="AH102" s="59"/>
      <c r="AI102" s="59"/>
      <c r="AJ102" s="59"/>
      <c r="AK102" s="59"/>
      <c r="AL102" s="59"/>
      <c r="AM102" s="59"/>
      <c r="AN102" s="59"/>
      <c r="AO102" s="59"/>
      <c r="AP102" s="59"/>
      <c r="AQ102" s="59"/>
      <c r="AR102" s="59"/>
      <c r="AS102" s="59"/>
      <c r="AT102" s="59"/>
      <c r="AU102" s="59"/>
      <c r="AV102" s="59"/>
      <c r="AW102" s="59"/>
      <c r="AX102" s="59"/>
      <c r="AY102" s="59"/>
      <c r="AZ102" s="59"/>
      <c r="BA102" s="59"/>
      <c r="BS102" s="5">
        <f t="shared" si="162"/>
        <v>-1</v>
      </c>
      <c r="BT102" s="5"/>
      <c r="CD102" s="5" t="e">
        <f t="shared" ca="1" si="110"/>
        <v>#REF!</v>
      </c>
      <c r="CE102" s="5" t="e">
        <f t="shared" ca="1" si="111"/>
        <v>#REF!</v>
      </c>
      <c r="CF102" s="5" t="e">
        <f t="shared" ca="1" si="112"/>
        <v>#REF!</v>
      </c>
      <c r="CG102" s="5"/>
    </row>
    <row r="103" spans="1:85" hidden="1" x14ac:dyDescent="0.25">
      <c r="A103" s="57"/>
      <c r="B103" s="57"/>
      <c r="C103" s="53"/>
      <c r="D103" s="54"/>
      <c r="E103" s="63"/>
      <c r="F103" s="59"/>
      <c r="G103" s="59"/>
      <c r="H103" s="59"/>
      <c r="I103" s="59"/>
      <c r="J103" s="59"/>
      <c r="K103" s="59"/>
      <c r="L103" s="59"/>
      <c r="M103" s="59"/>
      <c r="N103" s="59"/>
      <c r="O103" s="59"/>
      <c r="P103" s="59"/>
      <c r="Q103" s="59"/>
      <c r="R103" s="59"/>
      <c r="S103" s="59"/>
      <c r="T103" s="59"/>
      <c r="U103" s="59"/>
      <c r="V103" s="59"/>
      <c r="W103" s="59"/>
      <c r="X103" s="59"/>
      <c r="Y103" s="59"/>
      <c r="Z103" s="59"/>
      <c r="AA103" s="59"/>
      <c r="AB103" s="59"/>
      <c r="AC103" s="59"/>
      <c r="AD103" s="59"/>
      <c r="AE103" s="59"/>
      <c r="AF103" s="59"/>
      <c r="AG103" s="59"/>
      <c r="AH103" s="59"/>
      <c r="AI103" s="59"/>
      <c r="AJ103" s="59"/>
      <c r="AK103" s="59"/>
      <c r="AL103" s="59"/>
      <c r="AM103" s="59"/>
      <c r="AN103" s="59"/>
      <c r="AO103" s="59"/>
      <c r="AP103" s="59"/>
      <c r="AQ103" s="59"/>
      <c r="AR103" s="59"/>
      <c r="AS103" s="59"/>
      <c r="AT103" s="59"/>
      <c r="AU103" s="59"/>
      <c r="AV103" s="59"/>
      <c r="AW103" s="59"/>
      <c r="AX103" s="59"/>
      <c r="AY103" s="59"/>
      <c r="AZ103" s="59"/>
      <c r="BA103" s="59"/>
      <c r="BS103" s="5">
        <f t="shared" si="162"/>
        <v>-1</v>
      </c>
      <c r="BT103" s="5"/>
      <c r="CD103" s="5" t="e">
        <f t="shared" ca="1" si="110"/>
        <v>#REF!</v>
      </c>
      <c r="CE103" s="5" t="e">
        <f t="shared" ca="1" si="111"/>
        <v>#REF!</v>
      </c>
      <c r="CF103" s="5" t="e">
        <f t="shared" ca="1" si="112"/>
        <v>#REF!</v>
      </c>
      <c r="CG103" s="5"/>
    </row>
    <row r="104" spans="1:85" hidden="1" x14ac:dyDescent="0.25">
      <c r="A104" s="57"/>
      <c r="B104" s="57"/>
      <c r="C104" s="53"/>
      <c r="D104" s="54"/>
      <c r="E104" s="63"/>
      <c r="F104" s="59"/>
      <c r="G104" s="59"/>
      <c r="H104" s="59"/>
      <c r="I104" s="59"/>
      <c r="J104" s="59"/>
      <c r="K104" s="59"/>
      <c r="L104" s="59"/>
      <c r="M104" s="59"/>
      <c r="N104" s="59"/>
      <c r="O104" s="59"/>
      <c r="P104" s="59"/>
      <c r="Q104" s="59"/>
      <c r="R104" s="59"/>
      <c r="S104" s="59"/>
      <c r="T104" s="59"/>
      <c r="U104" s="59"/>
      <c r="V104" s="59"/>
      <c r="W104" s="59"/>
      <c r="X104" s="59"/>
      <c r="Y104" s="59"/>
      <c r="Z104" s="59"/>
      <c r="AA104" s="59"/>
      <c r="AB104" s="59"/>
      <c r="AC104" s="59"/>
      <c r="AD104" s="59"/>
      <c r="AE104" s="59"/>
      <c r="AF104" s="59"/>
      <c r="AG104" s="59"/>
      <c r="AH104" s="59"/>
      <c r="AI104" s="59"/>
      <c r="AJ104" s="59"/>
      <c r="AK104" s="59"/>
      <c r="AL104" s="59"/>
      <c r="AM104" s="59"/>
      <c r="AN104" s="59"/>
      <c r="AO104" s="59"/>
      <c r="AP104" s="59"/>
      <c r="AQ104" s="59"/>
      <c r="AR104" s="59"/>
      <c r="AS104" s="59"/>
      <c r="AT104" s="59"/>
      <c r="AU104" s="59"/>
      <c r="AV104" s="59"/>
      <c r="AW104" s="59"/>
      <c r="AX104" s="59"/>
      <c r="AY104" s="59"/>
      <c r="AZ104" s="59"/>
      <c r="BA104" s="59"/>
      <c r="BS104" s="5">
        <f t="shared" si="162"/>
        <v>-1</v>
      </c>
      <c r="BT104" s="5" t="str">
        <f t="shared" ref="BT104:BT133" si="170">BU104&amp;BV104&amp;BW104</f>
        <v/>
      </c>
      <c r="CD104" s="5" t="e">
        <f t="shared" ca="1" si="110"/>
        <v>#REF!</v>
      </c>
      <c r="CE104" s="5" t="e">
        <f t="shared" ca="1" si="111"/>
        <v>#REF!</v>
      </c>
      <c r="CF104" s="5" t="e">
        <f t="shared" ca="1" si="112"/>
        <v>#REF!</v>
      </c>
      <c r="CG104" s="5"/>
    </row>
    <row r="105" spans="1:85" hidden="1" x14ac:dyDescent="0.25">
      <c r="A105" s="57"/>
      <c r="B105" s="57"/>
      <c r="C105" s="53"/>
      <c r="D105" s="54"/>
      <c r="E105" s="63"/>
      <c r="F105" s="59"/>
      <c r="G105" s="59"/>
      <c r="H105" s="59"/>
      <c r="I105" s="59"/>
      <c r="J105" s="59"/>
      <c r="K105" s="59"/>
      <c r="L105" s="59"/>
      <c r="M105" s="59"/>
      <c r="N105" s="59"/>
      <c r="O105" s="59"/>
      <c r="P105" s="59"/>
      <c r="Q105" s="59"/>
      <c r="R105" s="59"/>
      <c r="S105" s="59"/>
      <c r="T105" s="59"/>
      <c r="U105" s="59"/>
      <c r="V105" s="59"/>
      <c r="W105" s="59"/>
      <c r="X105" s="59"/>
      <c r="Y105" s="59"/>
      <c r="Z105" s="59"/>
      <c r="AA105" s="59"/>
      <c r="AB105" s="59"/>
      <c r="AC105" s="59"/>
      <c r="AD105" s="59"/>
      <c r="AE105" s="59"/>
      <c r="AF105" s="59"/>
      <c r="AG105" s="59"/>
      <c r="AH105" s="59"/>
      <c r="AI105" s="59"/>
      <c r="AJ105" s="59"/>
      <c r="AK105" s="59"/>
      <c r="AL105" s="59"/>
      <c r="AM105" s="59"/>
      <c r="AN105" s="59"/>
      <c r="AO105" s="59"/>
      <c r="AP105" s="59"/>
      <c r="AQ105" s="59"/>
      <c r="AR105" s="59"/>
      <c r="AS105" s="59"/>
      <c r="AT105" s="59"/>
      <c r="AU105" s="59"/>
      <c r="AV105" s="59"/>
      <c r="AW105" s="59"/>
      <c r="AX105" s="59"/>
      <c r="AY105" s="59"/>
      <c r="AZ105" s="59"/>
      <c r="BA105" s="59"/>
      <c r="BS105" s="5">
        <f t="shared" ref="BS105:BS134" si="171">COUNTIF(BT:BT,BT104)-1</f>
        <v>1048495</v>
      </c>
      <c r="BT105" s="5" t="str">
        <f t="shared" si="170"/>
        <v/>
      </c>
      <c r="CD105" s="5" t="e">
        <f t="shared" ca="1" si="110"/>
        <v>#REF!</v>
      </c>
      <c r="CE105" s="5" t="e">
        <f t="shared" ca="1" si="111"/>
        <v>#REF!</v>
      </c>
      <c r="CF105" s="5" t="e">
        <f t="shared" ca="1" si="112"/>
        <v>#REF!</v>
      </c>
      <c r="CG105" s="5"/>
    </row>
    <row r="106" spans="1:85" hidden="1" x14ac:dyDescent="0.25">
      <c r="A106" s="57"/>
      <c r="B106" s="57"/>
      <c r="C106" s="53"/>
      <c r="D106" s="54"/>
      <c r="E106" s="63"/>
      <c r="F106" s="59"/>
      <c r="G106" s="59"/>
      <c r="H106" s="59"/>
      <c r="I106" s="59"/>
      <c r="J106" s="59"/>
      <c r="K106" s="59"/>
      <c r="L106" s="59"/>
      <c r="M106" s="59"/>
      <c r="N106" s="59"/>
      <c r="O106" s="59"/>
      <c r="P106" s="59"/>
      <c r="Q106" s="59"/>
      <c r="R106" s="59"/>
      <c r="S106" s="59"/>
      <c r="T106" s="59"/>
      <c r="U106" s="59"/>
      <c r="V106" s="59"/>
      <c r="W106" s="59"/>
      <c r="X106" s="59"/>
      <c r="Y106" s="59"/>
      <c r="Z106" s="59"/>
      <c r="AA106" s="59"/>
      <c r="AB106" s="59"/>
      <c r="AC106" s="59"/>
      <c r="AD106" s="59"/>
      <c r="AE106" s="59"/>
      <c r="AF106" s="59"/>
      <c r="AG106" s="59"/>
      <c r="AH106" s="59"/>
      <c r="AI106" s="59"/>
      <c r="AJ106" s="59"/>
      <c r="AK106" s="59"/>
      <c r="AL106" s="59"/>
      <c r="AM106" s="59"/>
      <c r="AN106" s="59"/>
      <c r="AO106" s="59"/>
      <c r="AP106" s="59"/>
      <c r="AQ106" s="59"/>
      <c r="AR106" s="59"/>
      <c r="AS106" s="59"/>
      <c r="AT106" s="59"/>
      <c r="AU106" s="59"/>
      <c r="AV106" s="59"/>
      <c r="AW106" s="59"/>
      <c r="AX106" s="59"/>
      <c r="AY106" s="59"/>
      <c r="AZ106" s="59"/>
      <c r="BA106" s="59"/>
      <c r="BS106" s="5">
        <f t="shared" si="171"/>
        <v>1048495</v>
      </c>
      <c r="BT106" s="5" t="str">
        <f t="shared" si="170"/>
        <v/>
      </c>
      <c r="CD106" s="5" t="e">
        <f t="shared" ca="1" si="110"/>
        <v>#REF!</v>
      </c>
      <c r="CE106" s="5" t="e">
        <f t="shared" ca="1" si="111"/>
        <v>#REF!</v>
      </c>
      <c r="CF106" s="5" t="e">
        <f t="shared" ca="1" si="112"/>
        <v>#REF!</v>
      </c>
      <c r="CG106" s="5"/>
    </row>
    <row r="107" spans="1:85" hidden="1" x14ac:dyDescent="0.25">
      <c r="A107" s="57"/>
      <c r="B107" s="57"/>
      <c r="C107" s="53"/>
      <c r="D107" s="54"/>
      <c r="E107" s="63"/>
      <c r="F107" s="59"/>
      <c r="G107" s="59"/>
      <c r="H107" s="59"/>
      <c r="I107" s="59"/>
      <c r="J107" s="59"/>
      <c r="K107" s="59"/>
      <c r="L107" s="59"/>
      <c r="M107" s="59"/>
      <c r="N107" s="59"/>
      <c r="O107" s="59"/>
      <c r="P107" s="59"/>
      <c r="Q107" s="59"/>
      <c r="R107" s="59"/>
      <c r="S107" s="59"/>
      <c r="T107" s="59"/>
      <c r="U107" s="59"/>
      <c r="V107" s="59"/>
      <c r="W107" s="59"/>
      <c r="X107" s="59"/>
      <c r="Y107" s="59"/>
      <c r="Z107" s="59"/>
      <c r="AA107" s="59"/>
      <c r="AB107" s="59"/>
      <c r="AC107" s="59"/>
      <c r="AD107" s="59"/>
      <c r="AE107" s="59"/>
      <c r="AF107" s="59"/>
      <c r="AG107" s="59"/>
      <c r="AH107" s="59"/>
      <c r="AI107" s="59"/>
      <c r="AJ107" s="59"/>
      <c r="AK107" s="59"/>
      <c r="AL107" s="59"/>
      <c r="AM107" s="59"/>
      <c r="AN107" s="59"/>
      <c r="AO107" s="59"/>
      <c r="AP107" s="59"/>
      <c r="AQ107" s="59"/>
      <c r="AR107" s="59"/>
      <c r="AS107" s="59"/>
      <c r="AT107" s="59"/>
      <c r="AU107" s="59"/>
      <c r="AV107" s="59"/>
      <c r="AW107" s="59"/>
      <c r="AX107" s="59"/>
      <c r="AY107" s="59"/>
      <c r="AZ107" s="59"/>
      <c r="BA107" s="59"/>
      <c r="BS107" s="5">
        <f t="shared" si="171"/>
        <v>1048495</v>
      </c>
      <c r="BT107" s="5" t="str">
        <f t="shared" si="170"/>
        <v/>
      </c>
      <c r="CD107" s="5" t="e">
        <f t="shared" ca="1" si="110"/>
        <v>#REF!</v>
      </c>
      <c r="CE107" s="5" t="e">
        <f t="shared" ca="1" si="111"/>
        <v>#REF!</v>
      </c>
      <c r="CF107" s="5" t="e">
        <f t="shared" ca="1" si="112"/>
        <v>#REF!</v>
      </c>
      <c r="CG107" s="5"/>
    </row>
    <row r="108" spans="1:85" hidden="1" x14ac:dyDescent="0.25">
      <c r="A108" s="57"/>
      <c r="B108" s="57"/>
      <c r="C108" s="53"/>
      <c r="D108" s="54"/>
      <c r="E108" s="63"/>
      <c r="F108" s="59"/>
      <c r="G108" s="59"/>
      <c r="H108" s="59"/>
      <c r="I108" s="59"/>
      <c r="J108" s="59"/>
      <c r="K108" s="59"/>
      <c r="L108" s="59"/>
      <c r="M108" s="59"/>
      <c r="N108" s="59"/>
      <c r="O108" s="59"/>
      <c r="P108" s="59"/>
      <c r="Q108" s="59"/>
      <c r="R108" s="59"/>
      <c r="S108" s="59"/>
      <c r="T108" s="59"/>
      <c r="U108" s="59"/>
      <c r="V108" s="59"/>
      <c r="W108" s="59"/>
      <c r="X108" s="59"/>
      <c r="Y108" s="59"/>
      <c r="Z108" s="59"/>
      <c r="AA108" s="59"/>
      <c r="AB108" s="59"/>
      <c r="AC108" s="59"/>
      <c r="AD108" s="59"/>
      <c r="AE108" s="59"/>
      <c r="AF108" s="59"/>
      <c r="AG108" s="59"/>
      <c r="AH108" s="59"/>
      <c r="AI108" s="59"/>
      <c r="AJ108" s="59"/>
      <c r="AK108" s="59"/>
      <c r="AL108" s="59"/>
      <c r="AM108" s="59"/>
      <c r="AN108" s="59"/>
      <c r="AO108" s="59"/>
      <c r="AP108" s="59"/>
      <c r="AQ108" s="59"/>
      <c r="AR108" s="59"/>
      <c r="AS108" s="59"/>
      <c r="AT108" s="59"/>
      <c r="AU108" s="59"/>
      <c r="AV108" s="59"/>
      <c r="AW108" s="59"/>
      <c r="AX108" s="59"/>
      <c r="AY108" s="59"/>
      <c r="AZ108" s="59"/>
      <c r="BA108" s="59"/>
      <c r="BS108" s="5">
        <f t="shared" si="171"/>
        <v>1048495</v>
      </c>
      <c r="BT108" s="5" t="str">
        <f t="shared" si="170"/>
        <v/>
      </c>
      <c r="CD108" s="5" t="e">
        <f t="shared" ca="1" si="110"/>
        <v>#REF!</v>
      </c>
      <c r="CE108" s="5" t="e">
        <f t="shared" ca="1" si="111"/>
        <v>#REF!</v>
      </c>
      <c r="CF108" s="5" t="e">
        <f t="shared" ca="1" si="112"/>
        <v>#REF!</v>
      </c>
      <c r="CG108" s="5"/>
    </row>
    <row r="109" spans="1:85" hidden="1" x14ac:dyDescent="0.25">
      <c r="A109" s="57"/>
      <c r="B109" s="57"/>
      <c r="C109" s="53"/>
      <c r="D109" s="54"/>
      <c r="E109" s="63"/>
      <c r="F109" s="59"/>
      <c r="G109" s="59"/>
      <c r="H109" s="59"/>
      <c r="I109" s="59"/>
      <c r="J109" s="59"/>
      <c r="K109" s="59"/>
      <c r="L109" s="59"/>
      <c r="M109" s="59"/>
      <c r="N109" s="59"/>
      <c r="O109" s="59"/>
      <c r="P109" s="59"/>
      <c r="Q109" s="59"/>
      <c r="R109" s="59"/>
      <c r="S109" s="59"/>
      <c r="T109" s="59"/>
      <c r="U109" s="59"/>
      <c r="V109" s="59"/>
      <c r="W109" s="59"/>
      <c r="X109" s="59"/>
      <c r="Y109" s="59"/>
      <c r="Z109" s="59"/>
      <c r="AA109" s="59"/>
      <c r="AB109" s="59"/>
      <c r="AC109" s="59"/>
      <c r="AD109" s="59"/>
      <c r="AE109" s="59"/>
      <c r="AF109" s="59"/>
      <c r="AG109" s="59"/>
      <c r="AH109" s="59"/>
      <c r="AI109" s="59"/>
      <c r="AJ109" s="59"/>
      <c r="AK109" s="59"/>
      <c r="AL109" s="59"/>
      <c r="AM109" s="59"/>
      <c r="AN109" s="59"/>
      <c r="AO109" s="59"/>
      <c r="AP109" s="59"/>
      <c r="AQ109" s="59"/>
      <c r="AR109" s="59"/>
      <c r="AS109" s="59"/>
      <c r="AT109" s="59"/>
      <c r="AU109" s="59"/>
      <c r="AV109" s="59"/>
      <c r="AW109" s="59"/>
      <c r="AX109" s="59"/>
      <c r="AY109" s="59"/>
      <c r="AZ109" s="59"/>
      <c r="BA109" s="59"/>
      <c r="BS109" s="5">
        <f t="shared" si="171"/>
        <v>1048495</v>
      </c>
      <c r="BT109" s="5" t="str">
        <f t="shared" si="170"/>
        <v/>
      </c>
      <c r="CD109" s="5" t="e">
        <f t="shared" ca="1" si="110"/>
        <v>#REF!</v>
      </c>
      <c r="CE109" s="5" t="e">
        <f t="shared" ca="1" si="111"/>
        <v>#REF!</v>
      </c>
      <c r="CF109" s="5" t="e">
        <f t="shared" ca="1" si="112"/>
        <v>#REF!</v>
      </c>
      <c r="CG109" s="5"/>
    </row>
    <row r="110" spans="1:85" hidden="1" x14ac:dyDescent="0.25">
      <c r="A110" s="57"/>
      <c r="B110" s="57"/>
      <c r="C110" s="53"/>
      <c r="D110" s="54"/>
      <c r="E110" s="63"/>
      <c r="F110" s="59"/>
      <c r="G110" s="59"/>
      <c r="H110" s="59"/>
      <c r="I110" s="59"/>
      <c r="J110" s="59"/>
      <c r="K110" s="59"/>
      <c r="L110" s="59"/>
      <c r="M110" s="59"/>
      <c r="N110" s="59"/>
      <c r="O110" s="59"/>
      <c r="P110" s="59"/>
      <c r="Q110" s="59"/>
      <c r="R110" s="59"/>
      <c r="S110" s="59"/>
      <c r="T110" s="59"/>
      <c r="U110" s="59"/>
      <c r="V110" s="59"/>
      <c r="W110" s="59"/>
      <c r="X110" s="59"/>
      <c r="Y110" s="59"/>
      <c r="Z110" s="59"/>
      <c r="AA110" s="59"/>
      <c r="AB110" s="59"/>
      <c r="AC110" s="59"/>
      <c r="AD110" s="59"/>
      <c r="AE110" s="59"/>
      <c r="AF110" s="59"/>
      <c r="AG110" s="59"/>
      <c r="AH110" s="59"/>
      <c r="AI110" s="59"/>
      <c r="AJ110" s="59"/>
      <c r="AK110" s="59"/>
      <c r="AL110" s="59"/>
      <c r="AM110" s="59"/>
      <c r="AN110" s="59"/>
      <c r="AO110" s="59"/>
      <c r="AP110" s="59"/>
      <c r="AQ110" s="59"/>
      <c r="AR110" s="59"/>
      <c r="AS110" s="59"/>
      <c r="AT110" s="59"/>
      <c r="AU110" s="59"/>
      <c r="AV110" s="59"/>
      <c r="AW110" s="59"/>
      <c r="AX110" s="59"/>
      <c r="AY110" s="59"/>
      <c r="AZ110" s="59"/>
      <c r="BA110" s="59"/>
      <c r="BS110" s="5">
        <f t="shared" si="171"/>
        <v>1048495</v>
      </c>
      <c r="BT110" s="5" t="str">
        <f t="shared" si="170"/>
        <v/>
      </c>
      <c r="CD110" s="5" t="e">
        <f t="shared" ca="1" si="110"/>
        <v>#REF!</v>
      </c>
      <c r="CE110" s="5" t="e">
        <f t="shared" ca="1" si="111"/>
        <v>#REF!</v>
      </c>
      <c r="CF110" s="5" t="e">
        <f t="shared" ca="1" si="112"/>
        <v>#REF!</v>
      </c>
      <c r="CG110" s="5"/>
    </row>
    <row r="111" spans="1:85" hidden="1" x14ac:dyDescent="0.25">
      <c r="A111" s="57"/>
      <c r="B111" s="57"/>
      <c r="C111" s="53"/>
      <c r="D111" s="54"/>
      <c r="E111" s="63"/>
      <c r="F111" s="59"/>
      <c r="G111" s="59"/>
      <c r="H111" s="59"/>
      <c r="I111" s="59"/>
      <c r="J111" s="59"/>
      <c r="K111" s="59"/>
      <c r="L111" s="59"/>
      <c r="M111" s="59"/>
      <c r="N111" s="59"/>
      <c r="O111" s="59"/>
      <c r="P111" s="59"/>
      <c r="Q111" s="59"/>
      <c r="R111" s="59"/>
      <c r="S111" s="59"/>
      <c r="T111" s="59"/>
      <c r="U111" s="59"/>
      <c r="V111" s="59"/>
      <c r="W111" s="59"/>
      <c r="X111" s="59"/>
      <c r="Y111" s="59"/>
      <c r="Z111" s="59"/>
      <c r="AA111" s="59"/>
      <c r="AB111" s="59"/>
      <c r="AC111" s="59"/>
      <c r="AD111" s="59"/>
      <c r="AE111" s="59"/>
      <c r="AF111" s="59"/>
      <c r="AG111" s="59"/>
      <c r="AH111" s="59"/>
      <c r="AI111" s="59"/>
      <c r="AJ111" s="59"/>
      <c r="AK111" s="59"/>
      <c r="AL111" s="59"/>
      <c r="AM111" s="59"/>
      <c r="AN111" s="59"/>
      <c r="AO111" s="59"/>
      <c r="AP111" s="59"/>
      <c r="AQ111" s="59"/>
      <c r="AR111" s="59"/>
      <c r="AS111" s="59"/>
      <c r="AT111" s="59"/>
      <c r="AU111" s="59"/>
      <c r="AV111" s="59"/>
      <c r="AW111" s="59"/>
      <c r="AX111" s="59"/>
      <c r="AY111" s="59"/>
      <c r="AZ111" s="59"/>
      <c r="BA111" s="59"/>
      <c r="BS111" s="5">
        <f t="shared" si="171"/>
        <v>1048495</v>
      </c>
      <c r="BT111" s="5" t="str">
        <f t="shared" si="170"/>
        <v/>
      </c>
      <c r="CD111" s="5" t="e">
        <f t="shared" ca="1" si="110"/>
        <v>#REF!</v>
      </c>
      <c r="CE111" s="5" t="e">
        <f t="shared" ca="1" si="111"/>
        <v>#REF!</v>
      </c>
      <c r="CF111" s="5" t="e">
        <f t="shared" ca="1" si="112"/>
        <v>#REF!</v>
      </c>
      <c r="CG111" s="5"/>
    </row>
    <row r="112" spans="1:85" hidden="1" x14ac:dyDescent="0.25">
      <c r="A112" s="57"/>
      <c r="B112" s="57"/>
      <c r="C112" s="53"/>
      <c r="D112" s="54"/>
      <c r="E112" s="63"/>
      <c r="F112" s="59"/>
      <c r="G112" s="59"/>
      <c r="H112" s="59"/>
      <c r="I112" s="59"/>
      <c r="J112" s="59"/>
      <c r="K112" s="59"/>
      <c r="L112" s="59"/>
      <c r="M112" s="59"/>
      <c r="N112" s="59"/>
      <c r="O112" s="59"/>
      <c r="P112" s="59"/>
      <c r="Q112" s="59"/>
      <c r="R112" s="59"/>
      <c r="S112" s="59"/>
      <c r="T112" s="59"/>
      <c r="U112" s="59"/>
      <c r="V112" s="59"/>
      <c r="W112" s="59"/>
      <c r="X112" s="59"/>
      <c r="Y112" s="59"/>
      <c r="Z112" s="59"/>
      <c r="AA112" s="59"/>
      <c r="AB112" s="59"/>
      <c r="AC112" s="59"/>
      <c r="AD112" s="59"/>
      <c r="AE112" s="59"/>
      <c r="AF112" s="59"/>
      <c r="AG112" s="59"/>
      <c r="AH112" s="59"/>
      <c r="AI112" s="59"/>
      <c r="AJ112" s="59"/>
      <c r="AK112" s="59"/>
      <c r="AL112" s="59"/>
      <c r="AM112" s="59"/>
      <c r="AN112" s="59"/>
      <c r="AO112" s="59"/>
      <c r="AP112" s="59"/>
      <c r="AQ112" s="59"/>
      <c r="AR112" s="59"/>
      <c r="AS112" s="59"/>
      <c r="AT112" s="59"/>
      <c r="AU112" s="59"/>
      <c r="AV112" s="59"/>
      <c r="AW112" s="59"/>
      <c r="AX112" s="59"/>
      <c r="AY112" s="59"/>
      <c r="AZ112" s="59"/>
      <c r="BA112" s="59"/>
      <c r="BS112" s="5">
        <f t="shared" si="171"/>
        <v>1048495</v>
      </c>
      <c r="BT112" s="5" t="str">
        <f t="shared" si="170"/>
        <v/>
      </c>
      <c r="CD112" s="5" t="e">
        <f t="shared" ca="1" si="110"/>
        <v>#REF!</v>
      </c>
      <c r="CE112" s="5" t="e">
        <f t="shared" ca="1" si="111"/>
        <v>#REF!</v>
      </c>
      <c r="CF112" s="5" t="e">
        <f t="shared" ca="1" si="112"/>
        <v>#REF!</v>
      </c>
      <c r="CG112" s="5"/>
    </row>
    <row r="113" spans="1:85" hidden="1" x14ac:dyDescent="0.25">
      <c r="A113" s="57"/>
      <c r="B113" s="57"/>
      <c r="C113" s="53"/>
      <c r="D113" s="54"/>
      <c r="E113" s="63"/>
      <c r="F113" s="59"/>
      <c r="G113" s="59"/>
      <c r="H113" s="59"/>
      <c r="I113" s="59"/>
      <c r="J113" s="59"/>
      <c r="K113" s="59"/>
      <c r="L113" s="59"/>
      <c r="M113" s="59"/>
      <c r="N113" s="59"/>
      <c r="O113" s="59"/>
      <c r="P113" s="59"/>
      <c r="Q113" s="59"/>
      <c r="R113" s="59"/>
      <c r="S113" s="59"/>
      <c r="T113" s="59"/>
      <c r="U113" s="59"/>
      <c r="V113" s="59"/>
      <c r="W113" s="59"/>
      <c r="X113" s="59"/>
      <c r="Y113" s="59"/>
      <c r="Z113" s="59"/>
      <c r="AA113" s="59"/>
      <c r="AB113" s="59"/>
      <c r="AC113" s="59"/>
      <c r="AD113" s="59"/>
      <c r="AE113" s="59"/>
      <c r="AF113" s="59"/>
      <c r="AG113" s="59"/>
      <c r="AH113" s="59"/>
      <c r="AI113" s="59"/>
      <c r="AJ113" s="59"/>
      <c r="AK113" s="59"/>
      <c r="AL113" s="59"/>
      <c r="AM113" s="59"/>
      <c r="AN113" s="59"/>
      <c r="AO113" s="59"/>
      <c r="AP113" s="59"/>
      <c r="AQ113" s="59"/>
      <c r="AR113" s="59"/>
      <c r="AS113" s="59"/>
      <c r="AT113" s="59"/>
      <c r="AU113" s="59"/>
      <c r="AV113" s="59"/>
      <c r="AW113" s="59"/>
      <c r="AX113" s="59"/>
      <c r="AY113" s="59"/>
      <c r="AZ113" s="59"/>
      <c r="BA113" s="59"/>
      <c r="BS113" s="5">
        <f t="shared" si="171"/>
        <v>1048495</v>
      </c>
      <c r="BT113" s="5" t="str">
        <f t="shared" si="170"/>
        <v/>
      </c>
      <c r="CD113" s="5" t="e">
        <f t="shared" ca="1" si="110"/>
        <v>#REF!</v>
      </c>
      <c r="CE113" s="5" t="e">
        <f t="shared" ca="1" si="111"/>
        <v>#REF!</v>
      </c>
      <c r="CF113" s="5" t="e">
        <f t="shared" ca="1" si="112"/>
        <v>#REF!</v>
      </c>
      <c r="CG113" s="5"/>
    </row>
    <row r="114" spans="1:85" hidden="1" x14ac:dyDescent="0.25">
      <c r="A114" s="57"/>
      <c r="B114" s="57"/>
      <c r="C114" s="53"/>
      <c r="D114" s="54"/>
      <c r="E114" s="63"/>
      <c r="F114" s="59"/>
      <c r="G114" s="59"/>
      <c r="H114" s="59"/>
      <c r="I114" s="59"/>
      <c r="J114" s="59"/>
      <c r="K114" s="59"/>
      <c r="L114" s="59"/>
      <c r="M114" s="59"/>
      <c r="N114" s="59"/>
      <c r="O114" s="59"/>
      <c r="P114" s="59"/>
      <c r="Q114" s="59"/>
      <c r="R114" s="59"/>
      <c r="S114" s="59"/>
      <c r="T114" s="59"/>
      <c r="U114" s="59"/>
      <c r="V114" s="59"/>
      <c r="W114" s="59"/>
      <c r="X114" s="59"/>
      <c r="Y114" s="59"/>
      <c r="Z114" s="59"/>
      <c r="AA114" s="59"/>
      <c r="AB114" s="59"/>
      <c r="AC114" s="59"/>
      <c r="AD114" s="59"/>
      <c r="AE114" s="59"/>
      <c r="AF114" s="59"/>
      <c r="AG114" s="59"/>
      <c r="AH114" s="59"/>
      <c r="AI114" s="59"/>
      <c r="AJ114" s="59"/>
      <c r="AK114" s="59"/>
      <c r="AL114" s="59"/>
      <c r="AM114" s="59"/>
      <c r="AN114" s="59"/>
      <c r="AO114" s="59"/>
      <c r="AP114" s="59"/>
      <c r="AQ114" s="59"/>
      <c r="AR114" s="59"/>
      <c r="AS114" s="59"/>
      <c r="AT114" s="59"/>
      <c r="AU114" s="59"/>
      <c r="AV114" s="59"/>
      <c r="AW114" s="59"/>
      <c r="AX114" s="59"/>
      <c r="AY114" s="59"/>
      <c r="AZ114" s="59"/>
      <c r="BA114" s="59"/>
      <c r="BS114" s="5">
        <f t="shared" si="171"/>
        <v>1048495</v>
      </c>
      <c r="BT114" s="5" t="str">
        <f t="shared" si="170"/>
        <v/>
      </c>
      <c r="CD114" s="5" t="e">
        <f t="shared" ca="1" si="110"/>
        <v>#REF!</v>
      </c>
      <c r="CE114" s="5" t="e">
        <f t="shared" ca="1" si="111"/>
        <v>#REF!</v>
      </c>
      <c r="CF114" s="5" t="e">
        <f t="shared" ca="1" si="112"/>
        <v>#REF!</v>
      </c>
      <c r="CG114" s="5"/>
    </row>
    <row r="115" spans="1:85" hidden="1" x14ac:dyDescent="0.25">
      <c r="A115" s="57"/>
      <c r="B115" s="57" t="s">
        <v>110</v>
      </c>
      <c r="C115" s="53"/>
      <c r="D115" s="54"/>
      <c r="E115" s="63"/>
      <c r="F115" s="59"/>
      <c r="G115" s="59"/>
      <c r="H115" s="59"/>
      <c r="I115" s="59"/>
      <c r="J115" s="59"/>
      <c r="K115" s="59"/>
      <c r="L115" s="59"/>
      <c r="M115" s="59"/>
      <c r="N115" s="59"/>
      <c r="O115" s="59"/>
      <c r="P115" s="59"/>
      <c r="Q115" s="59"/>
      <c r="R115" s="59"/>
      <c r="S115" s="59"/>
      <c r="T115" s="59"/>
      <c r="U115" s="59"/>
      <c r="V115" s="59"/>
      <c r="W115" s="59"/>
      <c r="X115" s="59"/>
      <c r="Y115" s="59"/>
      <c r="Z115" s="59"/>
      <c r="AA115" s="59"/>
      <c r="AB115" s="59"/>
      <c r="AC115" s="59"/>
      <c r="AD115" s="59"/>
      <c r="AE115" s="59"/>
      <c r="AF115" s="59"/>
      <c r="AG115" s="59"/>
      <c r="AH115" s="59"/>
      <c r="AI115" s="59"/>
      <c r="AJ115" s="59"/>
      <c r="AK115" s="59"/>
      <c r="AL115" s="59"/>
      <c r="AM115" s="59"/>
      <c r="AN115" s="59"/>
      <c r="AO115" s="59"/>
      <c r="AP115" s="59"/>
      <c r="AQ115" s="59"/>
      <c r="AR115" s="59"/>
      <c r="AS115" s="59"/>
      <c r="AT115" s="59"/>
      <c r="AU115" s="59"/>
      <c r="AV115" s="59"/>
      <c r="AW115" s="59"/>
      <c r="AX115" s="59"/>
      <c r="AY115" s="59"/>
      <c r="AZ115" s="59"/>
      <c r="BA115" s="59"/>
      <c r="BS115" s="5">
        <f t="shared" si="171"/>
        <v>1048495</v>
      </c>
      <c r="BT115" s="5" t="str">
        <f t="shared" si="170"/>
        <v/>
      </c>
      <c r="CD115" s="5" t="e">
        <f t="shared" ca="1" si="110"/>
        <v>#REF!</v>
      </c>
      <c r="CE115" s="5" t="e">
        <f t="shared" ca="1" si="111"/>
        <v>#REF!</v>
      </c>
      <c r="CF115" s="5" t="e">
        <f t="shared" ca="1" si="112"/>
        <v>#REF!</v>
      </c>
      <c r="CG115" s="5"/>
    </row>
    <row r="116" spans="1:85" x14ac:dyDescent="0.25">
      <c r="A116" s="57" t="str" cm="1">
        <f t="array" aca="1" ref="A116:A129" ca="1">INDIRECT($B90&amp;"[Titel]")</f>
        <v>Eigenmietwert Pasadena</v>
      </c>
      <c r="B116" s="57" cm="1">
        <f t="array" aca="1" ref="B116:B129" ca="1">INDIRECT($B90&amp;"[Id]")</f>
        <v>2</v>
      </c>
      <c r="C116" s="53" t="str" cm="1">
        <f t="array" aca="1" ref="C116:C129" ca="1">INDIRECT($B115&amp;"[Zugehörigkeit Bezeichnung]")</f>
        <v>Sheldon</v>
      </c>
      <c r="D116" s="54"/>
      <c r="E116" s="63"/>
      <c r="F116" s="59" cm="1">
        <f t="array" aca="1" ref="F116:F129" ca="1">INDIRECT($B90&amp;"[Betrag]")</f>
        <v>11700</v>
      </c>
      <c r="G116" s="59" cm="1">
        <f t="array" aca="1" ref="G116:G129" ca="1">_xlfn.SWITCH(IFERROR(VLOOKUP(G$3&amp;$B$90&amp;_xlfn.ANCHORARRAY($B116),$BT:$CA,5,0),0),
0,_xlfn.ANCHORARRAY(F116)*(1+$D116)+SUMIF($BT:$BT,G$3&amp;$B$90&amp;_xlfn.ANCHORARRAY($B116),$CA:$CA),
1,VLOOKUP(G$3&amp;$B$90&amp;_xlfn.ANCHORARRAY($B116),$BT:$CA,6,0),
2,_xlfn.ANCHORARRAY(F116)*(1+_xlfn.ANCHORARRAY($D116))*VLOOKUP(G$3&amp;$B$90&amp;_xlfn.ANCHORARRAY($B116),$BT:$CA,7,0))</f>
        <v>11700</v>
      </c>
      <c r="H116" s="59" cm="1">
        <f t="array" aca="1" ref="H116:H129" ca="1">_xlfn.SWITCH(IFERROR(VLOOKUP(H$3&amp;$B$90&amp;_xlfn.ANCHORARRAY($B116),$BT:$CA,5,0),0),
0,_xlfn.ANCHORARRAY(G116)*(1+$D116)+SUMIF($BT:$BT,H$3&amp;$B$90&amp;_xlfn.ANCHORARRAY($B116),$CA:$CA),
1,VLOOKUP(H$3&amp;$B$90&amp;_xlfn.ANCHORARRAY($B116),$BT:$CA,6,0),
2,_xlfn.ANCHORARRAY(G116)*(1+_xlfn.ANCHORARRAY($D116))*VLOOKUP(H$3&amp;$B$90&amp;_xlfn.ANCHORARRAY($B116),$BT:$CA,7,0))</f>
        <v>11700</v>
      </c>
      <c r="I116" s="59" cm="1">
        <f t="array" aca="1" ref="I116:I129" ca="1">_xlfn.SWITCH(IFERROR(VLOOKUP(I$3&amp;$B$90&amp;_xlfn.ANCHORARRAY($B116),$BT:$CA,5,0),0),
0,_xlfn.ANCHORARRAY(H116)*(1+$D116)+SUMIF($BT:$BT,I$3&amp;$B$90&amp;_xlfn.ANCHORARRAY($B116),$CA:$CA),
1,VLOOKUP(I$3&amp;$B$90&amp;_xlfn.ANCHORARRAY($B116),$BT:$CA,6,0),
2,_xlfn.ANCHORARRAY(H116)*(1+_xlfn.ANCHORARRAY($D116))*VLOOKUP(I$3&amp;$B$90&amp;_xlfn.ANCHORARRAY($B116),$BT:$CA,7,0))</f>
        <v>11700</v>
      </c>
      <c r="J116" s="59" cm="1">
        <f t="array" aca="1" ref="J116:J129" ca="1">_xlfn.SWITCH(IFERROR(VLOOKUP(J$3&amp;$B$90&amp;_xlfn.ANCHORARRAY($B116),$BT:$CA,5,0),0),
0,_xlfn.ANCHORARRAY(I116)*(1+$D116)+SUMIF($BT:$BT,J$3&amp;$B$90&amp;_xlfn.ANCHORARRAY($B116),$CA:$CA),
1,VLOOKUP(J$3&amp;$B$90&amp;_xlfn.ANCHORARRAY($B116),$BT:$CA,6,0),
2,_xlfn.ANCHORARRAY(I116)*(1+_xlfn.ANCHORARRAY($D116))*VLOOKUP(J$3&amp;$B$90&amp;_xlfn.ANCHORARRAY($B116),$BT:$CA,7,0))</f>
        <v>11700</v>
      </c>
      <c r="K116" s="59" cm="1">
        <f t="array" aca="1" ref="K116:K129" ca="1">_xlfn.SWITCH(IFERROR(VLOOKUP(K$3&amp;$B$90&amp;_xlfn.ANCHORARRAY($B116),$BT:$CA,5,0),0),
0,_xlfn.ANCHORARRAY(J116)*(1+$D116)+SUMIF($BT:$BT,K$3&amp;$B$90&amp;_xlfn.ANCHORARRAY($B116),$CA:$CA),
1,VLOOKUP(K$3&amp;$B$90&amp;_xlfn.ANCHORARRAY($B116),$BT:$CA,6,0),
2,_xlfn.ANCHORARRAY(J116)*(1+_xlfn.ANCHORARRAY($D116))*VLOOKUP(K$3&amp;$B$90&amp;_xlfn.ANCHORARRAY($B116),$BT:$CA,7,0))</f>
        <v>11700</v>
      </c>
      <c r="L116" s="59" cm="1">
        <f t="array" aca="1" ref="L116:L129" ca="1">_xlfn.SWITCH(IFERROR(VLOOKUP(L$3&amp;$B$90&amp;_xlfn.ANCHORARRAY($B116),$BT:$CA,5,0),0),
0,_xlfn.ANCHORARRAY(K116)*(1+$D116)+SUMIF($BT:$BT,L$3&amp;$B$90&amp;_xlfn.ANCHORARRAY($B116),$CA:$CA),
1,VLOOKUP(L$3&amp;$B$90&amp;_xlfn.ANCHORARRAY($B116),$BT:$CA,6,0),
2,_xlfn.ANCHORARRAY(K116)*(1+_xlfn.ANCHORARRAY($D116))*VLOOKUP(L$3&amp;$B$90&amp;_xlfn.ANCHORARRAY($B116),$BT:$CA,7,0))</f>
        <v>11700</v>
      </c>
      <c r="M116" s="59" cm="1">
        <f t="array" aca="1" ref="M116:M129" ca="1">_xlfn.SWITCH(IFERROR(VLOOKUP(M$3&amp;$B$90&amp;_xlfn.ANCHORARRAY($B116),$BT:$CA,5,0),0),
0,_xlfn.ANCHORARRAY(L116)*(1+$D116)+SUMIF($BT:$BT,M$3&amp;$B$90&amp;_xlfn.ANCHORARRAY($B116),$CA:$CA),
1,VLOOKUP(M$3&amp;$B$90&amp;_xlfn.ANCHORARRAY($B116),$BT:$CA,6,0),
2,_xlfn.ANCHORARRAY(L116)*(1+_xlfn.ANCHORARRAY($D116))*VLOOKUP(M$3&amp;$B$90&amp;_xlfn.ANCHORARRAY($B116),$BT:$CA,7,0))</f>
        <v>11700</v>
      </c>
      <c r="N116" s="59" cm="1">
        <f t="array" aca="1" ref="N116:N129" ca="1">_xlfn.SWITCH(IFERROR(VLOOKUP(N$3&amp;$B$90&amp;_xlfn.ANCHORARRAY($B116),$BT:$CA,5,0),0),
0,_xlfn.ANCHORARRAY(M116)*(1+$D116)+SUMIF($BT:$BT,N$3&amp;$B$90&amp;_xlfn.ANCHORARRAY($B116),$CA:$CA),
1,VLOOKUP(N$3&amp;$B$90&amp;_xlfn.ANCHORARRAY($B116),$BT:$CA,6,0),
2,_xlfn.ANCHORARRAY(M116)*(1+_xlfn.ANCHORARRAY($D116))*VLOOKUP(N$3&amp;$B$90&amp;_xlfn.ANCHORARRAY($B116),$BT:$CA,7,0))</f>
        <v>11700</v>
      </c>
      <c r="O116" s="59" cm="1">
        <f t="array" aca="1" ref="O116:O129" ca="1">_xlfn.SWITCH(IFERROR(VLOOKUP(O$3&amp;$B$90&amp;_xlfn.ANCHORARRAY($B116),$BT:$CA,5,0),0),
0,_xlfn.ANCHORARRAY(N116)*(1+$D116)+SUMIF($BT:$BT,O$3&amp;$B$90&amp;_xlfn.ANCHORARRAY($B116),$CA:$CA),
1,VLOOKUP(O$3&amp;$B$90&amp;_xlfn.ANCHORARRAY($B116),$BT:$CA,6,0),
2,_xlfn.ANCHORARRAY(N116)*(1+_xlfn.ANCHORARRAY($D116))*VLOOKUP(O$3&amp;$B$90&amp;_xlfn.ANCHORARRAY($B116),$BT:$CA,7,0))</f>
        <v>11700</v>
      </c>
      <c r="P116" s="59" cm="1">
        <f t="array" aca="1" ref="P116:P129" ca="1">_xlfn.SWITCH(IFERROR(VLOOKUP(P$3&amp;$B$90&amp;_xlfn.ANCHORARRAY($B116),$BT:$CA,5,0),0),
0,_xlfn.ANCHORARRAY(O116)*(1+$D116)+SUMIF($BT:$BT,P$3&amp;$B$90&amp;_xlfn.ANCHORARRAY($B116),$CA:$CA),
1,VLOOKUP(P$3&amp;$B$90&amp;_xlfn.ANCHORARRAY($B116),$BT:$CA,6,0),
2,_xlfn.ANCHORARRAY(O116)*(1+_xlfn.ANCHORARRAY($D116))*VLOOKUP(P$3&amp;$B$90&amp;_xlfn.ANCHORARRAY($B116),$BT:$CA,7,0))</f>
        <v>11700</v>
      </c>
      <c r="Q116" s="59" cm="1">
        <f t="array" aca="1" ref="Q116:Q129" ca="1">_xlfn.SWITCH(IFERROR(VLOOKUP(Q$3&amp;$B$90&amp;_xlfn.ANCHORARRAY($B116),$BT:$CA,5,0),0),
0,_xlfn.ANCHORARRAY(P116)*(1+$D116)+SUMIF($BT:$BT,Q$3&amp;$B$90&amp;_xlfn.ANCHORARRAY($B116),$CA:$CA),
1,VLOOKUP(Q$3&amp;$B$90&amp;_xlfn.ANCHORARRAY($B116),$BT:$CA,6,0),
2,_xlfn.ANCHORARRAY(P116)*(1+_xlfn.ANCHORARRAY($D116))*VLOOKUP(Q$3&amp;$B$90&amp;_xlfn.ANCHORARRAY($B116),$BT:$CA,7,0))</f>
        <v>11700</v>
      </c>
      <c r="R116" s="59" cm="1">
        <f t="array" aca="1" ref="R116:R129" ca="1">_xlfn.SWITCH(IFERROR(VLOOKUP(R$3&amp;$B$90&amp;_xlfn.ANCHORARRAY($B116),$BT:$CA,5,0),0),
0,_xlfn.ANCHORARRAY(Q116)*(1+$D116)+SUMIF($BT:$BT,R$3&amp;$B$90&amp;_xlfn.ANCHORARRAY($B116),$CA:$CA),
1,VLOOKUP(R$3&amp;$B$90&amp;_xlfn.ANCHORARRAY($B116),$BT:$CA,6,0),
2,_xlfn.ANCHORARRAY(Q116)*(1+_xlfn.ANCHORARRAY($D116))*VLOOKUP(R$3&amp;$B$90&amp;_xlfn.ANCHORARRAY($B116),$BT:$CA,7,0))</f>
        <v>11700</v>
      </c>
      <c r="S116" s="59" cm="1">
        <f t="array" aca="1" ref="S116:S129" ca="1">_xlfn.SWITCH(IFERROR(VLOOKUP(S$3&amp;$B$90&amp;_xlfn.ANCHORARRAY($B116),$BT:$CA,5,0),0),
0,_xlfn.ANCHORARRAY(R116)*(1+$D116)+SUMIF($BT:$BT,S$3&amp;$B$90&amp;_xlfn.ANCHORARRAY($B116),$CA:$CA),
1,VLOOKUP(S$3&amp;$B$90&amp;_xlfn.ANCHORARRAY($B116),$BT:$CA,6,0),
2,_xlfn.ANCHORARRAY(R116)*(1+_xlfn.ANCHORARRAY($D116))*VLOOKUP(S$3&amp;$B$90&amp;_xlfn.ANCHORARRAY($B116),$BT:$CA,7,0))</f>
        <v>11700</v>
      </c>
      <c r="T116" s="59" cm="1">
        <f t="array" aca="1" ref="T116:T129" ca="1">_xlfn.SWITCH(IFERROR(VLOOKUP(T$3&amp;$B$90&amp;_xlfn.ANCHORARRAY($B116),$BT:$CA,5,0),0),
0,_xlfn.ANCHORARRAY(S116)*(1+$D116)+SUMIF($BT:$BT,T$3&amp;$B$90&amp;_xlfn.ANCHORARRAY($B116),$CA:$CA),
1,VLOOKUP(T$3&amp;$B$90&amp;_xlfn.ANCHORARRAY($B116),$BT:$CA,6,0),
2,_xlfn.ANCHORARRAY(S116)*(1+_xlfn.ANCHORARRAY($D116))*VLOOKUP(T$3&amp;$B$90&amp;_xlfn.ANCHORARRAY($B116),$BT:$CA,7,0))</f>
        <v>11700</v>
      </c>
      <c r="U116" s="59" cm="1">
        <f t="array" aca="1" ref="U116:U129" ca="1">_xlfn.SWITCH(IFERROR(VLOOKUP(U$3&amp;$B$90&amp;_xlfn.ANCHORARRAY($B116),$BT:$CA,5,0),0),
0,_xlfn.ANCHORARRAY(T116)*(1+$D116)+SUMIF($BT:$BT,U$3&amp;$B$90&amp;_xlfn.ANCHORARRAY($B116),$CA:$CA),
1,VLOOKUP(U$3&amp;$B$90&amp;_xlfn.ANCHORARRAY($B116),$BT:$CA,6,0),
2,_xlfn.ANCHORARRAY(T116)*(1+_xlfn.ANCHORARRAY($D116))*VLOOKUP(U$3&amp;$B$90&amp;_xlfn.ANCHORARRAY($B116),$BT:$CA,7,0))</f>
        <v>11700</v>
      </c>
      <c r="V116" s="59" cm="1">
        <f t="array" aca="1" ref="V116:V129" ca="1">_xlfn.SWITCH(IFERROR(VLOOKUP(V$3&amp;$B$90&amp;_xlfn.ANCHORARRAY($B116),$BT:$CA,5,0),0),
0,_xlfn.ANCHORARRAY(U116)*(1+$D116)+SUMIF($BT:$BT,V$3&amp;$B$90&amp;_xlfn.ANCHORARRAY($B116),$CA:$CA),
1,VLOOKUP(V$3&amp;$B$90&amp;_xlfn.ANCHORARRAY($B116),$BT:$CA,6,0),
2,_xlfn.ANCHORARRAY(U116)*(1+_xlfn.ANCHORARRAY($D116))*VLOOKUP(V$3&amp;$B$90&amp;_xlfn.ANCHORARRAY($B116),$BT:$CA,7,0))</f>
        <v>11700</v>
      </c>
      <c r="W116" s="59" cm="1">
        <f t="array" aca="1" ref="W116:W129" ca="1">_xlfn.SWITCH(IFERROR(VLOOKUP(W$3&amp;$B$90&amp;_xlfn.ANCHORARRAY($B116),$BT:$CA,5,0),0),
0,_xlfn.ANCHORARRAY(V116)*(1+$D116)+SUMIF($BT:$BT,W$3&amp;$B$90&amp;_xlfn.ANCHORARRAY($B116),$CA:$CA),
1,VLOOKUP(W$3&amp;$B$90&amp;_xlfn.ANCHORARRAY($B116),$BT:$CA,6,0),
2,_xlfn.ANCHORARRAY(V116)*(1+_xlfn.ANCHORARRAY($D116))*VLOOKUP(W$3&amp;$B$90&amp;_xlfn.ANCHORARRAY($B116),$BT:$CA,7,0))</f>
        <v>11700</v>
      </c>
      <c r="X116" s="59" cm="1">
        <f t="array" aca="1" ref="X116:X129" ca="1">_xlfn.SWITCH(IFERROR(VLOOKUP(X$3&amp;$B$90&amp;_xlfn.ANCHORARRAY($B116),$BT:$CA,5,0),0),
0,_xlfn.ANCHORARRAY(W116)*(1+$D116)+SUMIF($BT:$BT,X$3&amp;$B$90&amp;_xlfn.ANCHORARRAY($B116),$CA:$CA),
1,VLOOKUP(X$3&amp;$B$90&amp;_xlfn.ANCHORARRAY($B116),$BT:$CA,6,0),
2,_xlfn.ANCHORARRAY(W116)*(1+_xlfn.ANCHORARRAY($D116))*VLOOKUP(X$3&amp;$B$90&amp;_xlfn.ANCHORARRAY($B116),$BT:$CA,7,0))</f>
        <v>11700</v>
      </c>
      <c r="Y116" s="59" cm="1">
        <f t="array" aca="1" ref="Y116:Y129" ca="1">_xlfn.SWITCH(IFERROR(VLOOKUP(Y$3&amp;$B$90&amp;_xlfn.ANCHORARRAY($B116),$BT:$CA,5,0),0),
0,_xlfn.ANCHORARRAY(X116)*(1+$D116)+SUMIF($BT:$BT,Y$3&amp;$B$90&amp;_xlfn.ANCHORARRAY($B116),$CA:$CA),
1,VLOOKUP(Y$3&amp;$B$90&amp;_xlfn.ANCHORARRAY($B116),$BT:$CA,6,0),
2,_xlfn.ANCHORARRAY(X116)*(1+_xlfn.ANCHORARRAY($D116))*VLOOKUP(Y$3&amp;$B$90&amp;_xlfn.ANCHORARRAY($B116),$BT:$CA,7,0))</f>
        <v>11700</v>
      </c>
      <c r="Z116" s="59" cm="1">
        <f t="array" aca="1" ref="Z116:Z129" ca="1">_xlfn.SWITCH(IFERROR(VLOOKUP(Z$3&amp;$B$90&amp;_xlfn.ANCHORARRAY($B116),$BT:$CA,5,0),0),
0,_xlfn.ANCHORARRAY(Y116)*(1+$D116)+SUMIF($BT:$BT,Z$3&amp;$B$90&amp;_xlfn.ANCHORARRAY($B116),$CA:$CA),
1,VLOOKUP(Z$3&amp;$B$90&amp;_xlfn.ANCHORARRAY($B116),$BT:$CA,6,0),
2,_xlfn.ANCHORARRAY(Y116)*(1+_xlfn.ANCHORARRAY($D116))*VLOOKUP(Z$3&amp;$B$90&amp;_xlfn.ANCHORARRAY($B116),$BT:$CA,7,0))</f>
        <v>11700</v>
      </c>
      <c r="AA116" s="59" cm="1">
        <f t="array" aca="1" ref="AA116:AA129" ca="1">_xlfn.SWITCH(IFERROR(VLOOKUP(AA$3&amp;$B$90&amp;_xlfn.ANCHORARRAY($B116),$BT:$CA,5,0),0),
0,_xlfn.ANCHORARRAY(Z116)*(1+$D116)+SUMIF($BT:$BT,AA$3&amp;$B$90&amp;_xlfn.ANCHORARRAY($B116),$CA:$CA),
1,VLOOKUP(AA$3&amp;$B$90&amp;_xlfn.ANCHORARRAY($B116),$BT:$CA,6,0),
2,_xlfn.ANCHORARRAY(Z116)*(1+_xlfn.ANCHORARRAY($D116))*VLOOKUP(AA$3&amp;$B$90&amp;_xlfn.ANCHORARRAY($B116),$BT:$CA,7,0))</f>
        <v>11700</v>
      </c>
      <c r="AB116" s="59" cm="1">
        <f t="array" aca="1" ref="AB116:AB129" ca="1">_xlfn.SWITCH(IFERROR(VLOOKUP(AB$3&amp;$B$90&amp;_xlfn.ANCHORARRAY($B116),$BT:$CA,5,0),0),
0,_xlfn.ANCHORARRAY(AA116)*(1+$D116)+SUMIF($BT:$BT,AB$3&amp;$B$90&amp;_xlfn.ANCHORARRAY($B116),$CA:$CA),
1,VLOOKUP(AB$3&amp;$B$90&amp;_xlfn.ANCHORARRAY($B116),$BT:$CA,6,0),
2,_xlfn.ANCHORARRAY(AA116)*(1+_xlfn.ANCHORARRAY($D116))*VLOOKUP(AB$3&amp;$B$90&amp;_xlfn.ANCHORARRAY($B116),$BT:$CA,7,0))</f>
        <v>11700</v>
      </c>
      <c r="AC116" s="59" cm="1">
        <f t="array" aca="1" ref="AC116:AC129" ca="1">_xlfn.SWITCH(IFERROR(VLOOKUP(AC$3&amp;$B$90&amp;_xlfn.ANCHORARRAY($B116),$BT:$CA,5,0),0),
0,_xlfn.ANCHORARRAY(AB116)*(1+$D116)+SUMIF($BT:$BT,AC$3&amp;$B$90&amp;_xlfn.ANCHORARRAY($B116),$CA:$CA),
1,VLOOKUP(AC$3&amp;$B$90&amp;_xlfn.ANCHORARRAY($B116),$BT:$CA,6,0),
2,_xlfn.ANCHORARRAY(AB116)*(1+_xlfn.ANCHORARRAY($D116))*VLOOKUP(AC$3&amp;$B$90&amp;_xlfn.ANCHORARRAY($B116),$BT:$CA,7,0))</f>
        <v>11700</v>
      </c>
      <c r="AD116" s="59" cm="1">
        <f t="array" aca="1" ref="AD116:AD129" ca="1">_xlfn.SWITCH(IFERROR(VLOOKUP(AD$3&amp;$B$90&amp;_xlfn.ANCHORARRAY($B116),$BT:$CA,5,0),0),
0,_xlfn.ANCHORARRAY(AC116)*(1+$D116)+SUMIF($BT:$BT,AD$3&amp;$B$90&amp;_xlfn.ANCHORARRAY($B116),$CA:$CA),
1,VLOOKUP(AD$3&amp;$B$90&amp;_xlfn.ANCHORARRAY($B116),$BT:$CA,6,0),
2,_xlfn.ANCHORARRAY(AC116)*(1+_xlfn.ANCHORARRAY($D116))*VLOOKUP(AD$3&amp;$B$90&amp;_xlfn.ANCHORARRAY($B116),$BT:$CA,7,0))</f>
        <v>11700</v>
      </c>
      <c r="AE116" s="59" cm="1">
        <f t="array" aca="1" ref="AE116:AE129" ca="1">_xlfn.SWITCH(IFERROR(VLOOKUP(AE$3&amp;$B$90&amp;_xlfn.ANCHORARRAY($B116),$BT:$CA,5,0),0),
0,_xlfn.ANCHORARRAY(AD116)*(1+$D116)+SUMIF($BT:$BT,AE$3&amp;$B$90&amp;_xlfn.ANCHORARRAY($B116),$CA:$CA),
1,VLOOKUP(AE$3&amp;$B$90&amp;_xlfn.ANCHORARRAY($B116),$BT:$CA,6,0),
2,_xlfn.ANCHORARRAY(AD116)*(1+_xlfn.ANCHORARRAY($D116))*VLOOKUP(AE$3&amp;$B$90&amp;_xlfn.ANCHORARRAY($B116),$BT:$CA,7,0))</f>
        <v>11700</v>
      </c>
      <c r="AF116" s="59" cm="1">
        <f t="array" aca="1" ref="AF116:AF129" ca="1">_xlfn.SWITCH(IFERROR(VLOOKUP(AF$3&amp;$B$90&amp;_xlfn.ANCHORARRAY($B116),$BT:$CA,5,0),0),
0,_xlfn.ANCHORARRAY(AE116)*(1+$D116)+SUMIF($BT:$BT,AF$3&amp;$B$90&amp;_xlfn.ANCHORARRAY($B116),$CA:$CA),
1,VLOOKUP(AF$3&amp;$B$90&amp;_xlfn.ANCHORARRAY($B116),$BT:$CA,6,0),
2,_xlfn.ANCHORARRAY(AE116)*(1+_xlfn.ANCHORARRAY($D116))*VLOOKUP(AF$3&amp;$B$90&amp;_xlfn.ANCHORARRAY($B116),$BT:$CA,7,0))</f>
        <v>11700</v>
      </c>
      <c r="AG116" s="59" cm="1">
        <f t="array" aca="1" ref="AG116:AG129" ca="1">_xlfn.SWITCH(IFERROR(VLOOKUP(AG$3&amp;$B$90&amp;_xlfn.ANCHORARRAY($B116),$BT:$CA,5,0),0),
0,_xlfn.ANCHORARRAY(AF116)*(1+$D116)+SUMIF($BT:$BT,AG$3&amp;$B$90&amp;_xlfn.ANCHORARRAY($B116),$CA:$CA),
1,VLOOKUP(AG$3&amp;$B$90&amp;_xlfn.ANCHORARRAY($B116),$BT:$CA,6,0),
2,_xlfn.ANCHORARRAY(AF116)*(1+_xlfn.ANCHORARRAY($D116))*VLOOKUP(AG$3&amp;$B$90&amp;_xlfn.ANCHORARRAY($B116),$BT:$CA,7,0))</f>
        <v>11700</v>
      </c>
      <c r="AH116" s="59" cm="1">
        <f t="array" aca="1" ref="AH116:AH129" ca="1">_xlfn.SWITCH(IFERROR(VLOOKUP(AH$3&amp;$B$90&amp;_xlfn.ANCHORARRAY($B116),$BT:$CA,5,0),0),
0,_xlfn.ANCHORARRAY(AG116)*(1+$D116)+SUMIF($BT:$BT,AH$3&amp;$B$90&amp;_xlfn.ANCHORARRAY($B116),$CA:$CA),
1,VLOOKUP(AH$3&amp;$B$90&amp;_xlfn.ANCHORARRAY($B116),$BT:$CA,6,0),
2,_xlfn.ANCHORARRAY(AG116)*(1+_xlfn.ANCHORARRAY($D116))*VLOOKUP(AH$3&amp;$B$90&amp;_xlfn.ANCHORARRAY($B116),$BT:$CA,7,0))</f>
        <v>11700</v>
      </c>
      <c r="AI116" s="59" cm="1">
        <f t="array" aca="1" ref="AI116:AI129" ca="1">_xlfn.SWITCH(IFERROR(VLOOKUP(AI$3&amp;$B$90&amp;_xlfn.ANCHORARRAY($B116),$BT:$CA,5,0),0),
0,_xlfn.ANCHORARRAY(AH116)*(1+$D116)+SUMIF($BT:$BT,AI$3&amp;$B$90&amp;_xlfn.ANCHORARRAY($B116),$CA:$CA),
1,VLOOKUP(AI$3&amp;$B$90&amp;_xlfn.ANCHORARRAY($B116),$BT:$CA,6,0),
2,_xlfn.ANCHORARRAY(AH116)*(1+_xlfn.ANCHORARRAY($D116))*VLOOKUP(AI$3&amp;$B$90&amp;_xlfn.ANCHORARRAY($B116),$BT:$CA,7,0))</f>
        <v>11700</v>
      </c>
      <c r="AJ116" s="59" cm="1">
        <f t="array" aca="1" ref="AJ116:AJ129" ca="1">_xlfn.SWITCH(IFERROR(VLOOKUP(AJ$3&amp;$B$90&amp;_xlfn.ANCHORARRAY($B116),$BT:$CA,5,0),0),
0,_xlfn.ANCHORARRAY(AI116)*(1+$D116)+SUMIF($BT:$BT,AJ$3&amp;$B$90&amp;_xlfn.ANCHORARRAY($B116),$CA:$CA),
1,VLOOKUP(AJ$3&amp;$B$90&amp;_xlfn.ANCHORARRAY($B116),$BT:$CA,6,0),
2,_xlfn.ANCHORARRAY(AI116)*(1+_xlfn.ANCHORARRAY($D116))*VLOOKUP(AJ$3&amp;$B$90&amp;_xlfn.ANCHORARRAY($B116),$BT:$CA,7,0))</f>
        <v>11700</v>
      </c>
      <c r="AK116" s="59" cm="1">
        <f t="array" aca="1" ref="AK116:AK129" ca="1">_xlfn.SWITCH(IFERROR(VLOOKUP(AK$3&amp;$B$90&amp;_xlfn.ANCHORARRAY($B116),$BT:$CA,5,0),0),
0,_xlfn.ANCHORARRAY(AJ116)*(1+$D116)+SUMIF($BT:$BT,AK$3&amp;$B$90&amp;_xlfn.ANCHORARRAY($B116),$CA:$CA),
1,VLOOKUP(AK$3&amp;$B$90&amp;_xlfn.ANCHORARRAY($B116),$BT:$CA,6,0),
2,_xlfn.ANCHORARRAY(AJ116)*(1+_xlfn.ANCHORARRAY($D116))*VLOOKUP(AK$3&amp;$B$90&amp;_xlfn.ANCHORARRAY($B116),$BT:$CA,7,0))</f>
        <v>11700</v>
      </c>
      <c r="AL116" s="59" cm="1">
        <f t="array" aca="1" ref="AL116:AL129" ca="1">_xlfn.SWITCH(IFERROR(VLOOKUP(AL$3&amp;$B$90&amp;_xlfn.ANCHORARRAY($B116),$BT:$CA,5,0),0),
0,_xlfn.ANCHORARRAY(AK116)*(1+$D116)+SUMIF($BT:$BT,AL$3&amp;$B$90&amp;_xlfn.ANCHORARRAY($B116),$CA:$CA),
1,VLOOKUP(AL$3&amp;$B$90&amp;_xlfn.ANCHORARRAY($B116),$BT:$CA,6,0),
2,_xlfn.ANCHORARRAY(AK116)*(1+_xlfn.ANCHORARRAY($D116))*VLOOKUP(AL$3&amp;$B$90&amp;_xlfn.ANCHORARRAY($B116),$BT:$CA,7,0))</f>
        <v>11700</v>
      </c>
      <c r="AM116" s="59" cm="1">
        <f t="array" aca="1" ref="AM116:AM129" ca="1">_xlfn.SWITCH(IFERROR(VLOOKUP(AM$3&amp;$B$90&amp;_xlfn.ANCHORARRAY($B116),$BT:$CA,5,0),0),
0,_xlfn.ANCHORARRAY(AL116)*(1+$D116)+SUMIF($BT:$BT,AM$3&amp;$B$90&amp;_xlfn.ANCHORARRAY($B116),$CA:$CA),
1,VLOOKUP(AM$3&amp;$B$90&amp;_xlfn.ANCHORARRAY($B116),$BT:$CA,6,0),
2,_xlfn.ANCHORARRAY(AL116)*(1+_xlfn.ANCHORARRAY($D116))*VLOOKUP(AM$3&amp;$B$90&amp;_xlfn.ANCHORARRAY($B116),$BT:$CA,7,0))</f>
        <v>11700</v>
      </c>
      <c r="AN116" s="59" cm="1">
        <f t="array" aca="1" ref="AN116:AN129" ca="1">_xlfn.SWITCH(IFERROR(VLOOKUP(AN$3&amp;$B$90&amp;_xlfn.ANCHORARRAY($B116),$BT:$CA,5,0),0),
0,_xlfn.ANCHORARRAY(AM116)*(1+$D116)+SUMIF($BT:$BT,AN$3&amp;$B$90&amp;_xlfn.ANCHORARRAY($B116),$CA:$CA),
1,VLOOKUP(AN$3&amp;$B$90&amp;_xlfn.ANCHORARRAY($B116),$BT:$CA,6,0),
2,_xlfn.ANCHORARRAY(AM116)*(1+_xlfn.ANCHORARRAY($D116))*VLOOKUP(AN$3&amp;$B$90&amp;_xlfn.ANCHORARRAY($B116),$BT:$CA,7,0))</f>
        <v>11700</v>
      </c>
      <c r="AO116" s="59" cm="1">
        <f t="array" aca="1" ref="AO116:AO129" ca="1">_xlfn.SWITCH(IFERROR(VLOOKUP(AO$3&amp;$B$90&amp;_xlfn.ANCHORARRAY($B116),$BT:$CA,5,0),0),
0,_xlfn.ANCHORARRAY(AN116)*(1+$D116)+SUMIF($BT:$BT,AO$3&amp;$B$90&amp;_xlfn.ANCHORARRAY($B116),$CA:$CA),
1,VLOOKUP(AO$3&amp;$B$90&amp;_xlfn.ANCHORARRAY($B116),$BT:$CA,6,0),
2,_xlfn.ANCHORARRAY(AN116)*(1+_xlfn.ANCHORARRAY($D116))*VLOOKUP(AO$3&amp;$B$90&amp;_xlfn.ANCHORARRAY($B116),$BT:$CA,7,0))</f>
        <v>11700</v>
      </c>
      <c r="AP116" s="59" cm="1">
        <f t="array" aca="1" ref="AP116:AP129" ca="1">_xlfn.SWITCH(IFERROR(VLOOKUP(AP$3&amp;$B$90&amp;_xlfn.ANCHORARRAY($B116),$BT:$CA,5,0),0),
0,_xlfn.ANCHORARRAY(AO116)*(1+$D116)+SUMIF($BT:$BT,AP$3&amp;$B$90&amp;_xlfn.ANCHORARRAY($B116),$CA:$CA),
1,VLOOKUP(AP$3&amp;$B$90&amp;_xlfn.ANCHORARRAY($B116),$BT:$CA,6,0),
2,_xlfn.ANCHORARRAY(AO116)*(1+_xlfn.ANCHORARRAY($D116))*VLOOKUP(AP$3&amp;$B$90&amp;_xlfn.ANCHORARRAY($B116),$BT:$CA,7,0))</f>
        <v>11700</v>
      </c>
      <c r="AQ116" s="59" cm="1">
        <f t="array" aca="1" ref="AQ116:AQ129" ca="1">_xlfn.SWITCH(IFERROR(VLOOKUP(AQ$3&amp;$B$90&amp;_xlfn.ANCHORARRAY($B116),$BT:$CA,5,0),0),
0,_xlfn.ANCHORARRAY(AP116)*(1+$D116)+SUMIF($BT:$BT,AQ$3&amp;$B$90&amp;_xlfn.ANCHORARRAY($B116),$CA:$CA),
1,VLOOKUP(AQ$3&amp;$B$90&amp;_xlfn.ANCHORARRAY($B116),$BT:$CA,6,0),
2,_xlfn.ANCHORARRAY(AP116)*(1+_xlfn.ANCHORARRAY($D116))*VLOOKUP(AQ$3&amp;$B$90&amp;_xlfn.ANCHORARRAY($B116),$BT:$CA,7,0))</f>
        <v>11700</v>
      </c>
      <c r="AR116" s="59" cm="1">
        <f t="array" aca="1" ref="AR116:AR129" ca="1">_xlfn.SWITCH(IFERROR(VLOOKUP(AR$3&amp;$B$90&amp;_xlfn.ANCHORARRAY($B116),$BT:$CA,5,0),0),
0,_xlfn.ANCHORARRAY(AQ116)*(1+$D116)+SUMIF($BT:$BT,AR$3&amp;$B$90&amp;_xlfn.ANCHORARRAY($B116),$CA:$CA),
1,VLOOKUP(AR$3&amp;$B$90&amp;_xlfn.ANCHORARRAY($B116),$BT:$CA,6,0),
2,_xlfn.ANCHORARRAY(AQ116)*(1+_xlfn.ANCHORARRAY($D116))*VLOOKUP(AR$3&amp;$B$90&amp;_xlfn.ANCHORARRAY($B116),$BT:$CA,7,0))</f>
        <v>11700</v>
      </c>
      <c r="AS116" s="59" cm="1">
        <f t="array" aca="1" ref="AS116:AS129" ca="1">_xlfn.SWITCH(IFERROR(VLOOKUP(AS$3&amp;$B$90&amp;_xlfn.ANCHORARRAY($B116),$BT:$CA,5,0),0),
0,_xlfn.ANCHORARRAY(AR116)*(1+$D116)+SUMIF($BT:$BT,AS$3&amp;$B$90&amp;_xlfn.ANCHORARRAY($B116),$CA:$CA),
1,VLOOKUP(AS$3&amp;$B$90&amp;_xlfn.ANCHORARRAY($B116),$BT:$CA,6,0),
2,_xlfn.ANCHORARRAY(AR116)*(1+_xlfn.ANCHORARRAY($D116))*VLOOKUP(AS$3&amp;$B$90&amp;_xlfn.ANCHORARRAY($B116),$BT:$CA,7,0))</f>
        <v>11700</v>
      </c>
      <c r="AT116" s="59" cm="1">
        <f t="array" aca="1" ref="AT116:AT129" ca="1">_xlfn.SWITCH(IFERROR(VLOOKUP(AT$3&amp;$B$90&amp;_xlfn.ANCHORARRAY($B116),$BT:$CA,5,0),0),
0,_xlfn.ANCHORARRAY(AS116)*(1+$D116)+SUMIF($BT:$BT,AT$3&amp;$B$90&amp;_xlfn.ANCHORARRAY($B116),$CA:$CA),
1,VLOOKUP(AT$3&amp;$B$90&amp;_xlfn.ANCHORARRAY($B116),$BT:$CA,6,0),
2,_xlfn.ANCHORARRAY(AS116)*(1+_xlfn.ANCHORARRAY($D116))*VLOOKUP(AT$3&amp;$B$90&amp;_xlfn.ANCHORARRAY($B116),$BT:$CA,7,0))</f>
        <v>11700</v>
      </c>
      <c r="AU116" s="59" cm="1">
        <f t="array" aca="1" ref="AU116:AU129" ca="1">_xlfn.SWITCH(IFERROR(VLOOKUP(AU$3&amp;$B$90&amp;_xlfn.ANCHORARRAY($B116),$BT:$CA,5,0),0),
0,_xlfn.ANCHORARRAY(AT116)*(1+$D116)+SUMIF($BT:$BT,AU$3&amp;$B$90&amp;_xlfn.ANCHORARRAY($B116),$CA:$CA),
1,VLOOKUP(AU$3&amp;$B$90&amp;_xlfn.ANCHORARRAY($B116),$BT:$CA,6,0),
2,_xlfn.ANCHORARRAY(AT116)*(1+_xlfn.ANCHORARRAY($D116))*VLOOKUP(AU$3&amp;$B$90&amp;_xlfn.ANCHORARRAY($B116),$BT:$CA,7,0))</f>
        <v>11700</v>
      </c>
      <c r="AV116" s="59" cm="1">
        <f t="array" aca="1" ref="AV116:AV129" ca="1">_xlfn.SWITCH(IFERROR(VLOOKUP(AV$3&amp;$B$90&amp;_xlfn.ANCHORARRAY($B116),$BT:$CA,5,0),0),
0,_xlfn.ANCHORARRAY(AU116)*(1+$D116)+SUMIF($BT:$BT,AV$3&amp;$B$90&amp;_xlfn.ANCHORARRAY($B116),$CA:$CA),
1,VLOOKUP(AV$3&amp;$B$90&amp;_xlfn.ANCHORARRAY($B116),$BT:$CA,6,0),
2,_xlfn.ANCHORARRAY(AU116)*(1+_xlfn.ANCHORARRAY($D116))*VLOOKUP(AV$3&amp;$B$90&amp;_xlfn.ANCHORARRAY($B116),$BT:$CA,7,0))</f>
        <v>11700</v>
      </c>
      <c r="AW116" s="59" cm="1">
        <f t="array" aca="1" ref="AW116:AW129" ca="1">_xlfn.SWITCH(IFERROR(VLOOKUP(AW$3&amp;$B$90&amp;_xlfn.ANCHORARRAY($B116),$BT:$CA,5,0),0),
0,_xlfn.ANCHORARRAY(AV116)*(1+$D116)+SUMIF($BT:$BT,AW$3&amp;$B$90&amp;_xlfn.ANCHORARRAY($B116),$CA:$CA),
1,VLOOKUP(AW$3&amp;$B$90&amp;_xlfn.ANCHORARRAY($B116),$BT:$CA,6,0),
2,_xlfn.ANCHORARRAY(AV116)*(1+_xlfn.ANCHORARRAY($D116))*VLOOKUP(AW$3&amp;$B$90&amp;_xlfn.ANCHORARRAY($B116),$BT:$CA,7,0))</f>
        <v>11700</v>
      </c>
      <c r="AX116" s="59" cm="1">
        <f t="array" aca="1" ref="AX116:AX129" ca="1">_xlfn.SWITCH(IFERROR(VLOOKUP(AX$3&amp;$B$90&amp;_xlfn.ANCHORARRAY($B116),$BT:$CA,5,0),0),
0,_xlfn.ANCHORARRAY(AW116)*(1+$D116)+SUMIF($BT:$BT,AX$3&amp;$B$90&amp;_xlfn.ANCHORARRAY($B116),$CA:$CA),
1,VLOOKUP(AX$3&amp;$B$90&amp;_xlfn.ANCHORARRAY($B116),$BT:$CA,6,0),
2,_xlfn.ANCHORARRAY(AW116)*(1+_xlfn.ANCHORARRAY($D116))*VLOOKUP(AX$3&amp;$B$90&amp;_xlfn.ANCHORARRAY($B116),$BT:$CA,7,0))</f>
        <v>11700</v>
      </c>
      <c r="AY116" s="59" cm="1">
        <f t="array" aca="1" ref="AY116:AY129" ca="1">_xlfn.SWITCH(IFERROR(VLOOKUP(AY$3&amp;$B$90&amp;_xlfn.ANCHORARRAY($B116),$BT:$CA,5,0),0),
0,_xlfn.ANCHORARRAY(AX116)*(1+$D116)+SUMIF($BT:$BT,AY$3&amp;$B$90&amp;_xlfn.ANCHORARRAY($B116),$CA:$CA),
1,VLOOKUP(AY$3&amp;$B$90&amp;_xlfn.ANCHORARRAY($B116),$BT:$CA,6,0),
2,_xlfn.ANCHORARRAY(AX116)*(1+_xlfn.ANCHORARRAY($D116))*VLOOKUP(AY$3&amp;$B$90&amp;_xlfn.ANCHORARRAY($B116),$BT:$CA,7,0))</f>
        <v>11700</v>
      </c>
      <c r="AZ116" s="59" cm="1">
        <f t="array" aca="1" ref="AZ116:AZ129" ca="1">_xlfn.SWITCH(IFERROR(VLOOKUP(AZ$3&amp;$B$90&amp;_xlfn.ANCHORARRAY($B116),$BT:$CA,5,0),0),
0,_xlfn.ANCHORARRAY(AY116)*(1+$D116)+SUMIF($BT:$BT,AZ$3&amp;$B$90&amp;_xlfn.ANCHORARRAY($B116),$CA:$CA),
1,VLOOKUP(AZ$3&amp;$B$90&amp;_xlfn.ANCHORARRAY($B116),$BT:$CA,6,0),
2,_xlfn.ANCHORARRAY(AY116)*(1+_xlfn.ANCHORARRAY($D116))*VLOOKUP(AZ$3&amp;$B$90&amp;_xlfn.ANCHORARRAY($B116),$BT:$CA,7,0))</f>
        <v>11700</v>
      </c>
      <c r="BA116" s="59" cm="1">
        <f t="array" aca="1" ref="BA116:BA129" ca="1">_xlfn.SWITCH(IFERROR(VLOOKUP(BA$3&amp;$B$90&amp;_xlfn.ANCHORARRAY($B116),$BT:$CA,5,0),0),
0,_xlfn.ANCHORARRAY(AZ116)*(1+$D116)+SUMIF($BT:$BT,BA$3&amp;$B$90&amp;_xlfn.ANCHORARRAY($B116),$CA:$CA),
1,VLOOKUP(BA$3&amp;$B$90&amp;_xlfn.ANCHORARRAY($B116),$BT:$CA,6,0),
2,_xlfn.ANCHORARRAY(AZ116)*(1+_xlfn.ANCHORARRAY($D116))*VLOOKUP(BA$3&amp;$B$90&amp;_xlfn.ANCHORARRAY($B116),$BT:$CA,7,0))</f>
        <v>11700</v>
      </c>
      <c r="BS116" s="5">
        <f t="shared" si="171"/>
        <v>1048495</v>
      </c>
      <c r="BT116" s="5" t="str">
        <f t="shared" si="170"/>
        <v/>
      </c>
      <c r="CD116" s="5" t="e">
        <f t="shared" ca="1" si="110"/>
        <v>#REF!</v>
      </c>
      <c r="CE116" s="5" t="e">
        <f t="shared" ca="1" si="111"/>
        <v>#REF!</v>
      </c>
      <c r="CF116" s="5" t="e">
        <f t="shared" ca="1" si="112"/>
        <v>#REF!</v>
      </c>
      <c r="CG116" s="5"/>
    </row>
    <row r="117" spans="1:85" x14ac:dyDescent="0.25">
      <c r="A117" s="57" t="str">
        <f ca="1"/>
        <v>Liegenschaftsk. Pasadena (20% Mietwert)</v>
      </c>
      <c r="B117" s="57">
        <f ca="1"/>
        <v>3</v>
      </c>
      <c r="C117" s="53" t="str">
        <f ca="1"/>
        <v>Sheldon</v>
      </c>
      <c r="D117" s="54"/>
      <c r="E117" s="63"/>
      <c r="F117" s="59">
        <f ca="1"/>
        <v>-2340</v>
      </c>
      <c r="G117" s="59">
        <f ca="1"/>
        <v>-2340</v>
      </c>
      <c r="H117" s="59">
        <f ca="1"/>
        <v>-2340</v>
      </c>
      <c r="I117" s="59">
        <f ca="1"/>
        <v>-2340</v>
      </c>
      <c r="J117" s="59">
        <f ca="1"/>
        <v>-2340</v>
      </c>
      <c r="K117" s="59">
        <f ca="1"/>
        <v>-2340</v>
      </c>
      <c r="L117" s="59">
        <f ca="1"/>
        <v>-2340</v>
      </c>
      <c r="M117" s="59">
        <f ca="1"/>
        <v>-2340</v>
      </c>
      <c r="N117" s="59">
        <f ca="1"/>
        <v>-2340</v>
      </c>
      <c r="O117" s="59">
        <f ca="1"/>
        <v>-2340</v>
      </c>
      <c r="P117" s="59">
        <f ca="1"/>
        <v>-2340</v>
      </c>
      <c r="Q117" s="59">
        <f ca="1"/>
        <v>-2340</v>
      </c>
      <c r="R117" s="59">
        <f ca="1"/>
        <v>-2340</v>
      </c>
      <c r="S117" s="59">
        <f ca="1"/>
        <v>-2340</v>
      </c>
      <c r="T117" s="59">
        <f ca="1"/>
        <v>-2340</v>
      </c>
      <c r="U117" s="59">
        <f ca="1"/>
        <v>-2340</v>
      </c>
      <c r="V117" s="59">
        <f ca="1"/>
        <v>-2340</v>
      </c>
      <c r="W117" s="59">
        <f ca="1"/>
        <v>-2340</v>
      </c>
      <c r="X117" s="59">
        <f ca="1"/>
        <v>-2340</v>
      </c>
      <c r="Y117" s="59">
        <f ca="1"/>
        <v>-2340</v>
      </c>
      <c r="Z117" s="59">
        <f ca="1"/>
        <v>-2340</v>
      </c>
      <c r="AA117" s="59">
        <f ca="1"/>
        <v>-2340</v>
      </c>
      <c r="AB117" s="59">
        <f ca="1"/>
        <v>-2340</v>
      </c>
      <c r="AC117" s="59">
        <f ca="1"/>
        <v>-2340</v>
      </c>
      <c r="AD117" s="59">
        <f ca="1"/>
        <v>-2340</v>
      </c>
      <c r="AE117" s="59">
        <f ca="1"/>
        <v>-2340</v>
      </c>
      <c r="AF117" s="59">
        <f ca="1"/>
        <v>-2340</v>
      </c>
      <c r="AG117" s="59">
        <f ca="1"/>
        <v>-2340</v>
      </c>
      <c r="AH117" s="59">
        <f ca="1"/>
        <v>-2340</v>
      </c>
      <c r="AI117" s="59">
        <f ca="1"/>
        <v>-2340</v>
      </c>
      <c r="AJ117" s="59">
        <f ca="1"/>
        <v>-2340</v>
      </c>
      <c r="AK117" s="59">
        <f ca="1"/>
        <v>-2340</v>
      </c>
      <c r="AL117" s="59">
        <f ca="1"/>
        <v>-2340</v>
      </c>
      <c r="AM117" s="59">
        <f ca="1"/>
        <v>-2340</v>
      </c>
      <c r="AN117" s="59">
        <f ca="1"/>
        <v>-2340</v>
      </c>
      <c r="AO117" s="59">
        <f ca="1"/>
        <v>-2340</v>
      </c>
      <c r="AP117" s="59">
        <f ca="1"/>
        <v>-2340</v>
      </c>
      <c r="AQ117" s="59">
        <f ca="1"/>
        <v>-2340</v>
      </c>
      <c r="AR117" s="59">
        <f ca="1"/>
        <v>-2340</v>
      </c>
      <c r="AS117" s="59">
        <f ca="1"/>
        <v>-2340</v>
      </c>
      <c r="AT117" s="59">
        <f ca="1"/>
        <v>-2340</v>
      </c>
      <c r="AU117" s="59">
        <f ca="1"/>
        <v>-2340</v>
      </c>
      <c r="AV117" s="59">
        <f ca="1"/>
        <v>-2340</v>
      </c>
      <c r="AW117" s="59">
        <f ca="1"/>
        <v>-2340</v>
      </c>
      <c r="AX117" s="59">
        <f ca="1"/>
        <v>-2340</v>
      </c>
      <c r="AY117" s="59">
        <f ca="1"/>
        <v>-2340</v>
      </c>
      <c r="AZ117" s="59">
        <f ca="1"/>
        <v>-2340</v>
      </c>
      <c r="BA117" s="59">
        <f ca="1"/>
        <v>-2340</v>
      </c>
      <c r="BS117" s="5">
        <f t="shared" si="171"/>
        <v>1048495</v>
      </c>
      <c r="BT117" s="5" t="str">
        <f t="shared" si="170"/>
        <v/>
      </c>
      <c r="CD117" s="5" t="e">
        <f t="shared" ca="1" si="110"/>
        <v>#REF!</v>
      </c>
      <c r="CE117" s="5" t="e">
        <f t="shared" ca="1" si="111"/>
        <v>#REF!</v>
      </c>
      <c r="CF117" s="5" t="e">
        <f t="shared" ca="1" si="112"/>
        <v>#REF!</v>
      </c>
      <c r="CG117" s="5"/>
    </row>
    <row r="118" spans="1:85" x14ac:dyDescent="0.25">
      <c r="A118" s="57" t="str">
        <f ca="1"/>
        <v>Liegenschaftssteuer Pasadena</v>
      </c>
      <c r="B118" s="57">
        <f ca="1"/>
        <v>5</v>
      </c>
      <c r="C118" s="53" t="str">
        <f ca="1"/>
        <v>Sheldon</v>
      </c>
      <c r="D118" s="54"/>
      <c r="E118" s="63"/>
      <c r="F118" s="59">
        <f ca="1"/>
        <v>-281</v>
      </c>
      <c r="G118" s="59">
        <f ca="1"/>
        <v>-281</v>
      </c>
      <c r="H118" s="59">
        <f ca="1"/>
        <v>-281</v>
      </c>
      <c r="I118" s="59">
        <f ca="1"/>
        <v>-281</v>
      </c>
      <c r="J118" s="59">
        <f ca="1"/>
        <v>-281</v>
      </c>
      <c r="K118" s="59">
        <f ca="1"/>
        <v>-281</v>
      </c>
      <c r="L118" s="59">
        <f ca="1"/>
        <v>-281</v>
      </c>
      <c r="M118" s="59">
        <f ca="1"/>
        <v>-281</v>
      </c>
      <c r="N118" s="59">
        <f ca="1"/>
        <v>-281</v>
      </c>
      <c r="O118" s="59">
        <f ca="1"/>
        <v>-281</v>
      </c>
      <c r="P118" s="59">
        <f ca="1"/>
        <v>-281</v>
      </c>
      <c r="Q118" s="59">
        <f ca="1"/>
        <v>-281</v>
      </c>
      <c r="R118" s="59">
        <f ca="1"/>
        <v>-281</v>
      </c>
      <c r="S118" s="59">
        <f ca="1"/>
        <v>-281</v>
      </c>
      <c r="T118" s="59">
        <f ca="1"/>
        <v>-281</v>
      </c>
      <c r="U118" s="59">
        <f ca="1"/>
        <v>-281</v>
      </c>
      <c r="V118" s="59">
        <f ca="1"/>
        <v>-281</v>
      </c>
      <c r="W118" s="59">
        <f ca="1"/>
        <v>-281</v>
      </c>
      <c r="X118" s="59">
        <f ca="1"/>
        <v>-281</v>
      </c>
      <c r="Y118" s="59">
        <f ca="1"/>
        <v>-281</v>
      </c>
      <c r="Z118" s="59">
        <f ca="1"/>
        <v>-281</v>
      </c>
      <c r="AA118" s="59">
        <f ca="1"/>
        <v>-281</v>
      </c>
      <c r="AB118" s="59">
        <f ca="1"/>
        <v>-281</v>
      </c>
      <c r="AC118" s="59">
        <f ca="1"/>
        <v>-281</v>
      </c>
      <c r="AD118" s="59">
        <f ca="1"/>
        <v>-281</v>
      </c>
      <c r="AE118" s="59">
        <f ca="1"/>
        <v>-281</v>
      </c>
      <c r="AF118" s="59">
        <f ca="1"/>
        <v>-281</v>
      </c>
      <c r="AG118" s="59">
        <f ca="1"/>
        <v>-281</v>
      </c>
      <c r="AH118" s="59">
        <f ca="1"/>
        <v>-281</v>
      </c>
      <c r="AI118" s="59">
        <f ca="1"/>
        <v>-281</v>
      </c>
      <c r="AJ118" s="59">
        <f ca="1"/>
        <v>-281</v>
      </c>
      <c r="AK118" s="59">
        <f ca="1"/>
        <v>-281</v>
      </c>
      <c r="AL118" s="59">
        <f ca="1"/>
        <v>-281</v>
      </c>
      <c r="AM118" s="59">
        <f ca="1"/>
        <v>-281</v>
      </c>
      <c r="AN118" s="59">
        <f ca="1"/>
        <v>-281</v>
      </c>
      <c r="AO118" s="59">
        <f ca="1"/>
        <v>-281</v>
      </c>
      <c r="AP118" s="59">
        <f ca="1"/>
        <v>-281</v>
      </c>
      <c r="AQ118" s="59">
        <f ca="1"/>
        <v>-281</v>
      </c>
      <c r="AR118" s="59">
        <f ca="1"/>
        <v>-281</v>
      </c>
      <c r="AS118" s="59">
        <f ca="1"/>
        <v>-281</v>
      </c>
      <c r="AT118" s="59">
        <f ca="1"/>
        <v>-281</v>
      </c>
      <c r="AU118" s="59">
        <f ca="1"/>
        <v>-281</v>
      </c>
      <c r="AV118" s="59">
        <f ca="1"/>
        <v>-281</v>
      </c>
      <c r="AW118" s="59">
        <f ca="1"/>
        <v>-281</v>
      </c>
      <c r="AX118" s="59">
        <f ca="1"/>
        <v>-281</v>
      </c>
      <c r="AY118" s="59">
        <f ca="1"/>
        <v>-281</v>
      </c>
      <c r="AZ118" s="59">
        <f ca="1"/>
        <v>-281</v>
      </c>
      <c r="BA118" s="59">
        <f ca="1"/>
        <v>-281</v>
      </c>
      <c r="BS118" s="5">
        <f t="shared" si="171"/>
        <v>1048495</v>
      </c>
      <c r="BT118" s="5" t="str">
        <f t="shared" si="170"/>
        <v/>
      </c>
      <c r="CD118" s="5" t="e">
        <f t="shared" ca="1" si="110"/>
        <v>#REF!</v>
      </c>
      <c r="CE118" s="5" t="e">
        <f t="shared" ca="1" si="111"/>
        <v>#REF!</v>
      </c>
      <c r="CF118" s="5" t="e">
        <f t="shared" ca="1" si="112"/>
        <v>#REF!</v>
      </c>
      <c r="CG118" s="5"/>
    </row>
    <row r="119" spans="1:85" x14ac:dyDescent="0.25">
      <c r="A119" s="57" t="str">
        <f ca="1"/>
        <v>Fahrkosten</v>
      </c>
      <c r="B119" s="57">
        <f ca="1"/>
        <v>6</v>
      </c>
      <c r="C119" s="53" t="str">
        <f ca="1"/>
        <v>Sheldon</v>
      </c>
      <c r="D119" s="54"/>
      <c r="E119" s="63"/>
      <c r="F119" s="59">
        <f ca="1"/>
        <v>-1972</v>
      </c>
      <c r="G119" s="59">
        <f ca="1"/>
        <v>-1972</v>
      </c>
      <c r="H119" s="59">
        <f ca="1"/>
        <v>-1972</v>
      </c>
      <c r="I119" s="59">
        <f ca="1"/>
        <v>-1972</v>
      </c>
      <c r="J119" s="59">
        <f ca="1"/>
        <v>-1972</v>
      </c>
      <c r="K119" s="59">
        <f ca="1"/>
        <v>-1972</v>
      </c>
      <c r="L119" s="59">
        <f ca="1"/>
        <v>-1972</v>
      </c>
      <c r="M119" s="59">
        <f ca="1"/>
        <v>0</v>
      </c>
      <c r="N119" s="59">
        <f ca="1"/>
        <v>0</v>
      </c>
      <c r="O119" s="59">
        <f ca="1"/>
        <v>0</v>
      </c>
      <c r="P119" s="59">
        <f ca="1"/>
        <v>0</v>
      </c>
      <c r="Q119" s="59">
        <f ca="1"/>
        <v>0</v>
      </c>
      <c r="R119" s="59">
        <f ca="1"/>
        <v>0</v>
      </c>
      <c r="S119" s="59">
        <f ca="1"/>
        <v>0</v>
      </c>
      <c r="T119" s="59">
        <f ca="1"/>
        <v>0</v>
      </c>
      <c r="U119" s="59">
        <f ca="1"/>
        <v>0</v>
      </c>
      <c r="V119" s="59">
        <f ca="1"/>
        <v>0</v>
      </c>
      <c r="W119" s="59">
        <f ca="1"/>
        <v>0</v>
      </c>
      <c r="X119" s="59">
        <f ca="1"/>
        <v>0</v>
      </c>
      <c r="Y119" s="59">
        <f ca="1"/>
        <v>0</v>
      </c>
      <c r="Z119" s="59">
        <f ca="1"/>
        <v>0</v>
      </c>
      <c r="AA119" s="59">
        <f ca="1"/>
        <v>0</v>
      </c>
      <c r="AB119" s="59">
        <f ca="1"/>
        <v>0</v>
      </c>
      <c r="AC119" s="59">
        <f ca="1"/>
        <v>0</v>
      </c>
      <c r="AD119" s="59">
        <f ca="1"/>
        <v>0</v>
      </c>
      <c r="AE119" s="59">
        <f ca="1"/>
        <v>0</v>
      </c>
      <c r="AF119" s="59">
        <f ca="1"/>
        <v>0</v>
      </c>
      <c r="AG119" s="59">
        <f ca="1"/>
        <v>0</v>
      </c>
      <c r="AH119" s="59">
        <f ca="1"/>
        <v>0</v>
      </c>
      <c r="AI119" s="59">
        <f ca="1"/>
        <v>0</v>
      </c>
      <c r="AJ119" s="59">
        <f ca="1"/>
        <v>0</v>
      </c>
      <c r="AK119" s="59">
        <f ca="1"/>
        <v>0</v>
      </c>
      <c r="AL119" s="59">
        <f ca="1"/>
        <v>0</v>
      </c>
      <c r="AM119" s="59">
        <f ca="1"/>
        <v>0</v>
      </c>
      <c r="AN119" s="59">
        <f ca="1"/>
        <v>0</v>
      </c>
      <c r="AO119" s="59">
        <f ca="1"/>
        <v>0</v>
      </c>
      <c r="AP119" s="59">
        <f ca="1"/>
        <v>0</v>
      </c>
      <c r="AQ119" s="59">
        <f ca="1"/>
        <v>0</v>
      </c>
      <c r="AR119" s="59">
        <f ca="1"/>
        <v>0</v>
      </c>
      <c r="AS119" s="59">
        <f ca="1"/>
        <v>0</v>
      </c>
      <c r="AT119" s="59">
        <f ca="1"/>
        <v>0</v>
      </c>
      <c r="AU119" s="59">
        <f ca="1"/>
        <v>0</v>
      </c>
      <c r="AV119" s="59">
        <f ca="1"/>
        <v>0</v>
      </c>
      <c r="AW119" s="59">
        <f ca="1"/>
        <v>0</v>
      </c>
      <c r="AX119" s="59">
        <f ca="1"/>
        <v>0</v>
      </c>
      <c r="AY119" s="59">
        <f ca="1"/>
        <v>0</v>
      </c>
      <c r="AZ119" s="59">
        <f ca="1"/>
        <v>0</v>
      </c>
      <c r="BA119" s="59">
        <f ca="1"/>
        <v>0</v>
      </c>
      <c r="BS119" s="5">
        <f t="shared" si="171"/>
        <v>1048495</v>
      </c>
      <c r="BT119" s="5" t="str">
        <f t="shared" si="170"/>
        <v/>
      </c>
      <c r="CD119" s="5" t="e">
        <f t="shared" ca="1" si="110"/>
        <v>#REF!</v>
      </c>
      <c r="CE119" s="5" t="e">
        <f t="shared" ca="1" si="111"/>
        <v>#REF!</v>
      </c>
      <c r="CF119" s="5" t="e">
        <f t="shared" ca="1" si="112"/>
        <v>#REF!</v>
      </c>
      <c r="CG119" s="5"/>
    </row>
    <row r="120" spans="1:85" x14ac:dyDescent="0.25">
      <c r="A120" s="57" t="str">
        <f ca="1"/>
        <v>Auswärtige Verpflegung</v>
      </c>
      <c r="B120" s="57">
        <f ca="1"/>
        <v>7</v>
      </c>
      <c r="C120" s="53" t="str">
        <f ca="1"/>
        <v>Sheldon</v>
      </c>
      <c r="D120" s="54"/>
      <c r="E120" s="63"/>
      <c r="F120" s="59">
        <f ca="1"/>
        <v>-1200</v>
      </c>
      <c r="G120" s="59">
        <f ca="1"/>
        <v>-1200</v>
      </c>
      <c r="H120" s="59">
        <f ca="1"/>
        <v>-1200</v>
      </c>
      <c r="I120" s="59">
        <f ca="1"/>
        <v>-1200</v>
      </c>
      <c r="J120" s="59">
        <f ca="1"/>
        <v>-1200</v>
      </c>
      <c r="K120" s="59">
        <f ca="1"/>
        <v>-1200</v>
      </c>
      <c r="L120" s="59">
        <f ca="1"/>
        <v>-1200</v>
      </c>
      <c r="M120" s="59">
        <f ca="1"/>
        <v>0</v>
      </c>
      <c r="N120" s="59">
        <f ca="1"/>
        <v>0</v>
      </c>
      <c r="O120" s="59">
        <f ca="1"/>
        <v>0</v>
      </c>
      <c r="P120" s="59">
        <f ca="1"/>
        <v>0</v>
      </c>
      <c r="Q120" s="59">
        <f ca="1"/>
        <v>0</v>
      </c>
      <c r="R120" s="59">
        <f ca="1"/>
        <v>0</v>
      </c>
      <c r="S120" s="59">
        <f ca="1"/>
        <v>0</v>
      </c>
      <c r="T120" s="59">
        <f ca="1"/>
        <v>0</v>
      </c>
      <c r="U120" s="59">
        <f ca="1"/>
        <v>0</v>
      </c>
      <c r="V120" s="59">
        <f ca="1"/>
        <v>0</v>
      </c>
      <c r="W120" s="59">
        <f ca="1"/>
        <v>0</v>
      </c>
      <c r="X120" s="59">
        <f ca="1"/>
        <v>0</v>
      </c>
      <c r="Y120" s="59">
        <f ca="1"/>
        <v>0</v>
      </c>
      <c r="Z120" s="59">
        <f ca="1"/>
        <v>0</v>
      </c>
      <c r="AA120" s="59">
        <f ca="1"/>
        <v>0</v>
      </c>
      <c r="AB120" s="59">
        <f ca="1"/>
        <v>0</v>
      </c>
      <c r="AC120" s="59">
        <f ca="1"/>
        <v>0</v>
      </c>
      <c r="AD120" s="59">
        <f ca="1"/>
        <v>0</v>
      </c>
      <c r="AE120" s="59">
        <f ca="1"/>
        <v>0</v>
      </c>
      <c r="AF120" s="59">
        <f ca="1"/>
        <v>0</v>
      </c>
      <c r="AG120" s="59">
        <f ca="1"/>
        <v>0</v>
      </c>
      <c r="AH120" s="59">
        <f ca="1"/>
        <v>0</v>
      </c>
      <c r="AI120" s="59">
        <f ca="1"/>
        <v>0</v>
      </c>
      <c r="AJ120" s="59">
        <f ca="1"/>
        <v>0</v>
      </c>
      <c r="AK120" s="59">
        <f ca="1"/>
        <v>0</v>
      </c>
      <c r="AL120" s="59">
        <f ca="1"/>
        <v>0</v>
      </c>
      <c r="AM120" s="59">
        <f ca="1"/>
        <v>0</v>
      </c>
      <c r="AN120" s="59">
        <f ca="1"/>
        <v>0</v>
      </c>
      <c r="AO120" s="59">
        <f ca="1"/>
        <v>0</v>
      </c>
      <c r="AP120" s="59">
        <f ca="1"/>
        <v>0</v>
      </c>
      <c r="AQ120" s="59">
        <f ca="1"/>
        <v>0</v>
      </c>
      <c r="AR120" s="59">
        <f ca="1"/>
        <v>0</v>
      </c>
      <c r="AS120" s="59">
        <f ca="1"/>
        <v>0</v>
      </c>
      <c r="AT120" s="59">
        <f ca="1"/>
        <v>0</v>
      </c>
      <c r="AU120" s="59">
        <f ca="1"/>
        <v>0</v>
      </c>
      <c r="AV120" s="59">
        <f ca="1"/>
        <v>0</v>
      </c>
      <c r="AW120" s="59">
        <f ca="1"/>
        <v>0</v>
      </c>
      <c r="AX120" s="59">
        <f ca="1"/>
        <v>0</v>
      </c>
      <c r="AY120" s="59">
        <f ca="1"/>
        <v>0</v>
      </c>
      <c r="AZ120" s="59">
        <f ca="1"/>
        <v>0</v>
      </c>
      <c r="BA120" s="59">
        <f ca="1"/>
        <v>0</v>
      </c>
      <c r="BS120" s="5">
        <f t="shared" si="171"/>
        <v>1048495</v>
      </c>
      <c r="BT120" s="5" t="str">
        <f t="shared" si="170"/>
        <v/>
      </c>
      <c r="CD120" s="5" t="e">
        <f t="shared" ca="1" si="110"/>
        <v>#REF!</v>
      </c>
      <c r="CE120" s="5" t="e">
        <f t="shared" ca="1" si="111"/>
        <v>#REF!</v>
      </c>
      <c r="CF120" s="5" t="e">
        <f t="shared" ca="1" si="112"/>
        <v>#REF!</v>
      </c>
      <c r="CG120" s="5"/>
    </row>
    <row r="121" spans="1:85" x14ac:dyDescent="0.25">
      <c r="A121" s="57" t="str">
        <f ca="1"/>
        <v>Übrige Berufskosten</v>
      </c>
      <c r="B121" s="57">
        <f ca="1"/>
        <v>8</v>
      </c>
      <c r="C121" s="53" t="str">
        <f ca="1"/>
        <v>Sheldon</v>
      </c>
      <c r="D121" s="54"/>
      <c r="E121" s="63"/>
      <c r="F121" s="59">
        <f ca="1"/>
        <v>-2000</v>
      </c>
      <c r="G121" s="59">
        <f ca="1"/>
        <v>-2000</v>
      </c>
      <c r="H121" s="59">
        <f ca="1"/>
        <v>-2000</v>
      </c>
      <c r="I121" s="59">
        <f ca="1"/>
        <v>-2000</v>
      </c>
      <c r="J121" s="59">
        <f ca="1"/>
        <v>-2000</v>
      </c>
      <c r="K121" s="59">
        <f ca="1"/>
        <v>-2000</v>
      </c>
      <c r="L121" s="59">
        <f ca="1"/>
        <v>-2000</v>
      </c>
      <c r="M121" s="59">
        <f ca="1"/>
        <v>0</v>
      </c>
      <c r="N121" s="59">
        <f ca="1"/>
        <v>0</v>
      </c>
      <c r="O121" s="59">
        <f ca="1"/>
        <v>0</v>
      </c>
      <c r="P121" s="59">
        <f ca="1"/>
        <v>0</v>
      </c>
      <c r="Q121" s="59">
        <f ca="1"/>
        <v>0</v>
      </c>
      <c r="R121" s="59">
        <f ca="1"/>
        <v>0</v>
      </c>
      <c r="S121" s="59">
        <f ca="1"/>
        <v>0</v>
      </c>
      <c r="T121" s="59">
        <f ca="1"/>
        <v>0</v>
      </c>
      <c r="U121" s="59">
        <f ca="1"/>
        <v>0</v>
      </c>
      <c r="V121" s="59">
        <f ca="1"/>
        <v>0</v>
      </c>
      <c r="W121" s="59">
        <f ca="1"/>
        <v>0</v>
      </c>
      <c r="X121" s="59">
        <f ca="1"/>
        <v>0</v>
      </c>
      <c r="Y121" s="59">
        <f ca="1"/>
        <v>0</v>
      </c>
      <c r="Z121" s="59">
        <f ca="1"/>
        <v>0</v>
      </c>
      <c r="AA121" s="59">
        <f ca="1"/>
        <v>0</v>
      </c>
      <c r="AB121" s="59">
        <f ca="1"/>
        <v>0</v>
      </c>
      <c r="AC121" s="59">
        <f ca="1"/>
        <v>0</v>
      </c>
      <c r="AD121" s="59">
        <f ca="1"/>
        <v>0</v>
      </c>
      <c r="AE121" s="59">
        <f ca="1"/>
        <v>0</v>
      </c>
      <c r="AF121" s="59">
        <f ca="1"/>
        <v>0</v>
      </c>
      <c r="AG121" s="59">
        <f ca="1"/>
        <v>0</v>
      </c>
      <c r="AH121" s="59">
        <f ca="1"/>
        <v>0</v>
      </c>
      <c r="AI121" s="59">
        <f ca="1"/>
        <v>0</v>
      </c>
      <c r="AJ121" s="59">
        <f ca="1"/>
        <v>0</v>
      </c>
      <c r="AK121" s="59">
        <f ca="1"/>
        <v>0</v>
      </c>
      <c r="AL121" s="59">
        <f ca="1"/>
        <v>0</v>
      </c>
      <c r="AM121" s="59">
        <f ca="1"/>
        <v>0</v>
      </c>
      <c r="AN121" s="59">
        <f ca="1"/>
        <v>0</v>
      </c>
      <c r="AO121" s="59">
        <f ca="1"/>
        <v>0</v>
      </c>
      <c r="AP121" s="59">
        <f ca="1"/>
        <v>0</v>
      </c>
      <c r="AQ121" s="59">
        <f ca="1"/>
        <v>0</v>
      </c>
      <c r="AR121" s="59">
        <f ca="1"/>
        <v>0</v>
      </c>
      <c r="AS121" s="59">
        <f ca="1"/>
        <v>0</v>
      </c>
      <c r="AT121" s="59">
        <f ca="1"/>
        <v>0</v>
      </c>
      <c r="AU121" s="59">
        <f ca="1"/>
        <v>0</v>
      </c>
      <c r="AV121" s="59">
        <f ca="1"/>
        <v>0</v>
      </c>
      <c r="AW121" s="59">
        <f ca="1"/>
        <v>0</v>
      </c>
      <c r="AX121" s="59">
        <f ca="1"/>
        <v>0</v>
      </c>
      <c r="AY121" s="59">
        <f ca="1"/>
        <v>0</v>
      </c>
      <c r="AZ121" s="59">
        <f ca="1"/>
        <v>0</v>
      </c>
      <c r="BA121" s="59">
        <f ca="1"/>
        <v>0</v>
      </c>
      <c r="BS121" s="5">
        <f t="shared" si="171"/>
        <v>1048495</v>
      </c>
      <c r="BT121" s="5" t="str">
        <f t="shared" si="170"/>
        <v/>
      </c>
      <c r="CD121" s="5" t="e">
        <f t="shared" ca="1" si="110"/>
        <v>#REF!</v>
      </c>
      <c r="CE121" s="5" t="e">
        <f t="shared" ca="1" si="111"/>
        <v>#REF!</v>
      </c>
      <c r="CF121" s="5" t="e">
        <f t="shared" ca="1" si="112"/>
        <v>#REF!</v>
      </c>
      <c r="CG121" s="5"/>
    </row>
    <row r="122" spans="1:85" x14ac:dyDescent="0.25">
      <c r="A122" s="57" t="str">
        <f ca="1"/>
        <v>Versicherungsprämien</v>
      </c>
      <c r="B122" s="57">
        <f ca="1"/>
        <v>9</v>
      </c>
      <c r="C122" s="53" t="str">
        <f ca="1"/>
        <v>Sheldon</v>
      </c>
      <c r="D122" s="54"/>
      <c r="E122" s="63"/>
      <c r="F122" s="59">
        <f ca="1"/>
        <v>-2750</v>
      </c>
      <c r="G122" s="59">
        <f ca="1"/>
        <v>-2750</v>
      </c>
      <c r="H122" s="59">
        <f ca="1"/>
        <v>-2750</v>
      </c>
      <c r="I122" s="59">
        <f ca="1"/>
        <v>-2750</v>
      </c>
      <c r="J122" s="59">
        <f ca="1"/>
        <v>-2750</v>
      </c>
      <c r="K122" s="59">
        <f ca="1"/>
        <v>-2750</v>
      </c>
      <c r="L122" s="59">
        <f ca="1"/>
        <v>-2750</v>
      </c>
      <c r="M122" s="59">
        <f ca="1"/>
        <v>-2750</v>
      </c>
      <c r="N122" s="59">
        <f ca="1"/>
        <v>-2750</v>
      </c>
      <c r="O122" s="59">
        <f ca="1"/>
        <v>-2750</v>
      </c>
      <c r="P122" s="59">
        <f ca="1"/>
        <v>-2750</v>
      </c>
      <c r="Q122" s="59">
        <f ca="1"/>
        <v>-2750</v>
      </c>
      <c r="R122" s="59">
        <f ca="1"/>
        <v>-2750</v>
      </c>
      <c r="S122" s="59">
        <f ca="1"/>
        <v>-2750</v>
      </c>
      <c r="T122" s="59">
        <f ca="1"/>
        <v>-2750</v>
      </c>
      <c r="U122" s="59">
        <f ca="1"/>
        <v>-2750</v>
      </c>
      <c r="V122" s="59">
        <f ca="1"/>
        <v>-2750</v>
      </c>
      <c r="W122" s="59">
        <f ca="1"/>
        <v>-2750</v>
      </c>
      <c r="X122" s="59">
        <f ca="1"/>
        <v>-2750</v>
      </c>
      <c r="Y122" s="59">
        <f ca="1"/>
        <v>-2750</v>
      </c>
      <c r="Z122" s="59">
        <f ca="1"/>
        <v>-2750</v>
      </c>
      <c r="AA122" s="59">
        <f ca="1"/>
        <v>-2750</v>
      </c>
      <c r="AB122" s="59">
        <f ca="1"/>
        <v>-2750</v>
      </c>
      <c r="AC122" s="59">
        <f ca="1"/>
        <v>-2750</v>
      </c>
      <c r="AD122" s="59">
        <f ca="1"/>
        <v>-2750</v>
      </c>
      <c r="AE122" s="59">
        <f ca="1"/>
        <v>-2750</v>
      </c>
      <c r="AF122" s="59">
        <f ca="1"/>
        <v>-2750</v>
      </c>
      <c r="AG122" s="59">
        <f ca="1"/>
        <v>-2750</v>
      </c>
      <c r="AH122" s="59">
        <f ca="1"/>
        <v>-2750</v>
      </c>
      <c r="AI122" s="59">
        <f ca="1"/>
        <v>-2750</v>
      </c>
      <c r="AJ122" s="59">
        <f ca="1"/>
        <v>-2750</v>
      </c>
      <c r="AK122" s="59">
        <f ca="1"/>
        <v>-2750</v>
      </c>
      <c r="AL122" s="59">
        <f ca="1"/>
        <v>-2750</v>
      </c>
      <c r="AM122" s="59">
        <f ca="1"/>
        <v>-2750</v>
      </c>
      <c r="AN122" s="59">
        <f ca="1"/>
        <v>-2750</v>
      </c>
      <c r="AO122" s="59">
        <f ca="1"/>
        <v>-2750</v>
      </c>
      <c r="AP122" s="59">
        <f ca="1"/>
        <v>-2750</v>
      </c>
      <c r="AQ122" s="59">
        <f ca="1"/>
        <v>-2750</v>
      </c>
      <c r="AR122" s="59">
        <f ca="1"/>
        <v>-2750</v>
      </c>
      <c r="AS122" s="59">
        <f ca="1"/>
        <v>-2750</v>
      </c>
      <c r="AT122" s="59">
        <f ca="1"/>
        <v>-2750</v>
      </c>
      <c r="AU122" s="59">
        <f ca="1"/>
        <v>-2750</v>
      </c>
      <c r="AV122" s="59">
        <f ca="1"/>
        <v>-2750</v>
      </c>
      <c r="AW122" s="59">
        <f ca="1"/>
        <v>-2750</v>
      </c>
      <c r="AX122" s="59">
        <f ca="1"/>
        <v>-2750</v>
      </c>
      <c r="AY122" s="59">
        <f ca="1"/>
        <v>-2750</v>
      </c>
      <c r="AZ122" s="59">
        <f ca="1"/>
        <v>-2750</v>
      </c>
      <c r="BA122" s="59">
        <f ca="1"/>
        <v>-2750</v>
      </c>
      <c r="BS122" s="5">
        <f t="shared" si="171"/>
        <v>1048495</v>
      </c>
      <c r="BT122" s="5" t="str">
        <f t="shared" si="170"/>
        <v/>
      </c>
      <c r="CD122" s="5" t="e">
        <f t="shared" ca="1" si="110"/>
        <v>#REF!</v>
      </c>
      <c r="CE122" s="5" t="e">
        <f t="shared" ca="1" si="111"/>
        <v>#REF!</v>
      </c>
      <c r="CF122" s="5" t="e">
        <f t="shared" ca="1" si="112"/>
        <v>#REF!</v>
      </c>
      <c r="CG122" s="5"/>
    </row>
    <row r="123" spans="1:85" x14ac:dyDescent="0.25">
      <c r="A123" s="57" t="str">
        <f ca="1"/>
        <v>Liegenschaftsk. New York (20% Mietwert)</v>
      </c>
      <c r="B123" s="57">
        <f ca="1"/>
        <v>10</v>
      </c>
      <c r="C123" s="53" t="str">
        <f ca="1"/>
        <v>-</v>
      </c>
      <c r="D123" s="54"/>
      <c r="E123" s="63"/>
      <c r="F123" s="59">
        <f ca="1"/>
        <v>-3372</v>
      </c>
      <c r="G123" s="59">
        <f ca="1"/>
        <v>-3372</v>
      </c>
      <c r="H123" s="59">
        <f ca="1"/>
        <v>-3372</v>
      </c>
      <c r="I123" s="59">
        <f ca="1"/>
        <v>-3372</v>
      </c>
      <c r="J123" s="59">
        <f ca="1"/>
        <v>-3372</v>
      </c>
      <c r="K123" s="59">
        <f ca="1"/>
        <v>-3372</v>
      </c>
      <c r="L123" s="59">
        <f ca="1"/>
        <v>-3372</v>
      </c>
      <c r="M123" s="59">
        <f ca="1"/>
        <v>-3372</v>
      </c>
      <c r="N123" s="59">
        <f ca="1"/>
        <v>-3372</v>
      </c>
      <c r="O123" s="59">
        <f ca="1"/>
        <v>-3372</v>
      </c>
      <c r="P123" s="59">
        <f ca="1"/>
        <v>-3372</v>
      </c>
      <c r="Q123" s="59">
        <f ca="1"/>
        <v>-3372</v>
      </c>
      <c r="R123" s="59">
        <f ca="1"/>
        <v>-3372</v>
      </c>
      <c r="S123" s="59">
        <f ca="1"/>
        <v>-3372</v>
      </c>
      <c r="T123" s="59">
        <f ca="1"/>
        <v>-3372</v>
      </c>
      <c r="U123" s="59">
        <f ca="1"/>
        <v>-3372</v>
      </c>
      <c r="V123" s="59">
        <f ca="1"/>
        <v>-3372</v>
      </c>
      <c r="W123" s="59">
        <f ca="1"/>
        <v>-3372</v>
      </c>
      <c r="X123" s="59">
        <f ca="1"/>
        <v>-3372</v>
      </c>
      <c r="Y123" s="59">
        <f ca="1"/>
        <v>-3372</v>
      </c>
      <c r="Z123" s="59">
        <f ca="1"/>
        <v>-3372</v>
      </c>
      <c r="AA123" s="59">
        <f ca="1"/>
        <v>-3372</v>
      </c>
      <c r="AB123" s="59">
        <f ca="1"/>
        <v>-3372</v>
      </c>
      <c r="AC123" s="59">
        <f ca="1"/>
        <v>-3372</v>
      </c>
      <c r="AD123" s="59">
        <f ca="1"/>
        <v>-3372</v>
      </c>
      <c r="AE123" s="59">
        <f ca="1"/>
        <v>-3372</v>
      </c>
      <c r="AF123" s="59">
        <f ca="1"/>
        <v>-3372</v>
      </c>
      <c r="AG123" s="59">
        <f ca="1"/>
        <v>-3372</v>
      </c>
      <c r="AH123" s="59">
        <f ca="1"/>
        <v>-3372</v>
      </c>
      <c r="AI123" s="59">
        <f ca="1"/>
        <v>-3372</v>
      </c>
      <c r="AJ123" s="59">
        <f ca="1"/>
        <v>-3372</v>
      </c>
      <c r="AK123" s="59">
        <f ca="1"/>
        <v>-3372</v>
      </c>
      <c r="AL123" s="59">
        <f ca="1"/>
        <v>-3372</v>
      </c>
      <c r="AM123" s="59">
        <f ca="1"/>
        <v>-3372</v>
      </c>
      <c r="AN123" s="59">
        <f ca="1"/>
        <v>-3372</v>
      </c>
      <c r="AO123" s="59">
        <f ca="1"/>
        <v>-3372</v>
      </c>
      <c r="AP123" s="59">
        <f ca="1"/>
        <v>-3372</v>
      </c>
      <c r="AQ123" s="59">
        <f ca="1"/>
        <v>-3372</v>
      </c>
      <c r="AR123" s="59">
        <f ca="1"/>
        <v>-3372</v>
      </c>
      <c r="AS123" s="59">
        <f ca="1"/>
        <v>-3372</v>
      </c>
      <c r="AT123" s="59">
        <f ca="1"/>
        <v>-3372</v>
      </c>
      <c r="AU123" s="59">
        <f ca="1"/>
        <v>-3372</v>
      </c>
      <c r="AV123" s="59">
        <f ca="1"/>
        <v>-3372</v>
      </c>
      <c r="AW123" s="59">
        <f ca="1"/>
        <v>-3372</v>
      </c>
      <c r="AX123" s="59">
        <f ca="1"/>
        <v>-3372</v>
      </c>
      <c r="AY123" s="59">
        <f ca="1"/>
        <v>-3372</v>
      </c>
      <c r="AZ123" s="59">
        <f ca="1"/>
        <v>-3372</v>
      </c>
      <c r="BA123" s="59">
        <f ca="1"/>
        <v>-3372</v>
      </c>
      <c r="BS123" s="5">
        <f t="shared" si="171"/>
        <v>1048495</v>
      </c>
      <c r="BT123" s="5" t="str">
        <f t="shared" si="170"/>
        <v/>
      </c>
      <c r="CD123" s="5" t="e">
        <f t="shared" ca="1" si="110"/>
        <v>#REF!</v>
      </c>
      <c r="CE123" s="5" t="e">
        <f t="shared" ca="1" si="111"/>
        <v>#REF!</v>
      </c>
      <c r="CF123" s="5" t="e">
        <f t="shared" ca="1" si="112"/>
        <v>#REF!</v>
      </c>
      <c r="CG123" s="5"/>
    </row>
    <row r="124" spans="1:85" x14ac:dyDescent="0.25">
      <c r="A124" s="57" t="str">
        <f ca="1"/>
        <v>Liegenschaftssteuer New York</v>
      </c>
      <c r="B124" s="57">
        <f ca="1"/>
        <v>11</v>
      </c>
      <c r="C124" s="53" t="str">
        <f ca="1"/>
        <v>Amy</v>
      </c>
      <c r="D124" s="54"/>
      <c r="E124" s="63"/>
      <c r="F124" s="59">
        <f ca="1"/>
        <v>-575</v>
      </c>
      <c r="G124" s="59">
        <f ca="1"/>
        <v>-575</v>
      </c>
      <c r="H124" s="59">
        <f ca="1"/>
        <v>-575</v>
      </c>
      <c r="I124" s="59">
        <f ca="1"/>
        <v>-575</v>
      </c>
      <c r="J124" s="59">
        <f ca="1"/>
        <v>-575</v>
      </c>
      <c r="K124" s="59">
        <f ca="1"/>
        <v>-575</v>
      </c>
      <c r="L124" s="59">
        <f ca="1"/>
        <v>-575</v>
      </c>
      <c r="M124" s="59">
        <f ca="1"/>
        <v>-575</v>
      </c>
      <c r="N124" s="59">
        <f ca="1"/>
        <v>-575</v>
      </c>
      <c r="O124" s="59">
        <f ca="1"/>
        <v>-575</v>
      </c>
      <c r="P124" s="59">
        <f ca="1"/>
        <v>-575</v>
      </c>
      <c r="Q124" s="59">
        <f ca="1"/>
        <v>-575</v>
      </c>
      <c r="R124" s="59">
        <f ca="1"/>
        <v>-575</v>
      </c>
      <c r="S124" s="59">
        <f ca="1"/>
        <v>-575</v>
      </c>
      <c r="T124" s="59">
        <f ca="1"/>
        <v>-575</v>
      </c>
      <c r="U124" s="59">
        <f ca="1"/>
        <v>-575</v>
      </c>
      <c r="V124" s="59">
        <f ca="1"/>
        <v>-575</v>
      </c>
      <c r="W124" s="59">
        <f ca="1"/>
        <v>-575</v>
      </c>
      <c r="X124" s="59">
        <f ca="1"/>
        <v>-575</v>
      </c>
      <c r="Y124" s="59">
        <f ca="1"/>
        <v>-575</v>
      </c>
      <c r="Z124" s="59">
        <f ca="1"/>
        <v>-575</v>
      </c>
      <c r="AA124" s="59">
        <f ca="1"/>
        <v>-575</v>
      </c>
      <c r="AB124" s="59">
        <f ca="1"/>
        <v>-575</v>
      </c>
      <c r="AC124" s="59">
        <f ca="1"/>
        <v>-575</v>
      </c>
      <c r="AD124" s="59">
        <f ca="1"/>
        <v>-575</v>
      </c>
      <c r="AE124" s="59">
        <f ca="1"/>
        <v>-575</v>
      </c>
      <c r="AF124" s="59">
        <f ca="1"/>
        <v>-575</v>
      </c>
      <c r="AG124" s="59">
        <f ca="1"/>
        <v>-575</v>
      </c>
      <c r="AH124" s="59">
        <f ca="1"/>
        <v>-575</v>
      </c>
      <c r="AI124" s="59">
        <f ca="1"/>
        <v>-575</v>
      </c>
      <c r="AJ124" s="59">
        <f ca="1"/>
        <v>-575</v>
      </c>
      <c r="AK124" s="59">
        <f ca="1"/>
        <v>-575</v>
      </c>
      <c r="AL124" s="59">
        <f ca="1"/>
        <v>-575</v>
      </c>
      <c r="AM124" s="59">
        <f ca="1"/>
        <v>-575</v>
      </c>
      <c r="AN124" s="59">
        <f ca="1"/>
        <v>-575</v>
      </c>
      <c r="AO124" s="59">
        <f ca="1"/>
        <v>-575</v>
      </c>
      <c r="AP124" s="59">
        <f ca="1"/>
        <v>-575</v>
      </c>
      <c r="AQ124" s="59">
        <f ca="1"/>
        <v>-575</v>
      </c>
      <c r="AR124" s="59">
        <f ca="1"/>
        <v>-575</v>
      </c>
      <c r="AS124" s="59">
        <f ca="1"/>
        <v>-575</v>
      </c>
      <c r="AT124" s="59">
        <f ca="1"/>
        <v>-575</v>
      </c>
      <c r="AU124" s="59">
        <f ca="1"/>
        <v>-575</v>
      </c>
      <c r="AV124" s="59">
        <f ca="1"/>
        <v>-575</v>
      </c>
      <c r="AW124" s="59">
        <f ca="1"/>
        <v>-575</v>
      </c>
      <c r="AX124" s="59">
        <f ca="1"/>
        <v>-575</v>
      </c>
      <c r="AY124" s="59">
        <f ca="1"/>
        <v>-575</v>
      </c>
      <c r="AZ124" s="59">
        <f ca="1"/>
        <v>-575</v>
      </c>
      <c r="BA124" s="59">
        <f ca="1"/>
        <v>-575</v>
      </c>
      <c r="BS124" s="5">
        <f t="shared" si="171"/>
        <v>1048495</v>
      </c>
      <c r="BT124" s="5" t="str">
        <f t="shared" si="170"/>
        <v/>
      </c>
      <c r="CD124" s="5" t="e">
        <f t="shared" ca="1" si="110"/>
        <v>#REF!</v>
      </c>
      <c r="CE124" s="5" t="e">
        <f t="shared" ca="1" si="111"/>
        <v>#REF!</v>
      </c>
      <c r="CF124" s="5" t="e">
        <f t="shared" ca="1" si="112"/>
        <v>#REF!</v>
      </c>
      <c r="CG124" s="5"/>
    </row>
    <row r="125" spans="1:85" x14ac:dyDescent="0.25">
      <c r="A125" s="57" t="str">
        <f ca="1"/>
        <v>Eigenmietwert EH New York</v>
      </c>
      <c r="B125" s="57">
        <f ca="1"/>
        <v>12</v>
      </c>
      <c r="C125" s="53" t="str">
        <f ca="1"/>
        <v>Amy</v>
      </c>
      <c r="D125" s="54"/>
      <c r="E125" s="63"/>
      <c r="F125" s="59">
        <f ca="1"/>
        <v>780</v>
      </c>
      <c r="G125" s="59">
        <f ca="1"/>
        <v>780</v>
      </c>
      <c r="H125" s="59">
        <f ca="1"/>
        <v>780</v>
      </c>
      <c r="I125" s="59">
        <f ca="1"/>
        <v>780</v>
      </c>
      <c r="J125" s="59">
        <f ca="1"/>
        <v>780</v>
      </c>
      <c r="K125" s="59">
        <f ca="1"/>
        <v>780</v>
      </c>
      <c r="L125" s="59">
        <f ca="1"/>
        <v>780</v>
      </c>
      <c r="M125" s="59">
        <f ca="1"/>
        <v>780</v>
      </c>
      <c r="N125" s="59">
        <f ca="1"/>
        <v>780</v>
      </c>
      <c r="O125" s="59">
        <f ca="1"/>
        <v>780</v>
      </c>
      <c r="P125" s="59">
        <f ca="1"/>
        <v>780</v>
      </c>
      <c r="Q125" s="59">
        <f ca="1"/>
        <v>780</v>
      </c>
      <c r="R125" s="59">
        <f ca="1"/>
        <v>780</v>
      </c>
      <c r="S125" s="59">
        <f ca="1"/>
        <v>780</v>
      </c>
      <c r="T125" s="59">
        <f ca="1"/>
        <v>780</v>
      </c>
      <c r="U125" s="59">
        <f ca="1"/>
        <v>780</v>
      </c>
      <c r="V125" s="59">
        <f ca="1"/>
        <v>780</v>
      </c>
      <c r="W125" s="59">
        <f ca="1"/>
        <v>780</v>
      </c>
      <c r="X125" s="59">
        <f ca="1"/>
        <v>780</v>
      </c>
      <c r="Y125" s="59">
        <f ca="1"/>
        <v>780</v>
      </c>
      <c r="Z125" s="59">
        <f ca="1"/>
        <v>780</v>
      </c>
      <c r="AA125" s="59">
        <f ca="1"/>
        <v>780</v>
      </c>
      <c r="AB125" s="59">
        <f ca="1"/>
        <v>780</v>
      </c>
      <c r="AC125" s="59">
        <f ca="1"/>
        <v>780</v>
      </c>
      <c r="AD125" s="59">
        <f ca="1"/>
        <v>780</v>
      </c>
      <c r="AE125" s="59">
        <f ca="1"/>
        <v>780</v>
      </c>
      <c r="AF125" s="59">
        <f ca="1"/>
        <v>780</v>
      </c>
      <c r="AG125" s="59">
        <f ca="1"/>
        <v>780</v>
      </c>
      <c r="AH125" s="59">
        <f ca="1"/>
        <v>780</v>
      </c>
      <c r="AI125" s="59">
        <f ca="1"/>
        <v>780</v>
      </c>
      <c r="AJ125" s="59">
        <f ca="1"/>
        <v>780</v>
      </c>
      <c r="AK125" s="59">
        <f ca="1"/>
        <v>780</v>
      </c>
      <c r="AL125" s="59">
        <f ca="1"/>
        <v>780</v>
      </c>
      <c r="AM125" s="59">
        <f ca="1"/>
        <v>780</v>
      </c>
      <c r="AN125" s="59">
        <f ca="1"/>
        <v>780</v>
      </c>
      <c r="AO125" s="59">
        <f ca="1"/>
        <v>780</v>
      </c>
      <c r="AP125" s="59">
        <f ca="1"/>
        <v>780</v>
      </c>
      <c r="AQ125" s="59">
        <f ca="1"/>
        <v>780</v>
      </c>
      <c r="AR125" s="59">
        <f ca="1"/>
        <v>780</v>
      </c>
      <c r="AS125" s="59">
        <f ca="1"/>
        <v>780</v>
      </c>
      <c r="AT125" s="59">
        <f ca="1"/>
        <v>780</v>
      </c>
      <c r="AU125" s="59">
        <f ca="1"/>
        <v>780</v>
      </c>
      <c r="AV125" s="59">
        <f ca="1"/>
        <v>780</v>
      </c>
      <c r="AW125" s="59">
        <f ca="1"/>
        <v>780</v>
      </c>
      <c r="AX125" s="59">
        <f ca="1"/>
        <v>780</v>
      </c>
      <c r="AY125" s="59">
        <f ca="1"/>
        <v>780</v>
      </c>
      <c r="AZ125" s="59">
        <f ca="1"/>
        <v>780</v>
      </c>
      <c r="BA125" s="59">
        <f ca="1"/>
        <v>780</v>
      </c>
      <c r="BS125" s="5">
        <f t="shared" si="171"/>
        <v>1048495</v>
      </c>
      <c r="BT125" s="5" t="str">
        <f t="shared" si="170"/>
        <v/>
      </c>
      <c r="CD125" s="5" t="e">
        <f t="shared" ca="1" si="110"/>
        <v>#REF!</v>
      </c>
      <c r="CE125" s="5" t="e">
        <f t="shared" ca="1" si="111"/>
        <v>#REF!</v>
      </c>
      <c r="CF125" s="5" t="e">
        <f t="shared" ca="1" si="112"/>
        <v>#REF!</v>
      </c>
      <c r="CG125" s="5"/>
    </row>
    <row r="126" spans="1:85" x14ac:dyDescent="0.25">
      <c r="A126" s="57" t="str">
        <f ca="1"/>
        <v>Liegenschaftsk. EH New York (20% Mietwert)</v>
      </c>
      <c r="B126" s="57">
        <f ca="1"/>
        <v>13</v>
      </c>
      <c r="C126" s="53" t="str">
        <f ca="1"/>
        <v>Amy</v>
      </c>
      <c r="D126" s="54"/>
      <c r="E126" s="63"/>
      <c r="F126" s="59">
        <f ca="1"/>
        <v>-156</v>
      </c>
      <c r="G126" s="59">
        <f ca="1"/>
        <v>-156</v>
      </c>
      <c r="H126" s="59">
        <f ca="1"/>
        <v>-156</v>
      </c>
      <c r="I126" s="59">
        <f ca="1"/>
        <v>-156</v>
      </c>
      <c r="J126" s="59">
        <f ca="1"/>
        <v>-156</v>
      </c>
      <c r="K126" s="59">
        <f ca="1"/>
        <v>-156</v>
      </c>
      <c r="L126" s="59">
        <f ca="1"/>
        <v>-156</v>
      </c>
      <c r="M126" s="59">
        <f ca="1"/>
        <v>-156</v>
      </c>
      <c r="N126" s="59">
        <f ca="1"/>
        <v>-156</v>
      </c>
      <c r="O126" s="59">
        <f ca="1"/>
        <v>-156</v>
      </c>
      <c r="P126" s="59">
        <f ca="1"/>
        <v>-156</v>
      </c>
      <c r="Q126" s="59">
        <f ca="1"/>
        <v>-156</v>
      </c>
      <c r="R126" s="59">
        <f ca="1"/>
        <v>-156</v>
      </c>
      <c r="S126" s="59">
        <f ca="1"/>
        <v>-156</v>
      </c>
      <c r="T126" s="59">
        <f ca="1"/>
        <v>-156</v>
      </c>
      <c r="U126" s="59">
        <f ca="1"/>
        <v>-156</v>
      </c>
      <c r="V126" s="59">
        <f ca="1"/>
        <v>-156</v>
      </c>
      <c r="W126" s="59">
        <f ca="1"/>
        <v>-156</v>
      </c>
      <c r="X126" s="59">
        <f ca="1"/>
        <v>-156</v>
      </c>
      <c r="Y126" s="59">
        <f ca="1"/>
        <v>-156</v>
      </c>
      <c r="Z126" s="59">
        <f ca="1"/>
        <v>-156</v>
      </c>
      <c r="AA126" s="59">
        <f ca="1"/>
        <v>-156</v>
      </c>
      <c r="AB126" s="59">
        <f ca="1"/>
        <v>-156</v>
      </c>
      <c r="AC126" s="59">
        <f ca="1"/>
        <v>-156</v>
      </c>
      <c r="AD126" s="59">
        <f ca="1"/>
        <v>-156</v>
      </c>
      <c r="AE126" s="59">
        <f ca="1"/>
        <v>-156</v>
      </c>
      <c r="AF126" s="59">
        <f ca="1"/>
        <v>-156</v>
      </c>
      <c r="AG126" s="59">
        <f ca="1"/>
        <v>-156</v>
      </c>
      <c r="AH126" s="59">
        <f ca="1"/>
        <v>-156</v>
      </c>
      <c r="AI126" s="59">
        <f ca="1"/>
        <v>-156</v>
      </c>
      <c r="AJ126" s="59">
        <f ca="1"/>
        <v>-156</v>
      </c>
      <c r="AK126" s="59">
        <f ca="1"/>
        <v>-156</v>
      </c>
      <c r="AL126" s="59">
        <f ca="1"/>
        <v>-156</v>
      </c>
      <c r="AM126" s="59">
        <f ca="1"/>
        <v>-156</v>
      </c>
      <c r="AN126" s="59">
        <f ca="1"/>
        <v>-156</v>
      </c>
      <c r="AO126" s="59">
        <f ca="1"/>
        <v>-156</v>
      </c>
      <c r="AP126" s="59">
        <f ca="1"/>
        <v>-156</v>
      </c>
      <c r="AQ126" s="59">
        <f ca="1"/>
        <v>-156</v>
      </c>
      <c r="AR126" s="59">
        <f ca="1"/>
        <v>-156</v>
      </c>
      <c r="AS126" s="59">
        <f ca="1"/>
        <v>-156</v>
      </c>
      <c r="AT126" s="59">
        <f ca="1"/>
        <v>-156</v>
      </c>
      <c r="AU126" s="59">
        <f ca="1"/>
        <v>-156</v>
      </c>
      <c r="AV126" s="59">
        <f ca="1"/>
        <v>-156</v>
      </c>
      <c r="AW126" s="59">
        <f ca="1"/>
        <v>-156</v>
      </c>
      <c r="AX126" s="59">
        <f ca="1"/>
        <v>-156</v>
      </c>
      <c r="AY126" s="59">
        <f ca="1"/>
        <v>-156</v>
      </c>
      <c r="AZ126" s="59">
        <f ca="1"/>
        <v>-156</v>
      </c>
      <c r="BA126" s="59">
        <f ca="1"/>
        <v>-156</v>
      </c>
      <c r="BS126" s="5">
        <f t="shared" si="171"/>
        <v>1048495</v>
      </c>
      <c r="BT126" s="5" t="str">
        <f t="shared" si="170"/>
        <v/>
      </c>
      <c r="CD126" s="5" t="e">
        <f t="shared" ca="1" si="110"/>
        <v>#REF!</v>
      </c>
      <c r="CE126" s="5" t="e">
        <f t="shared" ca="1" si="111"/>
        <v>#REF!</v>
      </c>
      <c r="CF126" s="5" t="e">
        <f t="shared" ca="1" si="112"/>
        <v>#REF!</v>
      </c>
      <c r="CG126" s="5"/>
    </row>
    <row r="127" spans="1:85" x14ac:dyDescent="0.25">
      <c r="A127" s="57" t="str">
        <f ca="1"/>
        <v>Auswärtiger Wochenaufenthalt</v>
      </c>
      <c r="B127" s="57">
        <f ca="1"/>
        <v>14</v>
      </c>
      <c r="C127" s="53" t="str">
        <f ca="1"/>
        <v>Amy</v>
      </c>
      <c r="D127" s="54"/>
      <c r="E127" s="63"/>
      <c r="F127" s="59">
        <f ca="1"/>
        <v>-20400</v>
      </c>
      <c r="G127" s="59">
        <f ca="1"/>
        <v>-20400</v>
      </c>
      <c r="H127" s="59">
        <f ca="1"/>
        <v>-20400</v>
      </c>
      <c r="I127" s="59">
        <f ca="1"/>
        <v>-20400</v>
      </c>
      <c r="J127" s="59">
        <f ca="1"/>
        <v>-20400</v>
      </c>
      <c r="K127" s="59">
        <f ca="1"/>
        <v>0</v>
      </c>
      <c r="L127" s="59">
        <f ca="1"/>
        <v>0</v>
      </c>
      <c r="M127" s="59">
        <f ca="1"/>
        <v>0</v>
      </c>
      <c r="N127" s="59">
        <f ca="1"/>
        <v>0</v>
      </c>
      <c r="O127" s="59">
        <f ca="1"/>
        <v>0</v>
      </c>
      <c r="P127" s="59">
        <f ca="1"/>
        <v>0</v>
      </c>
      <c r="Q127" s="59">
        <f ca="1"/>
        <v>0</v>
      </c>
      <c r="R127" s="59">
        <f ca="1"/>
        <v>0</v>
      </c>
      <c r="S127" s="59">
        <f ca="1"/>
        <v>0</v>
      </c>
      <c r="T127" s="59">
        <f ca="1"/>
        <v>0</v>
      </c>
      <c r="U127" s="59">
        <f ca="1"/>
        <v>0</v>
      </c>
      <c r="V127" s="59">
        <f ca="1"/>
        <v>0</v>
      </c>
      <c r="W127" s="59">
        <f ca="1"/>
        <v>0</v>
      </c>
      <c r="X127" s="59">
        <f ca="1"/>
        <v>0</v>
      </c>
      <c r="Y127" s="59">
        <f ca="1"/>
        <v>0</v>
      </c>
      <c r="Z127" s="59">
        <f ca="1"/>
        <v>0</v>
      </c>
      <c r="AA127" s="59">
        <f ca="1"/>
        <v>0</v>
      </c>
      <c r="AB127" s="59">
        <f ca="1"/>
        <v>0</v>
      </c>
      <c r="AC127" s="59">
        <f ca="1"/>
        <v>0</v>
      </c>
      <c r="AD127" s="59">
        <f ca="1"/>
        <v>0</v>
      </c>
      <c r="AE127" s="59">
        <f ca="1"/>
        <v>0</v>
      </c>
      <c r="AF127" s="59">
        <f ca="1"/>
        <v>0</v>
      </c>
      <c r="AG127" s="59">
        <f ca="1"/>
        <v>0</v>
      </c>
      <c r="AH127" s="59">
        <f ca="1"/>
        <v>0</v>
      </c>
      <c r="AI127" s="59">
        <f ca="1"/>
        <v>0</v>
      </c>
      <c r="AJ127" s="59">
        <f ca="1"/>
        <v>0</v>
      </c>
      <c r="AK127" s="59">
        <f ca="1"/>
        <v>0</v>
      </c>
      <c r="AL127" s="59">
        <f ca="1"/>
        <v>0</v>
      </c>
      <c r="AM127" s="59">
        <f ca="1"/>
        <v>0</v>
      </c>
      <c r="AN127" s="59">
        <f ca="1"/>
        <v>0</v>
      </c>
      <c r="AO127" s="59">
        <f ca="1"/>
        <v>0</v>
      </c>
      <c r="AP127" s="59">
        <f ca="1"/>
        <v>0</v>
      </c>
      <c r="AQ127" s="59">
        <f ca="1"/>
        <v>0</v>
      </c>
      <c r="AR127" s="59">
        <f ca="1"/>
        <v>0</v>
      </c>
      <c r="AS127" s="59">
        <f ca="1"/>
        <v>0</v>
      </c>
      <c r="AT127" s="59">
        <f ca="1"/>
        <v>0</v>
      </c>
      <c r="AU127" s="59">
        <f ca="1"/>
        <v>0</v>
      </c>
      <c r="AV127" s="59">
        <f ca="1"/>
        <v>0</v>
      </c>
      <c r="AW127" s="59">
        <f ca="1"/>
        <v>0</v>
      </c>
      <c r="AX127" s="59">
        <f ca="1"/>
        <v>0</v>
      </c>
      <c r="AY127" s="59">
        <f ca="1"/>
        <v>0</v>
      </c>
      <c r="AZ127" s="59">
        <f ca="1"/>
        <v>0</v>
      </c>
      <c r="BA127" s="59">
        <f ca="1"/>
        <v>0</v>
      </c>
      <c r="BS127" s="5">
        <f t="shared" si="171"/>
        <v>1048495</v>
      </c>
      <c r="BT127" s="5" t="str">
        <f t="shared" si="170"/>
        <v/>
      </c>
      <c r="CD127" s="5" t="e">
        <f t="shared" ca="1" si="110"/>
        <v>#REF!</v>
      </c>
      <c r="CE127" s="5" t="e">
        <f t="shared" ca="1" si="111"/>
        <v>#REF!</v>
      </c>
      <c r="CF127" s="5" t="e">
        <f t="shared" ca="1" si="112"/>
        <v>#REF!</v>
      </c>
      <c r="CG127" s="5"/>
    </row>
    <row r="128" spans="1:85" x14ac:dyDescent="0.25">
      <c r="A128" s="57" t="str">
        <f ca="1"/>
        <v>Berufskosten</v>
      </c>
      <c r="B128" s="57">
        <f ca="1"/>
        <v>15</v>
      </c>
      <c r="C128" s="53" t="str">
        <f ca="1"/>
        <v>Amy</v>
      </c>
      <c r="D128" s="54"/>
      <c r="E128" s="63"/>
      <c r="F128" s="59">
        <f ca="1"/>
        <v>-2652</v>
      </c>
      <c r="G128" s="59">
        <f ca="1"/>
        <v>-2652</v>
      </c>
      <c r="H128" s="59">
        <f ca="1"/>
        <v>-2652</v>
      </c>
      <c r="I128" s="59">
        <f ca="1"/>
        <v>-2652</v>
      </c>
      <c r="J128" s="59">
        <f ca="1"/>
        <v>-2652</v>
      </c>
      <c r="K128" s="59">
        <f ca="1"/>
        <v>0</v>
      </c>
      <c r="L128" s="59">
        <f ca="1"/>
        <v>0</v>
      </c>
      <c r="M128" s="59">
        <f ca="1"/>
        <v>0</v>
      </c>
      <c r="N128" s="59">
        <f ca="1"/>
        <v>0</v>
      </c>
      <c r="O128" s="59">
        <f ca="1"/>
        <v>0</v>
      </c>
      <c r="P128" s="59">
        <f ca="1"/>
        <v>0</v>
      </c>
      <c r="Q128" s="59">
        <f ca="1"/>
        <v>0</v>
      </c>
      <c r="R128" s="59">
        <f ca="1"/>
        <v>0</v>
      </c>
      <c r="S128" s="59">
        <f ca="1"/>
        <v>0</v>
      </c>
      <c r="T128" s="59">
        <f ca="1"/>
        <v>0</v>
      </c>
      <c r="U128" s="59">
        <f ca="1"/>
        <v>0</v>
      </c>
      <c r="V128" s="59">
        <f ca="1"/>
        <v>0</v>
      </c>
      <c r="W128" s="59">
        <f ca="1"/>
        <v>0</v>
      </c>
      <c r="X128" s="59">
        <f ca="1"/>
        <v>0</v>
      </c>
      <c r="Y128" s="59">
        <f ca="1"/>
        <v>0</v>
      </c>
      <c r="Z128" s="59">
        <f ca="1"/>
        <v>0</v>
      </c>
      <c r="AA128" s="59">
        <f ca="1"/>
        <v>0</v>
      </c>
      <c r="AB128" s="59">
        <f ca="1"/>
        <v>0</v>
      </c>
      <c r="AC128" s="59">
        <f ca="1"/>
        <v>0</v>
      </c>
      <c r="AD128" s="59">
        <f ca="1"/>
        <v>0</v>
      </c>
      <c r="AE128" s="59">
        <f ca="1"/>
        <v>0</v>
      </c>
      <c r="AF128" s="59">
        <f ca="1"/>
        <v>0</v>
      </c>
      <c r="AG128" s="59">
        <f ca="1"/>
        <v>0</v>
      </c>
      <c r="AH128" s="59">
        <f ca="1"/>
        <v>0</v>
      </c>
      <c r="AI128" s="59">
        <f ca="1"/>
        <v>0</v>
      </c>
      <c r="AJ128" s="59">
        <f ca="1"/>
        <v>0</v>
      </c>
      <c r="AK128" s="59">
        <f ca="1"/>
        <v>0</v>
      </c>
      <c r="AL128" s="59">
        <f ca="1"/>
        <v>0</v>
      </c>
      <c r="AM128" s="59">
        <f ca="1"/>
        <v>0</v>
      </c>
      <c r="AN128" s="59">
        <f ca="1"/>
        <v>0</v>
      </c>
      <c r="AO128" s="59">
        <f ca="1"/>
        <v>0</v>
      </c>
      <c r="AP128" s="59">
        <f ca="1"/>
        <v>0</v>
      </c>
      <c r="AQ128" s="59">
        <f ca="1"/>
        <v>0</v>
      </c>
      <c r="AR128" s="59">
        <f ca="1"/>
        <v>0</v>
      </c>
      <c r="AS128" s="59">
        <f ca="1"/>
        <v>0</v>
      </c>
      <c r="AT128" s="59">
        <f ca="1"/>
        <v>0</v>
      </c>
      <c r="AU128" s="59">
        <f ca="1"/>
        <v>0</v>
      </c>
      <c r="AV128" s="59">
        <f ca="1"/>
        <v>0</v>
      </c>
      <c r="AW128" s="59">
        <f ca="1"/>
        <v>0</v>
      </c>
      <c r="AX128" s="59">
        <f ca="1"/>
        <v>0</v>
      </c>
      <c r="AY128" s="59">
        <f ca="1"/>
        <v>0</v>
      </c>
      <c r="AZ128" s="59">
        <f ca="1"/>
        <v>0</v>
      </c>
      <c r="BA128" s="59">
        <f ca="1"/>
        <v>0</v>
      </c>
      <c r="BS128" s="5">
        <f t="shared" si="171"/>
        <v>1048495</v>
      </c>
      <c r="BT128" s="5" t="str">
        <f t="shared" si="170"/>
        <v/>
      </c>
      <c r="CD128" s="5" t="e">
        <f t="shared" ca="1" si="110"/>
        <v>#REF!</v>
      </c>
      <c r="CE128" s="5" t="e">
        <f t="shared" ca="1" si="111"/>
        <v>#REF!</v>
      </c>
      <c r="CF128" s="5" t="e">
        <f t="shared" ca="1" si="112"/>
        <v>#REF!</v>
      </c>
      <c r="CG128" s="5"/>
    </row>
    <row r="129" spans="1:85" x14ac:dyDescent="0.25">
      <c r="A129" s="57" t="str">
        <f ca="1"/>
        <v>Verheiratetenabzug</v>
      </c>
      <c r="B129" s="57">
        <f ca="1"/>
        <v>16</v>
      </c>
      <c r="C129" s="53" t="str">
        <f ca="1"/>
        <v>Amy</v>
      </c>
      <c r="D129" s="54"/>
      <c r="E129" s="63"/>
      <c r="F129" s="59">
        <f ca="1"/>
        <v>-5200</v>
      </c>
      <c r="G129" s="59">
        <f ca="1"/>
        <v>-5200</v>
      </c>
      <c r="H129" s="59">
        <f ca="1"/>
        <v>-5200</v>
      </c>
      <c r="I129" s="59">
        <f ca="1"/>
        <v>-5200</v>
      </c>
      <c r="J129" s="59">
        <f ca="1"/>
        <v>-5200</v>
      </c>
      <c r="K129" s="59">
        <f ca="1"/>
        <v>-5200</v>
      </c>
      <c r="L129" s="59">
        <f ca="1"/>
        <v>-5200</v>
      </c>
      <c r="M129" s="59">
        <f ca="1"/>
        <v>-5200</v>
      </c>
      <c r="N129" s="59">
        <f ca="1"/>
        <v>-5200</v>
      </c>
      <c r="O129" s="59">
        <f ca="1"/>
        <v>-5200</v>
      </c>
      <c r="P129" s="59">
        <f ca="1"/>
        <v>-5200</v>
      </c>
      <c r="Q129" s="59">
        <f ca="1"/>
        <v>-5200</v>
      </c>
      <c r="R129" s="59">
        <f ca="1"/>
        <v>-5200</v>
      </c>
      <c r="S129" s="59">
        <f ca="1"/>
        <v>-5200</v>
      </c>
      <c r="T129" s="59">
        <f ca="1"/>
        <v>-5200</v>
      </c>
      <c r="U129" s="59">
        <f ca="1"/>
        <v>-5200</v>
      </c>
      <c r="V129" s="59">
        <f ca="1"/>
        <v>-5200</v>
      </c>
      <c r="W129" s="59">
        <f ca="1"/>
        <v>-5200</v>
      </c>
      <c r="X129" s="59">
        <f ca="1"/>
        <v>-5200</v>
      </c>
      <c r="Y129" s="59">
        <f ca="1"/>
        <v>-5200</v>
      </c>
      <c r="Z129" s="59">
        <f ca="1"/>
        <v>-5200</v>
      </c>
      <c r="AA129" s="59">
        <f ca="1"/>
        <v>-5200</v>
      </c>
      <c r="AB129" s="59">
        <f ca="1"/>
        <v>-5200</v>
      </c>
      <c r="AC129" s="59">
        <f ca="1"/>
        <v>-5200</v>
      </c>
      <c r="AD129" s="59">
        <f ca="1"/>
        <v>-5200</v>
      </c>
      <c r="AE129" s="59">
        <f ca="1"/>
        <v>-5200</v>
      </c>
      <c r="AF129" s="59">
        <f ca="1"/>
        <v>-5200</v>
      </c>
      <c r="AG129" s="59">
        <f ca="1"/>
        <v>-5200</v>
      </c>
      <c r="AH129" s="59">
        <f ca="1"/>
        <v>-5200</v>
      </c>
      <c r="AI129" s="59">
        <f ca="1"/>
        <v>-5200</v>
      </c>
      <c r="AJ129" s="59">
        <f ca="1"/>
        <v>-5200</v>
      </c>
      <c r="AK129" s="59">
        <f ca="1"/>
        <v>-5200</v>
      </c>
      <c r="AL129" s="59">
        <f ca="1"/>
        <v>-5200</v>
      </c>
      <c r="AM129" s="59">
        <f ca="1"/>
        <v>-5200</v>
      </c>
      <c r="AN129" s="59">
        <f ca="1"/>
        <v>-5200</v>
      </c>
      <c r="AO129" s="59">
        <f ca="1"/>
        <v>-5200</v>
      </c>
      <c r="AP129" s="59">
        <f ca="1"/>
        <v>-5200</v>
      </c>
      <c r="AQ129" s="59">
        <f ca="1"/>
        <v>-5200</v>
      </c>
      <c r="AR129" s="59">
        <f ca="1"/>
        <v>-5200</v>
      </c>
      <c r="AS129" s="59">
        <f ca="1"/>
        <v>-5200</v>
      </c>
      <c r="AT129" s="59">
        <f ca="1"/>
        <v>-5200</v>
      </c>
      <c r="AU129" s="59">
        <f ca="1"/>
        <v>-5200</v>
      </c>
      <c r="AV129" s="59">
        <f ca="1"/>
        <v>-5200</v>
      </c>
      <c r="AW129" s="59">
        <f ca="1"/>
        <v>-5200</v>
      </c>
      <c r="AX129" s="59">
        <f ca="1"/>
        <v>-5200</v>
      </c>
      <c r="AY129" s="59">
        <f ca="1"/>
        <v>-5200</v>
      </c>
      <c r="AZ129" s="59">
        <f ca="1"/>
        <v>-5200</v>
      </c>
      <c r="BA129" s="59">
        <f ca="1"/>
        <v>-5200</v>
      </c>
      <c r="BS129" s="5">
        <f t="shared" si="171"/>
        <v>1048495</v>
      </c>
      <c r="BT129" s="5" t="str">
        <f t="shared" si="170"/>
        <v/>
      </c>
      <c r="CD129" s="5" t="e">
        <f t="shared" ca="1" si="110"/>
        <v>#REF!</v>
      </c>
      <c r="CE129" s="5" t="e">
        <f t="shared" ca="1" si="111"/>
        <v>#REF!</v>
      </c>
      <c r="CF129" s="5" t="e">
        <f t="shared" ca="1" si="112"/>
        <v>#REF!</v>
      </c>
      <c r="CG129" s="5"/>
    </row>
    <row r="130" spans="1:85" hidden="1" x14ac:dyDescent="0.25">
      <c r="A130" s="57"/>
      <c r="B130" s="57"/>
      <c r="C130" s="53"/>
      <c r="D130" s="54"/>
      <c r="E130" s="63"/>
      <c r="F130" s="59"/>
      <c r="G130" s="59"/>
      <c r="H130" s="59"/>
      <c r="I130" s="59"/>
      <c r="J130" s="59"/>
      <c r="K130" s="59"/>
      <c r="L130" s="59"/>
      <c r="M130" s="59"/>
      <c r="N130" s="59"/>
      <c r="O130" s="59"/>
      <c r="P130" s="59"/>
      <c r="Q130" s="59"/>
      <c r="R130" s="59"/>
      <c r="S130" s="59"/>
      <c r="T130" s="59"/>
      <c r="U130" s="59"/>
      <c r="V130" s="59"/>
      <c r="W130" s="59"/>
      <c r="X130" s="59"/>
      <c r="Y130" s="59"/>
      <c r="Z130" s="59"/>
      <c r="AA130" s="59"/>
      <c r="AB130" s="59"/>
      <c r="AC130" s="59"/>
      <c r="AD130" s="59"/>
      <c r="AE130" s="59"/>
      <c r="AF130" s="59"/>
      <c r="AG130" s="59"/>
      <c r="AH130" s="59"/>
      <c r="AI130" s="59"/>
      <c r="AJ130" s="59"/>
      <c r="AK130" s="59"/>
      <c r="AL130" s="59"/>
      <c r="AM130" s="59"/>
      <c r="AN130" s="59"/>
      <c r="AO130" s="59"/>
      <c r="AP130" s="59"/>
      <c r="AQ130" s="59"/>
      <c r="AR130" s="59"/>
      <c r="AS130" s="59"/>
      <c r="AT130" s="59"/>
      <c r="AU130" s="59"/>
      <c r="AV130" s="59"/>
      <c r="AW130" s="59"/>
      <c r="AX130" s="59"/>
      <c r="AY130" s="59"/>
      <c r="AZ130" s="59"/>
      <c r="BA130" s="59"/>
      <c r="BS130" s="5">
        <f t="shared" si="171"/>
        <v>1048495</v>
      </c>
      <c r="BT130" s="5" t="str">
        <f t="shared" si="170"/>
        <v/>
      </c>
      <c r="CD130" s="5" t="e">
        <f t="shared" ca="1" si="110"/>
        <v>#REF!</v>
      </c>
      <c r="CE130" s="5" t="e">
        <f t="shared" ca="1" si="111"/>
        <v>#REF!</v>
      </c>
      <c r="CF130" s="5" t="e">
        <f t="shared" ca="1" si="112"/>
        <v>#REF!</v>
      </c>
      <c r="CG130" s="5"/>
    </row>
    <row r="131" spans="1:85" hidden="1" x14ac:dyDescent="0.25">
      <c r="A131" s="57"/>
      <c r="B131" s="57"/>
      <c r="C131" s="53"/>
      <c r="D131" s="54"/>
      <c r="E131" s="63"/>
      <c r="F131" s="59"/>
      <c r="G131" s="59"/>
      <c r="H131" s="59"/>
      <c r="I131" s="59"/>
      <c r="J131" s="59"/>
      <c r="K131" s="59"/>
      <c r="L131" s="59"/>
      <c r="M131" s="59"/>
      <c r="N131" s="59"/>
      <c r="O131" s="59"/>
      <c r="P131" s="59"/>
      <c r="Q131" s="59"/>
      <c r="R131" s="59"/>
      <c r="S131" s="59"/>
      <c r="T131" s="59"/>
      <c r="U131" s="59"/>
      <c r="V131" s="59"/>
      <c r="W131" s="59"/>
      <c r="X131" s="59"/>
      <c r="Y131" s="59"/>
      <c r="Z131" s="59"/>
      <c r="AA131" s="59"/>
      <c r="AB131" s="59"/>
      <c r="AC131" s="59"/>
      <c r="AD131" s="59"/>
      <c r="AE131" s="59"/>
      <c r="AF131" s="59"/>
      <c r="AG131" s="59"/>
      <c r="AH131" s="59"/>
      <c r="AI131" s="59"/>
      <c r="AJ131" s="59"/>
      <c r="AK131" s="59"/>
      <c r="AL131" s="59"/>
      <c r="AM131" s="59"/>
      <c r="AN131" s="59"/>
      <c r="AO131" s="59"/>
      <c r="AP131" s="59"/>
      <c r="AQ131" s="59"/>
      <c r="AR131" s="59"/>
      <c r="AS131" s="59"/>
      <c r="AT131" s="59"/>
      <c r="AU131" s="59"/>
      <c r="AV131" s="59"/>
      <c r="AW131" s="59"/>
      <c r="AX131" s="59"/>
      <c r="AY131" s="59"/>
      <c r="AZ131" s="59"/>
      <c r="BA131" s="59"/>
      <c r="BS131" s="5">
        <f t="shared" si="171"/>
        <v>1048495</v>
      </c>
      <c r="BT131" s="5" t="str">
        <f t="shared" si="170"/>
        <v/>
      </c>
      <c r="CD131" s="5" t="e">
        <f t="shared" ca="1" si="110"/>
        <v>#REF!</v>
      </c>
      <c r="CE131" s="5" t="e">
        <f t="shared" ca="1" si="111"/>
        <v>#REF!</v>
      </c>
      <c r="CF131" s="5" t="e">
        <f t="shared" ca="1" si="112"/>
        <v>#REF!</v>
      </c>
      <c r="CG131" s="5"/>
    </row>
    <row r="132" spans="1:85" hidden="1" x14ac:dyDescent="0.25">
      <c r="A132" s="57"/>
      <c r="B132" s="57"/>
      <c r="C132" s="53"/>
      <c r="D132" s="54"/>
      <c r="E132" s="63"/>
      <c r="F132" s="59"/>
      <c r="G132" s="59"/>
      <c r="H132" s="59"/>
      <c r="I132" s="59"/>
      <c r="J132" s="59"/>
      <c r="K132" s="59"/>
      <c r="L132" s="59"/>
      <c r="M132" s="59"/>
      <c r="N132" s="59"/>
      <c r="O132" s="59"/>
      <c r="P132" s="59"/>
      <c r="Q132" s="59"/>
      <c r="R132" s="59"/>
      <c r="S132" s="59"/>
      <c r="T132" s="59"/>
      <c r="U132" s="59"/>
      <c r="V132" s="59"/>
      <c r="W132" s="59"/>
      <c r="X132" s="59"/>
      <c r="Y132" s="59"/>
      <c r="Z132" s="59"/>
      <c r="AA132" s="59"/>
      <c r="AB132" s="59"/>
      <c r="AC132" s="59"/>
      <c r="AD132" s="59"/>
      <c r="AE132" s="59"/>
      <c r="AF132" s="59"/>
      <c r="AG132" s="59"/>
      <c r="AH132" s="59"/>
      <c r="AI132" s="59"/>
      <c r="AJ132" s="59"/>
      <c r="AK132" s="59"/>
      <c r="AL132" s="59"/>
      <c r="AM132" s="59"/>
      <c r="AN132" s="59"/>
      <c r="AO132" s="59"/>
      <c r="AP132" s="59"/>
      <c r="AQ132" s="59"/>
      <c r="AR132" s="59"/>
      <c r="AS132" s="59"/>
      <c r="AT132" s="59"/>
      <c r="AU132" s="59"/>
      <c r="AV132" s="59"/>
      <c r="AW132" s="59"/>
      <c r="AX132" s="59"/>
      <c r="AY132" s="59"/>
      <c r="AZ132" s="59"/>
      <c r="BA132" s="59"/>
      <c r="BS132" s="5">
        <f t="shared" si="171"/>
        <v>1048495</v>
      </c>
      <c r="BT132" s="5" t="str">
        <f t="shared" si="170"/>
        <v/>
      </c>
      <c r="CD132" s="5" t="e">
        <f t="shared" ref="CD132:CD154" ca="1" si="172">INDEX(INDIRECT($BV132&amp;"[Zugehörigkeit Bezeichnung]"),MATCH($BW132,INDIRECT($BV132&amp;"[Id]"),0))</f>
        <v>#REF!</v>
      </c>
      <c r="CE132" s="5" t="e">
        <f t="shared" ref="CE132:CE154" ca="1" si="173">INDEX(INDIRECT($BV132&amp;"[Titel]"),MATCH($BW132,INDIRECT($BV132&amp;"[Id]"),0))</f>
        <v>#REF!</v>
      </c>
      <c r="CF132" s="5" t="e">
        <f t="shared" ref="CF132:CF154" ca="1" si="174">_xlfn.TEXTJOIN(" - ",TRUE,CD132,CE132,CB132)</f>
        <v>#REF!</v>
      </c>
      <c r="CG132" s="5"/>
    </row>
    <row r="133" spans="1:85" hidden="1" x14ac:dyDescent="0.25">
      <c r="A133" s="57"/>
      <c r="B133" s="57"/>
      <c r="C133" s="53"/>
      <c r="D133" s="54"/>
      <c r="E133" s="63"/>
      <c r="F133" s="59"/>
      <c r="G133" s="59"/>
      <c r="H133" s="59"/>
      <c r="I133" s="59"/>
      <c r="J133" s="59"/>
      <c r="K133" s="59"/>
      <c r="L133" s="59"/>
      <c r="M133" s="59"/>
      <c r="N133" s="59"/>
      <c r="O133" s="59"/>
      <c r="P133" s="59"/>
      <c r="Q133" s="59"/>
      <c r="R133" s="59"/>
      <c r="S133" s="59"/>
      <c r="T133" s="59"/>
      <c r="U133" s="59"/>
      <c r="V133" s="59"/>
      <c r="W133" s="59"/>
      <c r="X133" s="59"/>
      <c r="Y133" s="59"/>
      <c r="Z133" s="59"/>
      <c r="AA133" s="59"/>
      <c r="AB133" s="59"/>
      <c r="AC133" s="59"/>
      <c r="AD133" s="59"/>
      <c r="AE133" s="59"/>
      <c r="AF133" s="59"/>
      <c r="AG133" s="59"/>
      <c r="AH133" s="59"/>
      <c r="AI133" s="59"/>
      <c r="AJ133" s="59"/>
      <c r="AK133" s="59"/>
      <c r="AL133" s="59"/>
      <c r="AM133" s="59"/>
      <c r="AN133" s="59"/>
      <c r="AO133" s="59"/>
      <c r="AP133" s="59"/>
      <c r="AQ133" s="59"/>
      <c r="AR133" s="59"/>
      <c r="AS133" s="59"/>
      <c r="AT133" s="59"/>
      <c r="AU133" s="59"/>
      <c r="AV133" s="59"/>
      <c r="AW133" s="59"/>
      <c r="AX133" s="59"/>
      <c r="AY133" s="59"/>
      <c r="AZ133" s="59"/>
      <c r="BA133" s="59"/>
      <c r="BS133" s="5">
        <f t="shared" si="171"/>
        <v>1048495</v>
      </c>
      <c r="BT133" s="5" t="str">
        <f t="shared" si="170"/>
        <v/>
      </c>
      <c r="CD133" s="5" t="e">
        <f t="shared" ca="1" si="172"/>
        <v>#REF!</v>
      </c>
      <c r="CE133" s="5" t="e">
        <f t="shared" ca="1" si="173"/>
        <v>#REF!</v>
      </c>
      <c r="CF133" s="5" t="e">
        <f t="shared" ca="1" si="174"/>
        <v>#REF!</v>
      </c>
      <c r="CG133" s="5"/>
    </row>
    <row r="134" spans="1:85" hidden="1" x14ac:dyDescent="0.25">
      <c r="A134" s="57"/>
      <c r="B134" s="57"/>
      <c r="C134" s="53"/>
      <c r="D134" s="54"/>
      <c r="E134" s="63"/>
      <c r="F134" s="59"/>
      <c r="G134" s="59"/>
      <c r="H134" s="59"/>
      <c r="I134" s="59"/>
      <c r="J134" s="59"/>
      <c r="K134" s="59"/>
      <c r="L134" s="59"/>
      <c r="M134" s="59"/>
      <c r="N134" s="59"/>
      <c r="O134" s="59"/>
      <c r="P134" s="59"/>
      <c r="Q134" s="59"/>
      <c r="R134" s="59"/>
      <c r="S134" s="59"/>
      <c r="T134" s="59"/>
      <c r="U134" s="59"/>
      <c r="V134" s="59"/>
      <c r="W134" s="59"/>
      <c r="X134" s="59"/>
      <c r="Y134" s="59"/>
      <c r="Z134" s="59"/>
      <c r="AA134" s="59"/>
      <c r="AB134" s="59"/>
      <c r="AC134" s="59"/>
      <c r="AD134" s="59"/>
      <c r="AE134" s="59"/>
      <c r="AF134" s="59"/>
      <c r="AG134" s="59"/>
      <c r="AH134" s="59"/>
      <c r="AI134" s="59"/>
      <c r="AJ134" s="59"/>
      <c r="AK134" s="59"/>
      <c r="AL134" s="59"/>
      <c r="AM134" s="59"/>
      <c r="AN134" s="59"/>
      <c r="AO134" s="59"/>
      <c r="AP134" s="59"/>
      <c r="AQ134" s="59"/>
      <c r="AR134" s="59"/>
      <c r="AS134" s="59"/>
      <c r="AT134" s="59"/>
      <c r="AU134" s="59"/>
      <c r="AV134" s="59"/>
      <c r="AW134" s="59"/>
      <c r="AX134" s="59"/>
      <c r="AY134" s="59"/>
      <c r="AZ134" s="59"/>
      <c r="BA134" s="59"/>
      <c r="BS134" s="5">
        <f t="shared" si="171"/>
        <v>1048495</v>
      </c>
      <c r="BT134" s="5"/>
      <c r="CD134" s="5" t="e">
        <f t="shared" ca="1" si="172"/>
        <v>#REF!</v>
      </c>
      <c r="CE134" s="5" t="e">
        <f t="shared" ca="1" si="173"/>
        <v>#REF!</v>
      </c>
      <c r="CF134" s="5" t="e">
        <f t="shared" ca="1" si="174"/>
        <v>#REF!</v>
      </c>
      <c r="CG134" s="5"/>
    </row>
    <row r="135" spans="1:85" hidden="1" x14ac:dyDescent="0.25">
      <c r="A135" s="57"/>
      <c r="B135" s="57"/>
      <c r="C135" s="53"/>
      <c r="D135" s="54"/>
      <c r="E135" s="63"/>
      <c r="F135" s="59"/>
      <c r="G135" s="59"/>
      <c r="H135" s="59"/>
      <c r="I135" s="59"/>
      <c r="J135" s="59"/>
      <c r="K135" s="59"/>
      <c r="L135" s="59"/>
      <c r="M135" s="59"/>
      <c r="N135" s="59"/>
      <c r="O135" s="59"/>
      <c r="P135" s="59"/>
      <c r="Q135" s="59"/>
      <c r="R135" s="59"/>
      <c r="S135" s="59"/>
      <c r="T135" s="59"/>
      <c r="U135" s="59"/>
      <c r="V135" s="59"/>
      <c r="W135" s="59"/>
      <c r="X135" s="59"/>
      <c r="Y135" s="59"/>
      <c r="Z135" s="59"/>
      <c r="AA135" s="59"/>
      <c r="AB135" s="59"/>
      <c r="AC135" s="59"/>
      <c r="AD135" s="59"/>
      <c r="AE135" s="59"/>
      <c r="AF135" s="59"/>
      <c r="AG135" s="59"/>
      <c r="AH135" s="59"/>
      <c r="AI135" s="59"/>
      <c r="AJ135" s="59"/>
      <c r="AK135" s="59"/>
      <c r="AL135" s="59"/>
      <c r="AM135" s="59"/>
      <c r="AN135" s="59"/>
      <c r="AO135" s="59"/>
      <c r="AP135" s="59"/>
      <c r="AQ135" s="59"/>
      <c r="AR135" s="59"/>
      <c r="AS135" s="59"/>
      <c r="AT135" s="59"/>
      <c r="AU135" s="59"/>
      <c r="AV135" s="59"/>
      <c r="AW135" s="59"/>
      <c r="AX135" s="59"/>
      <c r="AY135" s="59"/>
      <c r="AZ135" s="59"/>
      <c r="BA135" s="59"/>
      <c r="BS135" s="5"/>
      <c r="BT135" s="5"/>
      <c r="CD135" s="5" t="e">
        <f t="shared" ca="1" si="172"/>
        <v>#REF!</v>
      </c>
      <c r="CE135" s="5" t="e">
        <f t="shared" ca="1" si="173"/>
        <v>#REF!</v>
      </c>
      <c r="CF135" s="5" t="e">
        <f t="shared" ca="1" si="174"/>
        <v>#REF!</v>
      </c>
      <c r="CG135" s="5"/>
    </row>
    <row r="136" spans="1:85" hidden="1" x14ac:dyDescent="0.25">
      <c r="A136" s="57"/>
      <c r="B136" s="57"/>
      <c r="C136" s="53"/>
      <c r="D136" s="54"/>
      <c r="E136" s="63"/>
      <c r="F136" s="59"/>
      <c r="G136" s="59"/>
      <c r="H136" s="59"/>
      <c r="I136" s="59"/>
      <c r="J136" s="59"/>
      <c r="K136" s="59"/>
      <c r="L136" s="59"/>
      <c r="M136" s="59"/>
      <c r="N136" s="59"/>
      <c r="O136" s="59"/>
      <c r="P136" s="59"/>
      <c r="Q136" s="59"/>
      <c r="R136" s="59"/>
      <c r="S136" s="59"/>
      <c r="T136" s="59"/>
      <c r="U136" s="59"/>
      <c r="V136" s="59"/>
      <c r="W136" s="59"/>
      <c r="X136" s="59"/>
      <c r="Y136" s="59"/>
      <c r="Z136" s="59"/>
      <c r="AA136" s="59"/>
      <c r="AB136" s="59"/>
      <c r="AC136" s="59"/>
      <c r="AD136" s="59"/>
      <c r="AE136" s="59"/>
      <c r="AF136" s="59"/>
      <c r="AG136" s="59"/>
      <c r="AH136" s="59"/>
      <c r="AI136" s="59"/>
      <c r="AJ136" s="59"/>
      <c r="AK136" s="59"/>
      <c r="AL136" s="59"/>
      <c r="AM136" s="59"/>
      <c r="AN136" s="59"/>
      <c r="AO136" s="59"/>
      <c r="AP136" s="59"/>
      <c r="AQ136" s="59"/>
      <c r="AR136" s="59"/>
      <c r="AS136" s="59"/>
      <c r="AT136" s="59"/>
      <c r="AU136" s="59"/>
      <c r="AV136" s="59"/>
      <c r="AW136" s="59"/>
      <c r="AX136" s="59"/>
      <c r="AY136" s="59"/>
      <c r="AZ136" s="59"/>
      <c r="BA136" s="59"/>
      <c r="BS136" s="5"/>
      <c r="BT136" s="5"/>
      <c r="CD136" s="5" t="e">
        <f t="shared" ca="1" si="172"/>
        <v>#REF!</v>
      </c>
      <c r="CE136" s="5" t="e">
        <f t="shared" ca="1" si="173"/>
        <v>#REF!</v>
      </c>
      <c r="CF136" s="5" t="e">
        <f t="shared" ca="1" si="174"/>
        <v>#REF!</v>
      </c>
      <c r="CG136" s="5"/>
    </row>
    <row r="137" spans="1:85" ht="27.75" customHeight="1" x14ac:dyDescent="0.25">
      <c r="A137" s="56" t="s">
        <v>13</v>
      </c>
      <c r="B137" s="57"/>
      <c r="C137" s="53"/>
      <c r="D137" s="54"/>
      <c r="E137" s="63"/>
      <c r="F137" s="58">
        <f ca="1">SUM(F138:F147)</f>
        <v>207956.40000000002</v>
      </c>
      <c r="G137" s="58">
        <f t="shared" ref="G137:BA137" ca="1" si="175">SUM(G138:G147)</f>
        <v>290113.91776921757</v>
      </c>
      <c r="H137" s="58">
        <f t="shared" ca="1" si="175"/>
        <v>384374.36181969807</v>
      </c>
      <c r="I137" s="58">
        <f t="shared" ca="1" si="175"/>
        <v>461823.45210956235</v>
      </c>
      <c r="J137" s="58">
        <f t="shared" ca="1" si="175"/>
        <v>741758.24241183628</v>
      </c>
      <c r="K137" s="58">
        <f t="shared" ca="1" si="175"/>
        <v>1022666.826272155</v>
      </c>
      <c r="L137" s="58">
        <f t="shared" ca="1" si="175"/>
        <v>1005373.1888090931</v>
      </c>
      <c r="M137" s="58">
        <f t="shared" ca="1" si="175"/>
        <v>1016531.5205400781</v>
      </c>
      <c r="N137" s="58">
        <f t="shared" ca="1" si="175"/>
        <v>1045179.3358445644</v>
      </c>
      <c r="O137" s="58">
        <f t="shared" ca="1" si="175"/>
        <v>1029073.560745623</v>
      </c>
      <c r="P137" s="58">
        <f t="shared" ca="1" si="175"/>
        <v>1038758.926323497</v>
      </c>
      <c r="Q137" s="58">
        <f t="shared" ca="1" si="175"/>
        <v>1047331.7148195575</v>
      </c>
      <c r="R137" s="58">
        <f t="shared" ca="1" si="175"/>
        <v>1054756.2743988056</v>
      </c>
      <c r="S137" s="58">
        <f t="shared" ca="1" si="175"/>
        <v>1060977.9239343507</v>
      </c>
      <c r="T137" s="58">
        <f t="shared" ca="1" si="175"/>
        <v>1065953.6046804998</v>
      </c>
      <c r="U137" s="58">
        <f t="shared" ca="1" si="175"/>
        <v>1069631.4169778395</v>
      </c>
      <c r="V137" s="58">
        <f t="shared" ca="1" si="175"/>
        <v>1071958.4454680057</v>
      </c>
      <c r="W137" s="58">
        <f t="shared" ca="1" si="175"/>
        <v>1072886.5511292208</v>
      </c>
      <c r="X137" s="58">
        <f t="shared" ca="1" si="175"/>
        <v>1072359.7352730969</v>
      </c>
      <c r="Y137" s="58">
        <f t="shared" ca="1" si="175"/>
        <v>1070320.2895427283</v>
      </c>
      <c r="Z137" s="58">
        <f t="shared" ca="1" si="175"/>
        <v>1066708.7632473966</v>
      </c>
      <c r="AA137" s="58">
        <f t="shared" ca="1" si="175"/>
        <v>1061463.9158405585</v>
      </c>
      <c r="AB137" s="58">
        <f t="shared" ca="1" si="175"/>
        <v>1054529.0437337006</v>
      </c>
      <c r="AC137" s="58">
        <f t="shared" ca="1" si="175"/>
        <v>1045839.3371619526</v>
      </c>
      <c r="AD137" s="58">
        <f t="shared" ca="1" si="175"/>
        <v>1035327.4527381167</v>
      </c>
      <c r="AE137" s="58">
        <f t="shared" ca="1" si="175"/>
        <v>1022931.5477606973</v>
      </c>
      <c r="AF137" s="58">
        <f t="shared" ca="1" si="175"/>
        <v>1008580.9621644993</v>
      </c>
      <c r="AG137" s="58">
        <f t="shared" ca="1" si="175"/>
        <v>992202.33867947711</v>
      </c>
      <c r="AH137" s="58">
        <f t="shared" ca="1" si="175"/>
        <v>973727.60666256258</v>
      </c>
      <c r="AI137" s="58">
        <f t="shared" ca="1" si="175"/>
        <v>953079.73202489922</v>
      </c>
      <c r="AJ137" s="58">
        <f t="shared" ca="1" si="175"/>
        <v>930179.37849416654</v>
      </c>
      <c r="AK137" s="58">
        <f t="shared" ca="1" si="175"/>
        <v>904951.68659187655</v>
      </c>
      <c r="AL137" s="58">
        <f t="shared" ca="1" si="175"/>
        <v>877312.68737196887</v>
      </c>
      <c r="AM137" s="58">
        <f t="shared" ca="1" si="175"/>
        <v>847182.12180915056</v>
      </c>
      <c r="AN137" s="58">
        <f t="shared" ca="1" si="175"/>
        <v>814468.26892425306</v>
      </c>
      <c r="AO137" s="58">
        <f t="shared" ca="1" si="175"/>
        <v>779073.93695708946</v>
      </c>
      <c r="AP137" s="58">
        <f t="shared" ca="1" si="175"/>
        <v>740904.28381498961</v>
      </c>
      <c r="AQ137" s="58">
        <f t="shared" ca="1" si="175"/>
        <v>699829.32294266659</v>
      </c>
      <c r="AR137" s="58">
        <f t="shared" ca="1" si="175"/>
        <v>655750.11155639775</v>
      </c>
      <c r="AS137" s="58">
        <f t="shared" ca="1" si="175"/>
        <v>608565.22542338958</v>
      </c>
      <c r="AT137" s="58">
        <f t="shared" ca="1" si="175"/>
        <v>558153.75826730137</v>
      </c>
      <c r="AU137" s="58">
        <f t="shared" ca="1" si="175"/>
        <v>504410.31080985849</v>
      </c>
      <c r="AV137" s="58">
        <f t="shared" ca="1" si="175"/>
        <v>447217.90157420118</v>
      </c>
      <c r="AW137" s="58">
        <f t="shared" ca="1" si="175"/>
        <v>386456.50024840253</v>
      </c>
      <c r="AX137" s="58">
        <f t="shared" ca="1" si="175"/>
        <v>321967.41736497177</v>
      </c>
      <c r="AY137" s="58">
        <f t="shared" ca="1" si="175"/>
        <v>253600.92589858593</v>
      </c>
      <c r="AZ137" s="58">
        <f t="shared" ca="1" si="175"/>
        <v>181225.62929363281</v>
      </c>
      <c r="BA137" s="58">
        <f t="shared" ca="1" si="175"/>
        <v>104685.63342066563</v>
      </c>
      <c r="BS137" s="5"/>
      <c r="BT137" s="5"/>
      <c r="CD137" s="5" t="e">
        <f t="shared" ca="1" si="172"/>
        <v>#REF!</v>
      </c>
      <c r="CE137" s="5" t="e">
        <f t="shared" ca="1" si="173"/>
        <v>#REF!</v>
      </c>
      <c r="CF137" s="5" t="e">
        <f t="shared" ca="1" si="174"/>
        <v>#REF!</v>
      </c>
      <c r="CG137" s="5"/>
    </row>
    <row r="138" spans="1:85" x14ac:dyDescent="0.25">
      <c r="A138" s="57" t="s">
        <v>59</v>
      </c>
      <c r="B138" s="57"/>
      <c r="C138" s="53"/>
      <c r="D138" s="54"/>
      <c r="E138" s="63"/>
      <c r="F138" s="59">
        <f t="shared" ref="F138:BA138" ca="1" si="176">F43</f>
        <v>288099.40000000002</v>
      </c>
      <c r="G138" s="59">
        <f t="shared" ca="1" si="176"/>
        <v>377708.08076921757</v>
      </c>
      <c r="H138" s="59">
        <f t="shared" ca="1" si="176"/>
        <v>470281.41250069806</v>
      </c>
      <c r="I138" s="59">
        <f t="shared" ca="1" si="176"/>
        <v>555071.68244706234</v>
      </c>
      <c r="J138" s="59">
        <f t="shared" ca="1" si="176"/>
        <v>736758.24241183628</v>
      </c>
      <c r="K138" s="59">
        <f t="shared" ca="1" si="176"/>
        <v>1017666.826272155</v>
      </c>
      <c r="L138" s="59">
        <f t="shared" ca="1" si="176"/>
        <v>1098761.8895749399</v>
      </c>
      <c r="M138" s="59">
        <f t="shared" ca="1" si="176"/>
        <v>1116751.134940078</v>
      </c>
      <c r="N138" s="59">
        <f t="shared" ca="1" si="176"/>
        <v>1146024.5431804988</v>
      </c>
      <c r="O138" s="59">
        <f t="shared" ca="1" si="176"/>
        <v>1159073.560745623</v>
      </c>
      <c r="P138" s="59">
        <f t="shared" ca="1" si="176"/>
        <v>1168758.926323497</v>
      </c>
      <c r="Q138" s="59">
        <f t="shared" ca="1" si="176"/>
        <v>1177331.7148195575</v>
      </c>
      <c r="R138" s="59">
        <f t="shared" ca="1" si="176"/>
        <v>1184756.2743988056</v>
      </c>
      <c r="S138" s="59">
        <f t="shared" ca="1" si="176"/>
        <v>1190977.9239343507</v>
      </c>
      <c r="T138" s="59">
        <f t="shared" ca="1" si="176"/>
        <v>1195953.6046804998</v>
      </c>
      <c r="U138" s="59">
        <f t="shared" ca="1" si="176"/>
        <v>1199631.4169778395</v>
      </c>
      <c r="V138" s="59">
        <f t="shared" ca="1" si="176"/>
        <v>1201958.4454680057</v>
      </c>
      <c r="W138" s="59">
        <f t="shared" ca="1" si="176"/>
        <v>1202886.5511292208</v>
      </c>
      <c r="X138" s="59">
        <f t="shared" ca="1" si="176"/>
        <v>1202359.7352730969</v>
      </c>
      <c r="Y138" s="59">
        <f t="shared" ca="1" si="176"/>
        <v>1200320.2895427283</v>
      </c>
      <c r="Z138" s="59">
        <f t="shared" ca="1" si="176"/>
        <v>1196708.7632473966</v>
      </c>
      <c r="AA138" s="59">
        <f t="shared" ca="1" si="176"/>
        <v>1191463.9158405585</v>
      </c>
      <c r="AB138" s="59">
        <f t="shared" ca="1" si="176"/>
        <v>1184529.0437337006</v>
      </c>
      <c r="AC138" s="59">
        <f t="shared" ca="1" si="176"/>
        <v>1175839.3371619526</v>
      </c>
      <c r="AD138" s="59">
        <f t="shared" ca="1" si="176"/>
        <v>1165327.4527381167</v>
      </c>
      <c r="AE138" s="59">
        <f t="shared" ca="1" si="176"/>
        <v>1152931.5477606973</v>
      </c>
      <c r="AF138" s="59">
        <f t="shared" ca="1" si="176"/>
        <v>1138580.9621644993</v>
      </c>
      <c r="AG138" s="59">
        <f t="shared" ca="1" si="176"/>
        <v>1122202.3386794771</v>
      </c>
      <c r="AH138" s="59">
        <f t="shared" ca="1" si="176"/>
        <v>1103727.6066625626</v>
      </c>
      <c r="AI138" s="59">
        <f t="shared" ca="1" si="176"/>
        <v>1083079.7320248992</v>
      </c>
      <c r="AJ138" s="59">
        <f t="shared" ca="1" si="176"/>
        <v>1060179.3784941665</v>
      </c>
      <c r="AK138" s="59">
        <f t="shared" ca="1" si="176"/>
        <v>1034951.6865918766</v>
      </c>
      <c r="AL138" s="59">
        <f t="shared" ca="1" si="176"/>
        <v>1007312.6873719689</v>
      </c>
      <c r="AM138" s="59">
        <f t="shared" ca="1" si="176"/>
        <v>977182.12180915056</v>
      </c>
      <c r="AN138" s="59">
        <f t="shared" ca="1" si="176"/>
        <v>944468.26892425306</v>
      </c>
      <c r="AO138" s="59">
        <f t="shared" ca="1" si="176"/>
        <v>909073.93695708946</v>
      </c>
      <c r="AP138" s="59">
        <f t="shared" ca="1" si="176"/>
        <v>870904.28381498961</v>
      </c>
      <c r="AQ138" s="59">
        <f t="shared" ca="1" si="176"/>
        <v>829829.32294266659</v>
      </c>
      <c r="AR138" s="59">
        <f t="shared" ca="1" si="176"/>
        <v>785750.11155639775</v>
      </c>
      <c r="AS138" s="59">
        <f t="shared" ca="1" si="176"/>
        <v>738565.22542338958</v>
      </c>
      <c r="AT138" s="59">
        <f t="shared" ca="1" si="176"/>
        <v>688153.75826730137</v>
      </c>
      <c r="AU138" s="59">
        <f t="shared" ca="1" si="176"/>
        <v>634410.31080985849</v>
      </c>
      <c r="AV138" s="59">
        <f t="shared" ca="1" si="176"/>
        <v>577217.90157420118</v>
      </c>
      <c r="AW138" s="59">
        <f t="shared" ca="1" si="176"/>
        <v>516456.50024840253</v>
      </c>
      <c r="AX138" s="59">
        <f t="shared" ca="1" si="176"/>
        <v>451967.41736497177</v>
      </c>
      <c r="AY138" s="59">
        <f t="shared" ca="1" si="176"/>
        <v>383600.92589858593</v>
      </c>
      <c r="AZ138" s="59">
        <f t="shared" ca="1" si="176"/>
        <v>311225.62929363281</v>
      </c>
      <c r="BA138" s="59">
        <f t="shared" ca="1" si="176"/>
        <v>234685.6334206656</v>
      </c>
      <c r="BS138" s="5"/>
      <c r="BT138" s="5"/>
      <c r="CD138" s="5" t="e">
        <f t="shared" ca="1" si="172"/>
        <v>#REF!</v>
      </c>
      <c r="CE138" s="5" t="e">
        <f t="shared" ca="1" si="173"/>
        <v>#REF!</v>
      </c>
      <c r="CF138" s="5" t="e">
        <f t="shared" ca="1" si="174"/>
        <v>#REF!</v>
      </c>
      <c r="CG138" s="5"/>
    </row>
    <row r="139" spans="1:85" x14ac:dyDescent="0.25">
      <c r="A139" s="57" t="s">
        <v>98</v>
      </c>
      <c r="B139" s="57"/>
      <c r="C139" s="53"/>
      <c r="D139" s="54"/>
      <c r="E139" s="63"/>
      <c r="F139" s="59">
        <f t="shared" ref="F139:BA139" ca="1" si="177">F70</f>
        <v>-880000</v>
      </c>
      <c r="G139" s="59">
        <f t="shared" ca="1" si="177"/>
        <v>-880000</v>
      </c>
      <c r="H139" s="59">
        <f t="shared" ca="1" si="177"/>
        <v>-880000</v>
      </c>
      <c r="I139" s="59">
        <f t="shared" ca="1" si="177"/>
        <v>-880000</v>
      </c>
      <c r="J139" s="59">
        <f t="shared" ca="1" si="177"/>
        <v>-880000</v>
      </c>
      <c r="K139" s="59">
        <f t="shared" ca="1" si="177"/>
        <v>-880000</v>
      </c>
      <c r="L139" s="59">
        <f t="shared" ca="1" si="177"/>
        <v>-880000</v>
      </c>
      <c r="M139" s="59">
        <f t="shared" ca="1" si="177"/>
        <v>-880000</v>
      </c>
      <c r="N139" s="59">
        <f t="shared" ca="1" si="177"/>
        <v>-880000</v>
      </c>
      <c r="O139" s="59">
        <f t="shared" ca="1" si="177"/>
        <v>-880000</v>
      </c>
      <c r="P139" s="59">
        <f t="shared" ca="1" si="177"/>
        <v>-880000</v>
      </c>
      <c r="Q139" s="59">
        <f t="shared" ca="1" si="177"/>
        <v>-880000</v>
      </c>
      <c r="R139" s="59">
        <f t="shared" ca="1" si="177"/>
        <v>-880000</v>
      </c>
      <c r="S139" s="59">
        <f t="shared" ca="1" si="177"/>
        <v>-880000</v>
      </c>
      <c r="T139" s="59">
        <f t="shared" ca="1" si="177"/>
        <v>-880000</v>
      </c>
      <c r="U139" s="59">
        <f t="shared" ca="1" si="177"/>
        <v>-880000</v>
      </c>
      <c r="V139" s="59">
        <f t="shared" ca="1" si="177"/>
        <v>-880000</v>
      </c>
      <c r="W139" s="59">
        <f t="shared" ca="1" si="177"/>
        <v>-880000</v>
      </c>
      <c r="X139" s="59">
        <f t="shared" ca="1" si="177"/>
        <v>-880000</v>
      </c>
      <c r="Y139" s="59">
        <f t="shared" ca="1" si="177"/>
        <v>-880000</v>
      </c>
      <c r="Z139" s="59">
        <f t="shared" ca="1" si="177"/>
        <v>-880000</v>
      </c>
      <c r="AA139" s="59">
        <f t="shared" ca="1" si="177"/>
        <v>-880000</v>
      </c>
      <c r="AB139" s="59">
        <f t="shared" ca="1" si="177"/>
        <v>-880000</v>
      </c>
      <c r="AC139" s="59">
        <f t="shared" ca="1" si="177"/>
        <v>-880000</v>
      </c>
      <c r="AD139" s="59">
        <f t="shared" ca="1" si="177"/>
        <v>-880000</v>
      </c>
      <c r="AE139" s="59">
        <f t="shared" ca="1" si="177"/>
        <v>-880000</v>
      </c>
      <c r="AF139" s="59">
        <f t="shared" ca="1" si="177"/>
        <v>-880000</v>
      </c>
      <c r="AG139" s="59">
        <f t="shared" ca="1" si="177"/>
        <v>-880000</v>
      </c>
      <c r="AH139" s="59">
        <f t="shared" ca="1" si="177"/>
        <v>-880000</v>
      </c>
      <c r="AI139" s="59">
        <f t="shared" ca="1" si="177"/>
        <v>-880000</v>
      </c>
      <c r="AJ139" s="59">
        <f t="shared" ca="1" si="177"/>
        <v>-880000</v>
      </c>
      <c r="AK139" s="59">
        <f t="shared" ca="1" si="177"/>
        <v>-880000</v>
      </c>
      <c r="AL139" s="59">
        <f t="shared" ca="1" si="177"/>
        <v>-880000</v>
      </c>
      <c r="AM139" s="59">
        <f t="shared" ca="1" si="177"/>
        <v>-880000</v>
      </c>
      <c r="AN139" s="59">
        <f t="shared" ca="1" si="177"/>
        <v>-880000</v>
      </c>
      <c r="AO139" s="59">
        <f t="shared" ca="1" si="177"/>
        <v>-880000</v>
      </c>
      <c r="AP139" s="59">
        <f t="shared" ca="1" si="177"/>
        <v>-880000</v>
      </c>
      <c r="AQ139" s="59">
        <f t="shared" ca="1" si="177"/>
        <v>-880000</v>
      </c>
      <c r="AR139" s="59">
        <f t="shared" ca="1" si="177"/>
        <v>-880000</v>
      </c>
      <c r="AS139" s="59">
        <f t="shared" ca="1" si="177"/>
        <v>-880000</v>
      </c>
      <c r="AT139" s="59">
        <f t="shared" ca="1" si="177"/>
        <v>-880000</v>
      </c>
      <c r="AU139" s="59">
        <f t="shared" ca="1" si="177"/>
        <v>-880000</v>
      </c>
      <c r="AV139" s="59">
        <f t="shared" ca="1" si="177"/>
        <v>-880000</v>
      </c>
      <c r="AW139" s="59">
        <f t="shared" ca="1" si="177"/>
        <v>-880000</v>
      </c>
      <c r="AX139" s="59">
        <f t="shared" ca="1" si="177"/>
        <v>-880000</v>
      </c>
      <c r="AY139" s="59">
        <f t="shared" ca="1" si="177"/>
        <v>-880000</v>
      </c>
      <c r="AZ139" s="59">
        <f t="shared" ca="1" si="177"/>
        <v>-880000</v>
      </c>
      <c r="BA139" s="59">
        <f t="shared" ca="1" si="177"/>
        <v>-880000</v>
      </c>
      <c r="BS139" s="5"/>
      <c r="BT139" s="5" t="str">
        <f t="shared" ref="BT139:BT149" si="178">BU139&amp;BV139&amp;BW139</f>
        <v/>
      </c>
      <c r="CD139" s="5" t="e">
        <f t="shared" ca="1" si="172"/>
        <v>#REF!</v>
      </c>
      <c r="CE139" s="5" t="e">
        <f t="shared" ca="1" si="173"/>
        <v>#REF!</v>
      </c>
      <c r="CF139" s="5" t="e">
        <f t="shared" ca="1" si="174"/>
        <v>#REF!</v>
      </c>
      <c r="CG139" s="5"/>
    </row>
    <row r="140" spans="1:85" x14ac:dyDescent="0.25">
      <c r="A140" s="57" t="s">
        <v>108</v>
      </c>
      <c r="B140" s="57"/>
      <c r="C140" s="53"/>
      <c r="D140" s="54"/>
      <c r="E140" s="63"/>
      <c r="F140" s="59">
        <f>SUM(V_Liegensch[Steuerwert])</f>
        <v>750000</v>
      </c>
      <c r="G140" s="59">
        <f>F140</f>
        <v>750000</v>
      </c>
      <c r="H140" s="59">
        <f t="shared" ref="H140:BA140" si="179">G140</f>
        <v>750000</v>
      </c>
      <c r="I140" s="59">
        <f t="shared" si="179"/>
        <v>750000</v>
      </c>
      <c r="J140" s="59">
        <f t="shared" si="179"/>
        <v>750000</v>
      </c>
      <c r="K140" s="59">
        <f t="shared" si="179"/>
        <v>750000</v>
      </c>
      <c r="L140" s="59">
        <f t="shared" si="179"/>
        <v>750000</v>
      </c>
      <c r="M140" s="59">
        <f t="shared" si="179"/>
        <v>750000</v>
      </c>
      <c r="N140" s="59">
        <f t="shared" si="179"/>
        <v>750000</v>
      </c>
      <c r="O140" s="59">
        <f t="shared" si="179"/>
        <v>750000</v>
      </c>
      <c r="P140" s="59">
        <f t="shared" si="179"/>
        <v>750000</v>
      </c>
      <c r="Q140" s="59">
        <f t="shared" si="179"/>
        <v>750000</v>
      </c>
      <c r="R140" s="59">
        <f t="shared" si="179"/>
        <v>750000</v>
      </c>
      <c r="S140" s="59">
        <f t="shared" si="179"/>
        <v>750000</v>
      </c>
      <c r="T140" s="59">
        <f t="shared" si="179"/>
        <v>750000</v>
      </c>
      <c r="U140" s="59">
        <f t="shared" si="179"/>
        <v>750000</v>
      </c>
      <c r="V140" s="59">
        <f t="shared" si="179"/>
        <v>750000</v>
      </c>
      <c r="W140" s="59">
        <f t="shared" si="179"/>
        <v>750000</v>
      </c>
      <c r="X140" s="59">
        <f t="shared" si="179"/>
        <v>750000</v>
      </c>
      <c r="Y140" s="59">
        <f t="shared" si="179"/>
        <v>750000</v>
      </c>
      <c r="Z140" s="59">
        <f t="shared" si="179"/>
        <v>750000</v>
      </c>
      <c r="AA140" s="59">
        <f t="shared" si="179"/>
        <v>750000</v>
      </c>
      <c r="AB140" s="59">
        <f t="shared" si="179"/>
        <v>750000</v>
      </c>
      <c r="AC140" s="59">
        <f t="shared" si="179"/>
        <v>750000</v>
      </c>
      <c r="AD140" s="59">
        <f t="shared" si="179"/>
        <v>750000</v>
      </c>
      <c r="AE140" s="59">
        <f t="shared" si="179"/>
        <v>750000</v>
      </c>
      <c r="AF140" s="59">
        <f t="shared" si="179"/>
        <v>750000</v>
      </c>
      <c r="AG140" s="59">
        <f t="shared" si="179"/>
        <v>750000</v>
      </c>
      <c r="AH140" s="59">
        <f t="shared" si="179"/>
        <v>750000</v>
      </c>
      <c r="AI140" s="59">
        <f t="shared" si="179"/>
        <v>750000</v>
      </c>
      <c r="AJ140" s="59">
        <f t="shared" si="179"/>
        <v>750000</v>
      </c>
      <c r="AK140" s="59">
        <f t="shared" si="179"/>
        <v>750000</v>
      </c>
      <c r="AL140" s="59">
        <f t="shared" si="179"/>
        <v>750000</v>
      </c>
      <c r="AM140" s="59">
        <f t="shared" si="179"/>
        <v>750000</v>
      </c>
      <c r="AN140" s="59">
        <f t="shared" si="179"/>
        <v>750000</v>
      </c>
      <c r="AO140" s="59">
        <f t="shared" si="179"/>
        <v>750000</v>
      </c>
      <c r="AP140" s="59">
        <f t="shared" si="179"/>
        <v>750000</v>
      </c>
      <c r="AQ140" s="59">
        <f t="shared" si="179"/>
        <v>750000</v>
      </c>
      <c r="AR140" s="59">
        <f t="shared" si="179"/>
        <v>750000</v>
      </c>
      <c r="AS140" s="59">
        <f t="shared" si="179"/>
        <v>750000</v>
      </c>
      <c r="AT140" s="59">
        <f t="shared" si="179"/>
        <v>750000</v>
      </c>
      <c r="AU140" s="59">
        <f t="shared" si="179"/>
        <v>750000</v>
      </c>
      <c r="AV140" s="59">
        <f t="shared" si="179"/>
        <v>750000</v>
      </c>
      <c r="AW140" s="59">
        <f t="shared" si="179"/>
        <v>750000</v>
      </c>
      <c r="AX140" s="59">
        <f t="shared" si="179"/>
        <v>750000</v>
      </c>
      <c r="AY140" s="59">
        <f t="shared" si="179"/>
        <v>750000</v>
      </c>
      <c r="AZ140" s="59">
        <f t="shared" si="179"/>
        <v>750000</v>
      </c>
      <c r="BA140" s="59">
        <f t="shared" si="179"/>
        <v>750000</v>
      </c>
      <c r="BS140" s="5">
        <f t="shared" ref="BS140:BS150" si="180">COUNTIF(BT:BT,BT139)-1</f>
        <v>1048495</v>
      </c>
      <c r="BT140" s="5" t="str">
        <f t="shared" si="178"/>
        <v/>
      </c>
      <c r="CD140" s="5" t="e">
        <f t="shared" ca="1" si="172"/>
        <v>#REF!</v>
      </c>
      <c r="CE140" s="5" t="e">
        <f t="shared" ca="1" si="173"/>
        <v>#REF!</v>
      </c>
      <c r="CF140" s="5" t="e">
        <f t="shared" ca="1" si="174"/>
        <v>#REF!</v>
      </c>
      <c r="CG140" s="5"/>
    </row>
    <row r="141" spans="1:85" hidden="1" x14ac:dyDescent="0.25">
      <c r="A141" s="57"/>
      <c r="B141" s="57"/>
      <c r="C141" s="53"/>
      <c r="D141" s="54"/>
      <c r="E141" s="63"/>
      <c r="F141" s="59"/>
      <c r="G141" s="59"/>
      <c r="H141" s="59"/>
      <c r="I141" s="59"/>
      <c r="J141" s="59"/>
      <c r="K141" s="59"/>
      <c r="L141" s="59"/>
      <c r="M141" s="59"/>
      <c r="N141" s="59"/>
      <c r="O141" s="59"/>
      <c r="P141" s="59"/>
      <c r="Q141" s="59"/>
      <c r="R141" s="59"/>
      <c r="S141" s="59"/>
      <c r="T141" s="59"/>
      <c r="U141" s="59"/>
      <c r="V141" s="59"/>
      <c r="W141" s="59"/>
      <c r="X141" s="59"/>
      <c r="Y141" s="59"/>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X141" s="59"/>
      <c r="AY141" s="59"/>
      <c r="AZ141" s="59"/>
      <c r="BA141" s="59"/>
      <c r="BS141" s="5">
        <f t="shared" si="180"/>
        <v>1048495</v>
      </c>
      <c r="BT141" s="5" t="str">
        <f t="shared" si="178"/>
        <v/>
      </c>
      <c r="CD141" s="5" t="e">
        <f t="shared" ca="1" si="172"/>
        <v>#REF!</v>
      </c>
      <c r="CE141" s="5" t="e">
        <f t="shared" ca="1" si="173"/>
        <v>#REF!</v>
      </c>
      <c r="CF141" s="5" t="e">
        <f t="shared" ca="1" si="174"/>
        <v>#REF!</v>
      </c>
      <c r="CG141" s="5"/>
    </row>
    <row r="142" spans="1:85" hidden="1" x14ac:dyDescent="0.25">
      <c r="A142" s="57"/>
      <c r="B142" s="57"/>
      <c r="C142" s="53"/>
      <c r="D142" s="54"/>
      <c r="E142" s="63"/>
      <c r="F142" s="59"/>
      <c r="G142" s="59"/>
      <c r="H142" s="59"/>
      <c r="I142" s="59"/>
      <c r="J142" s="59"/>
      <c r="K142" s="59"/>
      <c r="L142" s="59"/>
      <c r="M142" s="59"/>
      <c r="N142" s="59"/>
      <c r="O142" s="59"/>
      <c r="P142" s="59"/>
      <c r="Q142" s="59"/>
      <c r="R142" s="59"/>
      <c r="S142" s="59"/>
      <c r="T142" s="59"/>
      <c r="U142" s="59"/>
      <c r="V142" s="59"/>
      <c r="W142" s="59"/>
      <c r="X142" s="59"/>
      <c r="Y142" s="59"/>
      <c r="Z142" s="59"/>
      <c r="AA142" s="59"/>
      <c r="AB142" s="59"/>
      <c r="AC142" s="59"/>
      <c r="AD142" s="59"/>
      <c r="AE142" s="59"/>
      <c r="AF142" s="59"/>
      <c r="AG142" s="59"/>
      <c r="AH142" s="59"/>
      <c r="AI142" s="59"/>
      <c r="AJ142" s="59"/>
      <c r="AK142" s="59"/>
      <c r="AL142" s="59"/>
      <c r="AM142" s="59"/>
      <c r="AN142" s="59"/>
      <c r="AO142" s="59"/>
      <c r="AP142" s="59"/>
      <c r="AQ142" s="59"/>
      <c r="AR142" s="59"/>
      <c r="AS142" s="59"/>
      <c r="AT142" s="59"/>
      <c r="AU142" s="59"/>
      <c r="AV142" s="59"/>
      <c r="AW142" s="59"/>
      <c r="AX142" s="59"/>
      <c r="AY142" s="59"/>
      <c r="AZ142" s="59"/>
      <c r="BA142" s="59"/>
      <c r="BS142" s="5">
        <f t="shared" si="180"/>
        <v>1048495</v>
      </c>
      <c r="BT142" s="5" t="str">
        <f t="shared" si="178"/>
        <v/>
      </c>
      <c r="CD142" s="5" t="e">
        <f t="shared" ca="1" si="172"/>
        <v>#REF!</v>
      </c>
      <c r="CE142" s="5" t="e">
        <f t="shared" ca="1" si="173"/>
        <v>#REF!</v>
      </c>
      <c r="CF142" s="5" t="e">
        <f t="shared" ca="1" si="174"/>
        <v>#REF!</v>
      </c>
      <c r="CG142" s="5"/>
    </row>
    <row r="143" spans="1:85" hidden="1" x14ac:dyDescent="0.25">
      <c r="A143" s="57"/>
      <c r="B143" s="57"/>
      <c r="C143" s="53"/>
      <c r="D143" s="54"/>
      <c r="E143" s="63"/>
      <c r="F143" s="59"/>
      <c r="G143" s="59"/>
      <c r="H143" s="59"/>
      <c r="I143" s="59"/>
      <c r="J143" s="59"/>
      <c r="K143" s="59"/>
      <c r="L143" s="59"/>
      <c r="M143" s="59"/>
      <c r="N143" s="59"/>
      <c r="O143" s="59"/>
      <c r="P143" s="59"/>
      <c r="Q143" s="59"/>
      <c r="R143" s="59"/>
      <c r="S143" s="59"/>
      <c r="T143" s="59"/>
      <c r="U143" s="59"/>
      <c r="V143" s="59"/>
      <c r="W143" s="59"/>
      <c r="X143" s="59"/>
      <c r="Y143" s="59"/>
      <c r="Z143" s="59"/>
      <c r="AA143" s="59"/>
      <c r="AB143" s="59"/>
      <c r="AC143" s="59"/>
      <c r="AD143" s="59"/>
      <c r="AE143" s="59"/>
      <c r="AF143" s="59"/>
      <c r="AG143" s="59"/>
      <c r="AH143" s="59"/>
      <c r="AI143" s="59"/>
      <c r="AJ143" s="59"/>
      <c r="AK143" s="59"/>
      <c r="AL143" s="59"/>
      <c r="AM143" s="59"/>
      <c r="AN143" s="59"/>
      <c r="AO143" s="59"/>
      <c r="AP143" s="59"/>
      <c r="AQ143" s="59"/>
      <c r="AR143" s="59"/>
      <c r="AS143" s="59"/>
      <c r="AT143" s="59"/>
      <c r="AU143" s="59"/>
      <c r="AV143" s="59"/>
      <c r="AW143" s="59"/>
      <c r="AX143" s="59"/>
      <c r="AY143" s="59"/>
      <c r="AZ143" s="59"/>
      <c r="BA143" s="59"/>
      <c r="BS143" s="5">
        <f t="shared" si="180"/>
        <v>1048495</v>
      </c>
      <c r="BT143" s="5" t="str">
        <f t="shared" si="178"/>
        <v/>
      </c>
      <c r="CD143" s="5" t="e">
        <f t="shared" ca="1" si="172"/>
        <v>#REF!</v>
      </c>
      <c r="CE143" s="5" t="e">
        <f t="shared" ca="1" si="173"/>
        <v>#REF!</v>
      </c>
      <c r="CF143" s="5" t="e">
        <f t="shared" ca="1" si="174"/>
        <v>#REF!</v>
      </c>
      <c r="CG143" s="5"/>
    </row>
    <row r="144" spans="1:85" hidden="1" x14ac:dyDescent="0.25">
      <c r="A144" s="57"/>
      <c r="B144" s="57"/>
      <c r="C144" s="53"/>
      <c r="D144" s="54"/>
      <c r="E144" s="63"/>
      <c r="F144" s="59"/>
      <c r="G144" s="59"/>
      <c r="H144" s="59"/>
      <c r="I144" s="59"/>
      <c r="J144" s="59"/>
      <c r="K144" s="59"/>
      <c r="L144" s="59"/>
      <c r="M144" s="59"/>
      <c r="N144" s="59"/>
      <c r="O144" s="59"/>
      <c r="P144" s="59"/>
      <c r="Q144" s="59"/>
      <c r="R144" s="59"/>
      <c r="S144" s="59"/>
      <c r="T144" s="59"/>
      <c r="U144" s="59"/>
      <c r="V144" s="59"/>
      <c r="W144" s="59"/>
      <c r="X144" s="59"/>
      <c r="Y144" s="59"/>
      <c r="Z144" s="59"/>
      <c r="AA144" s="59"/>
      <c r="AB144" s="59"/>
      <c r="AC144" s="59"/>
      <c r="AD144" s="59"/>
      <c r="AE144" s="59"/>
      <c r="AF144" s="59"/>
      <c r="AG144" s="59"/>
      <c r="AH144" s="59"/>
      <c r="AI144" s="59"/>
      <c r="AJ144" s="59"/>
      <c r="AK144" s="59"/>
      <c r="AL144" s="59"/>
      <c r="AM144" s="59"/>
      <c r="AN144" s="59"/>
      <c r="AO144" s="59"/>
      <c r="AP144" s="59"/>
      <c r="AQ144" s="59"/>
      <c r="AR144" s="59"/>
      <c r="AS144" s="59"/>
      <c r="AT144" s="59"/>
      <c r="AU144" s="59"/>
      <c r="AV144" s="59"/>
      <c r="AW144" s="59"/>
      <c r="AX144" s="59"/>
      <c r="AY144" s="59"/>
      <c r="AZ144" s="59"/>
      <c r="BA144" s="59"/>
      <c r="BS144" s="5">
        <f t="shared" si="180"/>
        <v>1048495</v>
      </c>
      <c r="BT144" s="5" t="str">
        <f t="shared" si="178"/>
        <v/>
      </c>
      <c r="CD144" s="5" t="e">
        <f t="shared" ca="1" si="172"/>
        <v>#REF!</v>
      </c>
      <c r="CE144" s="5" t="e">
        <f t="shared" ca="1" si="173"/>
        <v>#REF!</v>
      </c>
      <c r="CF144" s="5" t="e">
        <f t="shared" ca="1" si="174"/>
        <v>#REF!</v>
      </c>
      <c r="CG144" s="5"/>
    </row>
    <row r="145" spans="1:85" hidden="1" x14ac:dyDescent="0.25">
      <c r="A145" s="57"/>
      <c r="B145" s="57"/>
      <c r="C145" s="53"/>
      <c r="D145" s="54"/>
      <c r="E145" s="63"/>
      <c r="F145" s="59"/>
      <c r="G145" s="59"/>
      <c r="H145" s="59"/>
      <c r="I145" s="59"/>
      <c r="J145" s="59"/>
      <c r="K145" s="59"/>
      <c r="L145" s="59"/>
      <c r="M145" s="59"/>
      <c r="N145" s="59"/>
      <c r="O145" s="59"/>
      <c r="P145" s="59"/>
      <c r="Q145" s="59"/>
      <c r="R145" s="59"/>
      <c r="S145" s="59"/>
      <c r="T145" s="59"/>
      <c r="U145" s="59"/>
      <c r="V145" s="59"/>
      <c r="W145" s="59"/>
      <c r="X145" s="59"/>
      <c r="Y145" s="59"/>
      <c r="Z145" s="59"/>
      <c r="AA145" s="59"/>
      <c r="AB145" s="59"/>
      <c r="AC145" s="59"/>
      <c r="AD145" s="59"/>
      <c r="AE145" s="59"/>
      <c r="AF145" s="59"/>
      <c r="AG145" s="59"/>
      <c r="AH145" s="59"/>
      <c r="AI145" s="59"/>
      <c r="AJ145" s="59"/>
      <c r="AK145" s="59"/>
      <c r="AL145" s="59"/>
      <c r="AM145" s="59"/>
      <c r="AN145" s="59"/>
      <c r="AO145" s="59"/>
      <c r="AP145" s="59"/>
      <c r="AQ145" s="59"/>
      <c r="AR145" s="59"/>
      <c r="AS145" s="59"/>
      <c r="AT145" s="59"/>
      <c r="AU145" s="59"/>
      <c r="AV145" s="59"/>
      <c r="AW145" s="59"/>
      <c r="AX145" s="59"/>
      <c r="AY145" s="59"/>
      <c r="AZ145" s="59"/>
      <c r="BA145" s="59"/>
      <c r="BS145" s="5">
        <f t="shared" si="180"/>
        <v>1048495</v>
      </c>
      <c r="BT145" s="5" t="str">
        <f t="shared" si="178"/>
        <v/>
      </c>
      <c r="CD145" s="5" t="e">
        <f t="shared" ca="1" si="172"/>
        <v>#REF!</v>
      </c>
      <c r="CE145" s="5" t="e">
        <f t="shared" ca="1" si="173"/>
        <v>#REF!</v>
      </c>
      <c r="CF145" s="5" t="e">
        <f t="shared" ca="1" si="174"/>
        <v>#REF!</v>
      </c>
      <c r="CG145" s="5"/>
    </row>
    <row r="146" spans="1:85" hidden="1" x14ac:dyDescent="0.25">
      <c r="A146" s="57"/>
      <c r="B146" s="57"/>
      <c r="C146" s="53"/>
      <c r="D146" s="54"/>
      <c r="E146" s="63"/>
      <c r="F146" s="59"/>
      <c r="G146" s="59"/>
      <c r="H146" s="59"/>
      <c r="I146" s="59"/>
      <c r="J146" s="59"/>
      <c r="K146" s="59"/>
      <c r="L146" s="59"/>
      <c r="M146" s="59"/>
      <c r="N146" s="59"/>
      <c r="O146" s="59"/>
      <c r="P146" s="59"/>
      <c r="Q146" s="59"/>
      <c r="R146" s="59"/>
      <c r="S146" s="59"/>
      <c r="T146" s="59"/>
      <c r="U146" s="59"/>
      <c r="V146" s="59"/>
      <c r="W146" s="59"/>
      <c r="X146" s="59"/>
      <c r="Y146" s="59"/>
      <c r="Z146" s="59"/>
      <c r="AA146" s="59"/>
      <c r="AB146" s="59"/>
      <c r="AC146" s="59"/>
      <c r="AD146" s="59"/>
      <c r="AE146" s="59"/>
      <c r="AF146" s="59"/>
      <c r="AG146" s="59"/>
      <c r="AH146" s="59"/>
      <c r="AI146" s="59"/>
      <c r="AJ146" s="59"/>
      <c r="AK146" s="59"/>
      <c r="AL146" s="59"/>
      <c r="AM146" s="59"/>
      <c r="AN146" s="59"/>
      <c r="AO146" s="59"/>
      <c r="AP146" s="59"/>
      <c r="AQ146" s="59"/>
      <c r="AR146" s="59"/>
      <c r="AS146" s="59"/>
      <c r="AT146" s="59"/>
      <c r="AU146" s="59"/>
      <c r="AV146" s="59"/>
      <c r="AW146" s="59"/>
      <c r="AX146" s="59"/>
      <c r="AY146" s="59"/>
      <c r="AZ146" s="59"/>
      <c r="BA146" s="59"/>
      <c r="BS146" s="5">
        <f t="shared" si="180"/>
        <v>1048495</v>
      </c>
      <c r="BT146" s="5" t="str">
        <f t="shared" si="178"/>
        <v/>
      </c>
      <c r="CD146" s="5" t="e">
        <f t="shared" ca="1" si="172"/>
        <v>#REF!</v>
      </c>
      <c r="CE146" s="5" t="e">
        <f t="shared" ca="1" si="173"/>
        <v>#REF!</v>
      </c>
      <c r="CF146" s="5" t="e">
        <f t="shared" ca="1" si="174"/>
        <v>#REF!</v>
      </c>
      <c r="CG146" s="5"/>
    </row>
    <row r="147" spans="1:85" ht="28.15" customHeight="1" x14ac:dyDescent="0.25">
      <c r="A147" s="56" t="s">
        <v>269</v>
      </c>
      <c r="B147" s="57"/>
      <c r="C147" s="53"/>
      <c r="D147" s="54"/>
      <c r="E147" s="63"/>
      <c r="F147" s="58">
        <f>SUM(F88:F89)</f>
        <v>49857</v>
      </c>
      <c r="G147" s="58">
        <f t="shared" ref="G147:BA147" si="181">SUM(G88:G89)</f>
        <v>42405.837</v>
      </c>
      <c r="H147" s="58">
        <f t="shared" si="181"/>
        <v>44092.949318999985</v>
      </c>
      <c r="I147" s="58">
        <f t="shared" si="181"/>
        <v>36751.769662499995</v>
      </c>
      <c r="J147" s="58">
        <f t="shared" si="181"/>
        <v>135000</v>
      </c>
      <c r="K147" s="58">
        <f t="shared" si="181"/>
        <v>135000</v>
      </c>
      <c r="L147" s="58">
        <f t="shared" si="181"/>
        <v>36611.299234153194</v>
      </c>
      <c r="M147" s="58">
        <f t="shared" si="181"/>
        <v>29780.385600000001</v>
      </c>
      <c r="N147" s="58">
        <f t="shared" si="181"/>
        <v>29154.792664065601</v>
      </c>
      <c r="O147" s="58">
        <f t="shared" si="181"/>
        <v>0</v>
      </c>
      <c r="P147" s="58">
        <f t="shared" si="181"/>
        <v>0</v>
      </c>
      <c r="Q147" s="58">
        <f t="shared" si="181"/>
        <v>0</v>
      </c>
      <c r="R147" s="58">
        <f t="shared" si="181"/>
        <v>0</v>
      </c>
      <c r="S147" s="58">
        <f t="shared" si="181"/>
        <v>0</v>
      </c>
      <c r="T147" s="58">
        <f t="shared" si="181"/>
        <v>0</v>
      </c>
      <c r="U147" s="58">
        <f t="shared" si="181"/>
        <v>0</v>
      </c>
      <c r="V147" s="58">
        <f t="shared" si="181"/>
        <v>0</v>
      </c>
      <c r="W147" s="58">
        <f t="shared" si="181"/>
        <v>0</v>
      </c>
      <c r="X147" s="58">
        <f t="shared" si="181"/>
        <v>0</v>
      </c>
      <c r="Y147" s="58">
        <f t="shared" si="181"/>
        <v>0</v>
      </c>
      <c r="Z147" s="58">
        <f t="shared" si="181"/>
        <v>0</v>
      </c>
      <c r="AA147" s="58">
        <f t="shared" si="181"/>
        <v>0</v>
      </c>
      <c r="AB147" s="58">
        <f t="shared" si="181"/>
        <v>0</v>
      </c>
      <c r="AC147" s="58">
        <f t="shared" si="181"/>
        <v>0</v>
      </c>
      <c r="AD147" s="58">
        <f t="shared" si="181"/>
        <v>0</v>
      </c>
      <c r="AE147" s="58">
        <f t="shared" si="181"/>
        <v>0</v>
      </c>
      <c r="AF147" s="58">
        <f t="shared" si="181"/>
        <v>0</v>
      </c>
      <c r="AG147" s="58">
        <f t="shared" si="181"/>
        <v>0</v>
      </c>
      <c r="AH147" s="58">
        <f t="shared" si="181"/>
        <v>0</v>
      </c>
      <c r="AI147" s="58">
        <f t="shared" si="181"/>
        <v>0</v>
      </c>
      <c r="AJ147" s="58">
        <f t="shared" si="181"/>
        <v>0</v>
      </c>
      <c r="AK147" s="58">
        <f t="shared" si="181"/>
        <v>0</v>
      </c>
      <c r="AL147" s="58">
        <f t="shared" si="181"/>
        <v>0</v>
      </c>
      <c r="AM147" s="58">
        <f t="shared" si="181"/>
        <v>0</v>
      </c>
      <c r="AN147" s="58">
        <f t="shared" si="181"/>
        <v>0</v>
      </c>
      <c r="AO147" s="58">
        <f t="shared" si="181"/>
        <v>0</v>
      </c>
      <c r="AP147" s="58">
        <f t="shared" si="181"/>
        <v>0</v>
      </c>
      <c r="AQ147" s="58">
        <f t="shared" si="181"/>
        <v>0</v>
      </c>
      <c r="AR147" s="58">
        <f t="shared" si="181"/>
        <v>0</v>
      </c>
      <c r="AS147" s="58">
        <f t="shared" si="181"/>
        <v>0</v>
      </c>
      <c r="AT147" s="58">
        <f t="shared" si="181"/>
        <v>0</v>
      </c>
      <c r="AU147" s="58">
        <f t="shared" si="181"/>
        <v>0</v>
      </c>
      <c r="AV147" s="58">
        <f t="shared" si="181"/>
        <v>0</v>
      </c>
      <c r="AW147" s="58">
        <f t="shared" si="181"/>
        <v>0</v>
      </c>
      <c r="AX147" s="58">
        <f t="shared" si="181"/>
        <v>0</v>
      </c>
      <c r="AY147" s="58">
        <f t="shared" si="181"/>
        <v>0</v>
      </c>
      <c r="AZ147" s="58">
        <f t="shared" si="181"/>
        <v>0</v>
      </c>
      <c r="BA147" s="58">
        <f t="shared" si="181"/>
        <v>0</v>
      </c>
      <c r="BS147" s="5">
        <f t="shared" si="180"/>
        <v>1048495</v>
      </c>
      <c r="BT147" s="5" t="str">
        <f t="shared" si="178"/>
        <v/>
      </c>
      <c r="CD147" s="5" t="e">
        <f t="shared" ca="1" si="172"/>
        <v>#REF!</v>
      </c>
      <c r="CE147" s="5" t="e">
        <f t="shared" ca="1" si="173"/>
        <v>#REF!</v>
      </c>
      <c r="CF147" s="5" t="e">
        <f t="shared" ca="1" si="174"/>
        <v>#REF!</v>
      </c>
      <c r="CG147" s="5"/>
    </row>
    <row r="148" spans="1:85" ht="27.75" customHeight="1" x14ac:dyDescent="0.25">
      <c r="A148" s="56" t="s">
        <v>104</v>
      </c>
      <c r="B148" s="57"/>
      <c r="C148" s="53"/>
      <c r="D148" s="54"/>
      <c r="E148" s="63"/>
      <c r="F148" s="58">
        <f ca="1">SUM(F149:F154)</f>
        <v>-33834.248384061349</v>
      </c>
      <c r="G148" s="58">
        <f t="shared" ref="G148:BA148" ca="1" si="182">SUM(G149:G154)</f>
        <v>-34519.169633358382</v>
      </c>
      <c r="H148" s="58">
        <f t="shared" ca="1" si="182"/>
        <v>-35478.789347884755</v>
      </c>
      <c r="I148" s="58">
        <f t="shared" ca="1" si="182"/>
        <v>-35602.824739200187</v>
      </c>
      <c r="J148" s="58">
        <f t="shared" ca="1" si="182"/>
        <v>-41833.152519685893</v>
      </c>
      <c r="K148" s="58">
        <f t="shared" ca="1" si="182"/>
        <v>-53400.169140352562</v>
      </c>
      <c r="L148" s="58">
        <f t="shared" ca="1" si="182"/>
        <v>-49872.587501921502</v>
      </c>
      <c r="M148" s="58">
        <f t="shared" ca="1" si="182"/>
        <v>-30012.886939588148</v>
      </c>
      <c r="N148" s="58">
        <f t="shared" ca="1" si="182"/>
        <v>-28069.518700696128</v>
      </c>
      <c r="O148" s="58">
        <f t="shared" ca="1" si="182"/>
        <v>-30537.866012313094</v>
      </c>
      <c r="P148" s="58">
        <f t="shared" ca="1" si="182"/>
        <v>-30658.856971913283</v>
      </c>
      <c r="Q148" s="58">
        <f t="shared" ca="1" si="182"/>
        <v>-30757.031998835955</v>
      </c>
      <c r="R148" s="58">
        <f t="shared" ca="1" si="182"/>
        <v>-30849.572984911381</v>
      </c>
      <c r="S148" s="58">
        <f t="shared" ca="1" si="182"/>
        <v>-30922.878350867908</v>
      </c>
      <c r="T148" s="58">
        <f t="shared" ca="1" si="182"/>
        <v>-30983.853178333015</v>
      </c>
      <c r="U148" s="58">
        <f t="shared" ca="1" si="182"/>
        <v>-31031.403270502029</v>
      </c>
      <c r="V148" s="58">
        <f t="shared" ca="1" si="182"/>
        <v>-31058.702466596882</v>
      </c>
      <c r="W148" s="58">
        <f t="shared" ca="1" si="182"/>
        <v>-31071.502901967728</v>
      </c>
      <c r="X148" s="58">
        <f t="shared" ca="1" si="182"/>
        <v>-31069.237383738306</v>
      </c>
      <c r="Y148" s="58">
        <f t="shared" ca="1" si="182"/>
        <v>-31051.307195099565</v>
      </c>
      <c r="Z148" s="58">
        <f t="shared" ca="1" si="182"/>
        <v>-31017.095500612511</v>
      </c>
      <c r="AA148" s="58">
        <f t="shared" ca="1" si="182"/>
        <v>-30959.700934632685</v>
      </c>
      <c r="AB148" s="58">
        <f t="shared" ca="1" si="182"/>
        <v>-30884.798840588817</v>
      </c>
      <c r="AC148" s="58">
        <f t="shared" ca="1" si="182"/>
        <v>-30792.303899958948</v>
      </c>
      <c r="AD148" s="58">
        <f t="shared" ca="1" si="182"/>
        <v>-30674.142326218793</v>
      </c>
      <c r="AE148" s="58">
        <f t="shared" ca="1" si="182"/>
        <v>-30536.496070236793</v>
      </c>
      <c r="AF148" s="58">
        <f t="shared" ca="1" si="182"/>
        <v>-30379.223537339145</v>
      </c>
      <c r="AG148" s="58">
        <f t="shared" ca="1" si="182"/>
        <v>-30194.2384088947</v>
      </c>
      <c r="AH148" s="58">
        <f t="shared" ca="1" si="182"/>
        <v>-29987.635692311251</v>
      </c>
      <c r="AI148" s="58">
        <f t="shared" ca="1" si="182"/>
        <v>-29758.649783227102</v>
      </c>
      <c r="AJ148" s="58">
        <f t="shared" ca="1" si="182"/>
        <v>-29499.767825574509</v>
      </c>
      <c r="AK148" s="58">
        <f t="shared" ca="1" si="182"/>
        <v>-29216.977786553525</v>
      </c>
      <c r="AL148" s="58">
        <f t="shared" ca="1" si="182"/>
        <v>-28903.349531011736</v>
      </c>
      <c r="AM148" s="58">
        <f t="shared" ca="1" si="182"/>
        <v>-28566.985536269203</v>
      </c>
      <c r="AN148" s="58">
        <f t="shared" ca="1" si="182"/>
        <v>-28209.699856547548</v>
      </c>
      <c r="AO148" s="58">
        <f t="shared" ca="1" si="182"/>
        <v>-27825.426303248074</v>
      </c>
      <c r="AP148" s="58">
        <f t="shared" ca="1" si="182"/>
        <v>-27445.022573747923</v>
      </c>
      <c r="AQ148" s="58">
        <f t="shared" ca="1" si="182"/>
        <v>-27033.081304384792</v>
      </c>
      <c r="AR148" s="58">
        <f t="shared" ca="1" si="182"/>
        <v>-26588.205202521003</v>
      </c>
      <c r="AS148" s="58">
        <f t="shared" ca="1" si="182"/>
        <v>-26125.613330118485</v>
      </c>
      <c r="AT148" s="58">
        <f t="shared" ca="1" si="182"/>
        <v>-25625.460753920346</v>
      </c>
      <c r="AU148" s="58">
        <f t="shared" ca="1" si="182"/>
        <v>-25095.052554483573</v>
      </c>
      <c r="AV148" s="58">
        <f t="shared" ca="1" si="182"/>
        <v>-24532.902023633997</v>
      </c>
      <c r="AW148" s="58">
        <f t="shared" ca="1" si="182"/>
        <v>-23972.408549644748</v>
      </c>
      <c r="AX148" s="58">
        <f t="shared" ca="1" si="182"/>
        <v>-23398.83217785749</v>
      </c>
      <c r="AY148" s="58">
        <f t="shared" ca="1" si="182"/>
        <v>-22788.527241553194</v>
      </c>
      <c r="AZ148" s="58">
        <f t="shared" ca="1" si="182"/>
        <v>-22160.562847212535</v>
      </c>
      <c r="BA148" s="58">
        <f t="shared" ca="1" si="182"/>
        <v>-21517.480353324314</v>
      </c>
      <c r="BS148" s="5">
        <f t="shared" si="180"/>
        <v>1048495</v>
      </c>
      <c r="BT148" s="5" t="str">
        <f t="shared" si="178"/>
        <v/>
      </c>
      <c r="CD148" s="5" t="e">
        <f t="shared" ca="1" si="172"/>
        <v>#REF!</v>
      </c>
      <c r="CE148" s="5" t="e">
        <f t="shared" ca="1" si="173"/>
        <v>#REF!</v>
      </c>
      <c r="CF148" s="5" t="e">
        <f t="shared" ca="1" si="174"/>
        <v>#REF!</v>
      </c>
      <c r="CG148" s="5"/>
    </row>
    <row r="149" spans="1:85" x14ac:dyDescent="0.25">
      <c r="A149" s="57" t="s">
        <v>105</v>
      </c>
      <c r="B149" s="57"/>
      <c r="C149" s="53"/>
      <c r="D149" s="54"/>
      <c r="E149" s="63"/>
      <c r="F149" s="59" cm="1">
        <f t="array" aca="1" ref="F149" ca="1">-EinkommenSteuerGesamt(F90,Ziv)</f>
        <v>-30800.757567524</v>
      </c>
      <c r="G149" s="59" cm="1">
        <f t="array" aca="1" ref="G149" ca="1">-EinkommenSteuerGesamt(G90,Ziv)</f>
        <v>-31415.22111471774</v>
      </c>
      <c r="H149" s="59" cm="1">
        <f t="array" aca="1" ref="H149" ca="1">-EinkommenSteuerGesamt(H90,Ziv)</f>
        <v>-31940.025550963263</v>
      </c>
      <c r="I149" s="59" cm="1">
        <f t="array" aca="1" ref="I149" ca="1">-EinkommenSteuerGesamt(I90,Ziv)</f>
        <v>-31970.819858633364</v>
      </c>
      <c r="J149" s="59" cm="1">
        <f t="array" aca="1" ref="J149" ca="1">-EinkommenSteuerGesamt(J90,Ziv)</f>
        <v>-31461.398732401427</v>
      </c>
      <c r="K149" s="59" cm="1">
        <f t="array" aca="1" ref="K149" ca="1">-EinkommenSteuerGesamt(K90,Ziv)</f>
        <v>-41387.847817239919</v>
      </c>
      <c r="L149" s="59" cm="1">
        <f t="array" aca="1" ref="L149" ca="1">-EinkommenSteuerGesamt(L90,Ziv)</f>
        <v>-43310.240535409277</v>
      </c>
      <c r="M149" s="59" cm="1">
        <f t="array" aca="1" ref="M149" ca="1">-EinkommenSteuerGesamt(M90,Ziv)</f>
        <v>-23620.062219565567</v>
      </c>
      <c r="N149" s="59" cm="1">
        <f t="array" aca="1" ref="N149" ca="1">-EinkommenSteuerGesamt(N90,Ziv)</f>
        <v>-21525.290414385912</v>
      </c>
      <c r="O149" s="59" cm="1">
        <f t="array" aca="1" ref="O149" ca="1">-EinkommenSteuerGesamt(O90,Ziv)</f>
        <v>-25036.758972766478</v>
      </c>
      <c r="P149" s="59" cm="1">
        <f t="array" aca="1" ref="P149" ca="1">-EinkommenSteuerGesamt(P90,Ziv)</f>
        <v>-25099.695851092896</v>
      </c>
      <c r="Q149" s="59" cm="1">
        <f t="array" aca="1" ref="Q149" ca="1">-EinkommenSteuerGesamt(Q90,Ziv)</f>
        <v>-25146.48558377018</v>
      </c>
      <c r="R149" s="59" cm="1">
        <f t="array" aca="1" ref="R149" ca="1">-EinkommenSteuerGesamt(R90,Ziv)</f>
        <v>-25194.523759727592</v>
      </c>
      <c r="S149" s="59" cm="1">
        <f t="array" aca="1" ref="S149" ca="1">-EinkommenSteuerGesamt(S90,Ziv)</f>
        <v>-25230.536558368061</v>
      </c>
      <c r="T149" s="59" cm="1">
        <f t="array" aca="1" ref="T149" ca="1">-EinkommenSteuerGesamt(T90,Ziv)</f>
        <v>-25261.687155440748</v>
      </c>
      <c r="U149" s="59" cm="1">
        <f t="array" aca="1" ref="U149" ca="1">-EinkommenSteuerGesamt(U90,Ziv)</f>
        <v>-25287.192440699513</v>
      </c>
      <c r="V149" s="59" cm="1">
        <f t="array" aca="1" ref="V149" ca="1">-EinkommenSteuerGesamt(V90,Ziv)</f>
        <v>-25300.543428024306</v>
      </c>
      <c r="W149" s="59" cm="1">
        <f t="array" aca="1" ref="W149" ca="1">-EinkommenSteuerGesamt(W90,Ziv)</f>
        <v>-25307.780798061827</v>
      </c>
      <c r="X149" s="59" cm="1">
        <f t="array" aca="1" ref="X149" ca="1">-EinkommenSteuerGesamt(X90,Ziv)</f>
        <v>-25308.673014074015</v>
      </c>
      <c r="Y149" s="59" cm="1">
        <f t="array" aca="1" ref="Y149" ca="1">-EinkommenSteuerGesamt(Y90,Ziv)</f>
        <v>-25302.967263143102</v>
      </c>
      <c r="Z149" s="59" cm="1">
        <f t="array" aca="1" ref="Z149" ca="1">-EinkommenSteuerGesamt(Z90,Ziv)</f>
        <v>-25290.403057270269</v>
      </c>
      <c r="AA149" s="59" cm="1">
        <f t="array" aca="1" ref="AA149" ca="1">-EinkommenSteuerGesamt(AA90,Ziv)</f>
        <v>-25264.446106647029</v>
      </c>
      <c r="AB149" s="59" cm="1">
        <f t="array" aca="1" ref="AB149" ca="1">-EinkommenSteuerGesamt(AB90,Ziv)</f>
        <v>-25231.111636011665</v>
      </c>
      <c r="AC149" s="59" cm="1">
        <f t="array" aca="1" ref="AC149" ca="1">-EinkommenSteuerGesamt(AC90,Ziv)</f>
        <v>-25190.702796572856</v>
      </c>
      <c r="AD149" s="59" cm="1">
        <f t="array" aca="1" ref="AD149" ca="1">-EinkommenSteuerGesamt(AD90,Ziv)</f>
        <v>-25135.549458069174</v>
      </c>
      <c r="AE149" s="59" cm="1">
        <f t="array" aca="1" ref="AE149" ca="1">-EinkommenSteuerGesamt(AE90,Ziv)</f>
        <v>-25072.204256521825</v>
      </c>
      <c r="AF149" s="59" cm="1">
        <f t="array" aca="1" ref="AF149" ca="1">-EinkommenSteuerGesamt(AF90,Ziv)</f>
        <v>-25000.949133687787</v>
      </c>
      <c r="AG149" s="59" cm="1">
        <f t="array" aca="1" ref="AG149" ca="1">-EinkommenSteuerGesamt(AG90,Ziv)</f>
        <v>-24914.137474412564</v>
      </c>
      <c r="AH149" s="59" cm="1">
        <f t="array" aca="1" ref="AH149" ca="1">-EinkommenSteuerGesamt(AH90,Ziv)</f>
        <v>-24818.272301538502</v>
      </c>
      <c r="AI149" s="59" cm="1">
        <f t="array" aca="1" ref="AI149" ca="1">-EinkommenSteuerGesamt(AI90,Ziv)</f>
        <v>-24713.049753032508</v>
      </c>
      <c r="AJ149" s="59" cm="1">
        <f t="array" aca="1" ref="AJ149" ca="1">-EinkommenSteuerGesamt(AJ90,Ziv)</f>
        <v>-24591.432514443124</v>
      </c>
      <c r="AK149" s="59" cm="1">
        <f t="array" aca="1" ref="AK149" ca="1">-EinkommenSteuerGesamt(AK90,Ziv)</f>
        <v>-24459.857260684468</v>
      </c>
      <c r="AL149" s="59" cm="1">
        <f t="array" aca="1" ref="AL149" ca="1">-EinkommenSteuerGesamt(AL90,Ziv)</f>
        <v>-24311.897166466802</v>
      </c>
      <c r="AM149" s="59" cm="1">
        <f t="array" aca="1" ref="AM149" ca="1">-EinkommenSteuerGesamt(AM90,Ziv)</f>
        <v>-24156.135781707806</v>
      </c>
      <c r="AN149" s="59" cm="1">
        <f t="array" aca="1" ref="AN149" ca="1">-EinkommenSteuerGesamt(AN90,Ziv)</f>
        <v>-23994.936936178226</v>
      </c>
      <c r="AO149" s="59" cm="1">
        <f t="array" aca="1" ref="AO149" ca="1">-EinkommenSteuerGesamt(AO90,Ziv)</f>
        <v>-23816.896871710065</v>
      </c>
      <c r="AP149" s="59" cm="1">
        <f t="array" aca="1" ref="AP149" ca="1">-EinkommenSteuerGesamt(AP90,Ziv)</f>
        <v>-23627.150559654699</v>
      </c>
      <c r="AQ149" s="59" cm="1">
        <f t="array" aca="1" ref="AQ149" ca="1">-EinkommenSteuerGesamt(AQ90,Ziv)</f>
        <v>-23420.378719848821</v>
      </c>
      <c r="AR149" s="59" cm="1">
        <f t="array" aca="1" ref="AR149" ca="1">-EinkommenSteuerGesamt(AR90,Ziv)</f>
        <v>-23195.678278859446</v>
      </c>
      <c r="AS149" s="59" cm="1">
        <f t="array" aca="1" ref="AS149" ca="1">-EinkommenSteuerGesamt(AS90,Ziv)</f>
        <v>-22968.774912691304</v>
      </c>
      <c r="AT149" s="59" cm="1">
        <f t="array" aca="1" ref="AT149" ca="1">-EinkommenSteuerGesamt(AT90,Ziv)</f>
        <v>-22720.427614937827</v>
      </c>
      <c r="AU149" s="59" cm="1">
        <f t="array" aca="1" ref="AU149" ca="1">-EinkommenSteuerGesamt(AU90,Ziv)</f>
        <v>-22458.46793555098</v>
      </c>
      <c r="AV149" s="59" cm="1">
        <f t="array" aca="1" ref="AV149" ca="1">-EinkommenSteuerGesamt(AV90,Ziv)</f>
        <v>-22181.993488833516</v>
      </c>
      <c r="AW149" s="59" cm="1">
        <f t="array" aca="1" ref="AW149" ca="1">-EinkommenSteuerGesamt(AW90,Ziv)</f>
        <v>-21886.498258214782</v>
      </c>
      <c r="AX149" s="59" cm="1">
        <f t="array" aca="1" ref="AX149" ca="1">-EinkommenSteuerGesamt(AX90,Ziv)</f>
        <v>-21570.620261629716</v>
      </c>
      <c r="AY149" s="59" cm="1">
        <f t="array" aca="1" ref="AY149" ca="1">-EinkommenSteuerGesamt(AY90,Ziv)</f>
        <v>-21233.507825225097</v>
      </c>
      <c r="AZ149" s="59" cm="1">
        <f t="array" aca="1" ref="AZ149" ca="1">-EinkommenSteuerGesamt(AZ90,Ziv)</f>
        <v>-20880.38231795</v>
      </c>
      <c r="BA149" s="59" cm="1">
        <f t="array" aca="1" ref="BA149" ca="1">-EinkommenSteuerGesamt(BA90,Ziv)</f>
        <v>-20504.921919631608</v>
      </c>
      <c r="BS149" s="5">
        <f t="shared" si="180"/>
        <v>1048495</v>
      </c>
      <c r="BT149" s="5" t="str">
        <f t="shared" si="178"/>
        <v/>
      </c>
      <c r="CD149" s="5" t="e">
        <f t="shared" ca="1" si="172"/>
        <v>#REF!</v>
      </c>
      <c r="CE149" s="5" t="e">
        <f t="shared" ca="1" si="173"/>
        <v>#REF!</v>
      </c>
      <c r="CF149" s="5" t="e">
        <f t="shared" ca="1" si="174"/>
        <v>#REF!</v>
      </c>
      <c r="CG149" s="5"/>
    </row>
    <row r="150" spans="1:85" x14ac:dyDescent="0.25">
      <c r="A150" s="57" t="s">
        <v>106</v>
      </c>
      <c r="B150" s="57"/>
      <c r="C150" s="53"/>
      <c r="D150" s="54"/>
      <c r="E150" s="63"/>
      <c r="F150" s="59" cm="1">
        <f t="array" aca="1" ref="F150" ca="1">-VermoegenSteuer(F137)</f>
        <v>-544.80205260000002</v>
      </c>
      <c r="G150" s="59" cm="1">
        <f t="array" aca="1" ref="G150" ca="1">-VermoegenSteuer(G137)</f>
        <v>-872.08271540579324</v>
      </c>
      <c r="H150" s="59" cm="1">
        <f t="array" aca="1" ref="H150" ca="1">-VermoegenSteuer(H137)</f>
        <v>-1248.7474498315112</v>
      </c>
      <c r="I150" s="59" cm="1">
        <f t="array" aca="1" ref="I150" ca="1">-VermoegenSteuer(I137)</f>
        <v>-1595.0206432872624</v>
      </c>
      <c r="J150" s="59" cm="1">
        <f t="array" aca="1" ref="J150" ca="1">-VermoegenSteuer(J137)</f>
        <v>-2993.2949208471209</v>
      </c>
      <c r="K150" s="59" cm="1">
        <f t="array" aca="1" ref="K150" ca="1">-VermoegenSteuer(K137)</f>
        <v>-4633.8624566752969</v>
      </c>
      <c r="L150" s="59" cm="1">
        <f t="array" aca="1" ref="L150" ca="1">-VermoegenSteuer(L137)</f>
        <v>-4530.2043937217049</v>
      </c>
      <c r="M150" s="59" cm="1">
        <f t="array" aca="1" ref="M150" ca="1">-VermoegenSteuer(M137)</f>
        <v>-4597.0874341172303</v>
      </c>
      <c r="N150" s="59" cm="1">
        <f t="array" aca="1" ref="N150" ca="1">-VermoegenSteuer(N137)</f>
        <v>-4768.8024390523178</v>
      </c>
      <c r="O150" s="59" cm="1">
        <f t="array" aca="1" ref="O150" ca="1">-VermoegenSteuer(O137)</f>
        <v>-4672.2644231092663</v>
      </c>
      <c r="P150" s="59" cm="1">
        <f t="array" aca="1" ref="P150" ca="1">-VermoegenSteuer(P137)</f>
        <v>-4730.318504383039</v>
      </c>
      <c r="Q150" s="59" cm="1">
        <f t="array" aca="1" ref="Q150" ca="1">-VermoegenSteuer(Q137)</f>
        <v>-4781.7037986284276</v>
      </c>
      <c r="R150" s="59" cm="1">
        <f t="array" aca="1" ref="R150" ca="1">-VermoegenSteuer(R137)</f>
        <v>-4826.2066087464418</v>
      </c>
      <c r="S150" s="59" cm="1">
        <f t="array" aca="1" ref="S150" ca="1">-VermoegenSteuer(S137)</f>
        <v>-4863.4991760624989</v>
      </c>
      <c r="T150" s="59" cm="1">
        <f t="array" aca="1" ref="T150" ca="1">-VermoegenSteuer(T137)</f>
        <v>-4893.3234064549169</v>
      </c>
      <c r="U150" s="59" cm="1">
        <f t="array" aca="1" ref="U150" ca="1">-VermoegenSteuer(U137)</f>
        <v>-4915.3682133651682</v>
      </c>
      <c r="V150" s="59" cm="1">
        <f t="array" aca="1" ref="V150" ca="1">-VermoegenSteuer(V137)</f>
        <v>-4929.3164221352272</v>
      </c>
      <c r="W150" s="59" cm="1">
        <f t="array" aca="1" ref="W150" ca="1">-VermoegenSteuer(W137)</f>
        <v>-4934.87948746855</v>
      </c>
      <c r="X150" s="59" cm="1">
        <f t="array" aca="1" ref="X150" ca="1">-VermoegenSteuer(X137)</f>
        <v>-4931.7217532269415</v>
      </c>
      <c r="Y150" s="59" cm="1">
        <f t="array" aca="1" ref="Y150" ca="1">-VermoegenSteuer(Y137)</f>
        <v>-4919.4973155191137</v>
      </c>
      <c r="Z150" s="59" cm="1">
        <f t="array" aca="1" ref="Z150" ca="1">-VermoegenSteuer(Z137)</f>
        <v>-4897.849826904896</v>
      </c>
      <c r="AA150" s="59" cm="1">
        <f t="array" aca="1" ref="AA150" ca="1">-VermoegenSteuer(AA137)</f>
        <v>-4866.4122115483069</v>
      </c>
      <c r="AB150" s="59" cm="1">
        <f t="array" aca="1" ref="AB150" ca="1">-VermoegenSteuer(AB137)</f>
        <v>-4824.8445881398029</v>
      </c>
      <c r="AC150" s="59" cm="1">
        <f t="array" aca="1" ref="AC150" ca="1">-VermoegenSteuer(AC137)</f>
        <v>-4772.7584869487437</v>
      </c>
      <c r="AD150" s="59" cm="1">
        <f t="array" aca="1" ref="AD150" ca="1">-VermoegenSteuer(AD137)</f>
        <v>-4709.7502517122712</v>
      </c>
      <c r="AE150" s="59" cm="1">
        <f t="array" aca="1" ref="AE150" ca="1">-VermoegenSteuer(AE137)</f>
        <v>-4635.4491972776214</v>
      </c>
      <c r="AF150" s="59" cm="1">
        <f t="array" aca="1" ref="AF150" ca="1">-VermoegenSteuer(AF137)</f>
        <v>-4549.4317872140082</v>
      </c>
      <c r="AG150" s="59" cm="1">
        <f t="array" aca="1" ref="AG150" ca="1">-VermoegenSteuer(AG137)</f>
        <v>-4451.2583180447882</v>
      </c>
      <c r="AH150" s="59" cm="1">
        <f t="array" aca="1" ref="AH150" ca="1">-VermoegenSteuer(AH137)</f>
        <v>-4340.5207743353994</v>
      </c>
      <c r="AI150" s="59" cm="1">
        <f t="array" aca="1" ref="AI150" ca="1">-VermoegenSteuer(AI137)</f>
        <v>-4216.7574137572456</v>
      </c>
      <c r="AJ150" s="59" cm="1">
        <f t="array" aca="1" ref="AJ150" ca="1">-VermoegenSteuer(AJ137)</f>
        <v>-4079.492694694035</v>
      </c>
      <c r="AK150" s="59" cm="1">
        <f t="array" aca="1" ref="AK150" ca="1">-VermoegenSteuer(AK137)</f>
        <v>-3928.2779094317088</v>
      </c>
      <c r="AL150" s="59" cm="1">
        <f t="array" aca="1" ref="AL150" ca="1">-VermoegenSteuer(AL137)</f>
        <v>-3762.6097481075835</v>
      </c>
      <c r="AM150" s="59" cm="1">
        <f t="array" aca="1" ref="AM150" ca="1">-VermoegenSteuer(AM137)</f>
        <v>-3582.00713812405</v>
      </c>
      <c r="AN150" s="59" cm="1">
        <f t="array" aca="1" ref="AN150" ca="1">-VermoegenSteuer(AN137)</f>
        <v>-3385.9203039319746</v>
      </c>
      <c r="AO150" s="59" cm="1">
        <f t="array" aca="1" ref="AO150" ca="1">-VermoegenSteuer(AO137)</f>
        <v>-3179.6868151006597</v>
      </c>
      <c r="AP150" s="59" cm="1">
        <f t="array" aca="1" ref="AP150" ca="1">-VermoegenSteuer(AP137)</f>
        <v>-2989.0293976558751</v>
      </c>
      <c r="AQ150" s="59" cm="1">
        <f t="array" aca="1" ref="AQ150" ca="1">-VermoegenSteuer(AQ137)</f>
        <v>-2783.8599680986217</v>
      </c>
      <c r="AR150" s="59" cm="1">
        <f t="array" aca="1" ref="AR150" ca="1">-VermoegenSteuer(AR137)</f>
        <v>-2563.6843072242082</v>
      </c>
      <c r="AS150" s="59" cm="1">
        <f t="array" aca="1" ref="AS150" ca="1">-VermoegenSteuer(AS137)</f>
        <v>-2327.9958009898332</v>
      </c>
      <c r="AT150" s="59" cm="1">
        <f t="array" aca="1" ref="AT150" ca="1">-VermoegenSteuer(AT137)</f>
        <v>-2076.1905225451683</v>
      </c>
      <c r="AU150" s="59" cm="1">
        <f t="array" aca="1" ref="AU150" ca="1">-VermoegenSteuer(AU137)</f>
        <v>-1807.742002495246</v>
      </c>
      <c r="AV150" s="59" cm="1">
        <f t="array" aca="1" ref="AV150" ca="1">-VermoegenSteuer(AV137)</f>
        <v>-1522.065918363134</v>
      </c>
      <c r="AW150" s="59" cm="1">
        <f t="array" aca="1" ref="AW150" ca="1">-VermoegenSteuer(AW137)</f>
        <v>-1257.0676749926165</v>
      </c>
      <c r="AX150" s="59" cm="1">
        <f t="array" aca="1" ref="AX150" ca="1">-VermoegenSteuer(AX137)</f>
        <v>-999.36929979042509</v>
      </c>
      <c r="AY150" s="59" cm="1">
        <f t="array" aca="1" ref="AY150" ca="1">-VermoegenSteuer(AY137)</f>
        <v>-726.17679989075066</v>
      </c>
      <c r="AZ150" s="59" cm="1">
        <f t="array" aca="1" ref="AZ150" ca="1">-VermoegenSteuer(AZ137)</f>
        <v>-451.33791282518729</v>
      </c>
      <c r="BA150" s="59" cm="1">
        <f t="array" aca="1" ref="BA150" ca="1">-VermoegenSteuer(BA137)</f>
        <v>-183.71581725535719</v>
      </c>
      <c r="BS150" s="5">
        <f t="shared" si="180"/>
        <v>1048495</v>
      </c>
      <c r="CD150" s="5" t="e">
        <f t="shared" ca="1" si="172"/>
        <v>#REF!</v>
      </c>
      <c r="CE150" s="5" t="e">
        <f t="shared" ca="1" si="173"/>
        <v>#REF!</v>
      </c>
      <c r="CF150" s="5" t="e">
        <f t="shared" ca="1" si="174"/>
        <v>#REF!</v>
      </c>
      <c r="CG150" s="5"/>
    </row>
    <row r="151" spans="1:85" x14ac:dyDescent="0.25">
      <c r="A151" s="57" t="s">
        <v>138</v>
      </c>
      <c r="B151" s="57"/>
      <c r="C151" s="53"/>
      <c r="D151" s="54"/>
      <c r="E151" s="63"/>
      <c r="F151" s="59">
        <f>-SUMPRODUCT(V_Liegensch[Steuerwert],V_Liegensch[Liegenschaftssteuer])</f>
        <v>-828.84261643734828</v>
      </c>
      <c r="G151" s="59">
        <f>-SUMPRODUCT(V_Liegensch[Steuerwert],V_Liegensch[Liegenschaftssteuer])</f>
        <v>-828.84261643734828</v>
      </c>
      <c r="H151" s="59">
        <f>-SUMPRODUCT(V_Liegensch[Steuerwert],V_Liegensch[Liegenschaftssteuer])</f>
        <v>-828.84261643734828</v>
      </c>
      <c r="I151" s="59">
        <f>-SUMPRODUCT(V_Liegensch[Steuerwert],V_Liegensch[Liegenschaftssteuer])</f>
        <v>-828.84261643734828</v>
      </c>
      <c r="J151" s="59">
        <f>-SUMPRODUCT(V_Liegensch[Steuerwert],V_Liegensch[Liegenschaftssteuer])</f>
        <v>-828.84261643734828</v>
      </c>
      <c r="K151" s="59">
        <f>-SUMPRODUCT(V_Liegensch[Steuerwert],V_Liegensch[Liegenschaftssteuer])</f>
        <v>-828.84261643734828</v>
      </c>
      <c r="L151" s="59">
        <f>-SUMPRODUCT(V_Liegensch[Steuerwert],V_Liegensch[Liegenschaftssteuer])</f>
        <v>-828.84261643734828</v>
      </c>
      <c r="M151" s="59">
        <f>-SUMPRODUCT(V_Liegensch[Steuerwert],V_Liegensch[Liegenschaftssteuer])</f>
        <v>-828.84261643734828</v>
      </c>
      <c r="N151" s="59">
        <f>-SUMPRODUCT(V_Liegensch[Steuerwert],V_Liegensch[Liegenschaftssteuer])</f>
        <v>-828.84261643734828</v>
      </c>
      <c r="O151" s="59">
        <f>-SUMPRODUCT(V_Liegensch[Steuerwert],V_Liegensch[Liegenschaftssteuer])</f>
        <v>-828.84261643734828</v>
      </c>
      <c r="P151" s="59">
        <f>-SUMPRODUCT(V_Liegensch[Steuerwert],V_Liegensch[Liegenschaftssteuer])</f>
        <v>-828.84261643734828</v>
      </c>
      <c r="Q151" s="59">
        <f>-SUMPRODUCT(V_Liegensch[Steuerwert],V_Liegensch[Liegenschaftssteuer])</f>
        <v>-828.84261643734828</v>
      </c>
      <c r="R151" s="59">
        <f>-SUMPRODUCT(V_Liegensch[Steuerwert],V_Liegensch[Liegenschaftssteuer])</f>
        <v>-828.84261643734828</v>
      </c>
      <c r="S151" s="59">
        <f>-SUMPRODUCT(V_Liegensch[Steuerwert],V_Liegensch[Liegenschaftssteuer])</f>
        <v>-828.84261643734828</v>
      </c>
      <c r="T151" s="59">
        <f>-SUMPRODUCT(V_Liegensch[Steuerwert],V_Liegensch[Liegenschaftssteuer])</f>
        <v>-828.84261643734828</v>
      </c>
      <c r="U151" s="59">
        <f>-SUMPRODUCT(V_Liegensch[Steuerwert],V_Liegensch[Liegenschaftssteuer])</f>
        <v>-828.84261643734828</v>
      </c>
      <c r="V151" s="59">
        <f>-SUMPRODUCT(V_Liegensch[Steuerwert],V_Liegensch[Liegenschaftssteuer])</f>
        <v>-828.84261643734828</v>
      </c>
      <c r="W151" s="59">
        <f>-SUMPRODUCT(V_Liegensch[Steuerwert],V_Liegensch[Liegenschaftssteuer])</f>
        <v>-828.84261643734828</v>
      </c>
      <c r="X151" s="59">
        <f>-SUMPRODUCT(V_Liegensch[Steuerwert],V_Liegensch[Liegenschaftssteuer])</f>
        <v>-828.84261643734828</v>
      </c>
      <c r="Y151" s="59">
        <f>-SUMPRODUCT(V_Liegensch[Steuerwert],V_Liegensch[Liegenschaftssteuer])</f>
        <v>-828.84261643734828</v>
      </c>
      <c r="Z151" s="59">
        <f>-SUMPRODUCT(V_Liegensch[Steuerwert],V_Liegensch[Liegenschaftssteuer])</f>
        <v>-828.84261643734828</v>
      </c>
      <c r="AA151" s="59">
        <f>-SUMPRODUCT(V_Liegensch[Steuerwert],V_Liegensch[Liegenschaftssteuer])</f>
        <v>-828.84261643734828</v>
      </c>
      <c r="AB151" s="59">
        <f>-SUMPRODUCT(V_Liegensch[Steuerwert],V_Liegensch[Liegenschaftssteuer])</f>
        <v>-828.84261643734828</v>
      </c>
      <c r="AC151" s="59">
        <f>-SUMPRODUCT(V_Liegensch[Steuerwert],V_Liegensch[Liegenschaftssteuer])</f>
        <v>-828.84261643734828</v>
      </c>
      <c r="AD151" s="59">
        <f>-SUMPRODUCT(V_Liegensch[Steuerwert],V_Liegensch[Liegenschaftssteuer])</f>
        <v>-828.84261643734828</v>
      </c>
      <c r="AE151" s="59">
        <f>-SUMPRODUCT(V_Liegensch[Steuerwert],V_Liegensch[Liegenschaftssteuer])</f>
        <v>-828.84261643734828</v>
      </c>
      <c r="AF151" s="59">
        <f>-SUMPRODUCT(V_Liegensch[Steuerwert],V_Liegensch[Liegenschaftssteuer])</f>
        <v>-828.84261643734828</v>
      </c>
      <c r="AG151" s="59">
        <f>-SUMPRODUCT(V_Liegensch[Steuerwert],V_Liegensch[Liegenschaftssteuer])</f>
        <v>-828.84261643734828</v>
      </c>
      <c r="AH151" s="59">
        <f>-SUMPRODUCT(V_Liegensch[Steuerwert],V_Liegensch[Liegenschaftssteuer])</f>
        <v>-828.84261643734828</v>
      </c>
      <c r="AI151" s="59">
        <f>-SUMPRODUCT(V_Liegensch[Steuerwert],V_Liegensch[Liegenschaftssteuer])</f>
        <v>-828.84261643734828</v>
      </c>
      <c r="AJ151" s="59">
        <f>-SUMPRODUCT(V_Liegensch[Steuerwert],V_Liegensch[Liegenschaftssteuer])</f>
        <v>-828.84261643734828</v>
      </c>
      <c r="AK151" s="59">
        <f>-SUMPRODUCT(V_Liegensch[Steuerwert],V_Liegensch[Liegenschaftssteuer])</f>
        <v>-828.84261643734828</v>
      </c>
      <c r="AL151" s="59">
        <f>-SUMPRODUCT(V_Liegensch[Steuerwert],V_Liegensch[Liegenschaftssteuer])</f>
        <v>-828.84261643734828</v>
      </c>
      <c r="AM151" s="59">
        <f>-SUMPRODUCT(V_Liegensch[Steuerwert],V_Liegensch[Liegenschaftssteuer])</f>
        <v>-828.84261643734828</v>
      </c>
      <c r="AN151" s="59">
        <f>-SUMPRODUCT(V_Liegensch[Steuerwert],V_Liegensch[Liegenschaftssteuer])</f>
        <v>-828.84261643734828</v>
      </c>
      <c r="AO151" s="59">
        <f>-SUMPRODUCT(V_Liegensch[Steuerwert],V_Liegensch[Liegenschaftssteuer])</f>
        <v>-828.84261643734828</v>
      </c>
      <c r="AP151" s="59">
        <f>-SUMPRODUCT(V_Liegensch[Steuerwert],V_Liegensch[Liegenschaftssteuer])</f>
        <v>-828.84261643734828</v>
      </c>
      <c r="AQ151" s="59">
        <f>-SUMPRODUCT(V_Liegensch[Steuerwert],V_Liegensch[Liegenschaftssteuer])</f>
        <v>-828.84261643734828</v>
      </c>
      <c r="AR151" s="59">
        <f>-SUMPRODUCT(V_Liegensch[Steuerwert],V_Liegensch[Liegenschaftssteuer])</f>
        <v>-828.84261643734828</v>
      </c>
      <c r="AS151" s="59">
        <f>-SUMPRODUCT(V_Liegensch[Steuerwert],V_Liegensch[Liegenschaftssteuer])</f>
        <v>-828.84261643734828</v>
      </c>
      <c r="AT151" s="59">
        <f>-SUMPRODUCT(V_Liegensch[Steuerwert],V_Liegensch[Liegenschaftssteuer])</f>
        <v>-828.84261643734828</v>
      </c>
      <c r="AU151" s="59">
        <f>-SUMPRODUCT(V_Liegensch[Steuerwert],V_Liegensch[Liegenschaftssteuer])</f>
        <v>-828.84261643734828</v>
      </c>
      <c r="AV151" s="59">
        <f>-SUMPRODUCT(V_Liegensch[Steuerwert],V_Liegensch[Liegenschaftssteuer])</f>
        <v>-828.84261643734828</v>
      </c>
      <c r="AW151" s="59">
        <f>-SUMPRODUCT(V_Liegensch[Steuerwert],V_Liegensch[Liegenschaftssteuer])</f>
        <v>-828.84261643734828</v>
      </c>
      <c r="AX151" s="59">
        <f>-SUMPRODUCT(V_Liegensch[Steuerwert],V_Liegensch[Liegenschaftssteuer])</f>
        <v>-828.84261643734828</v>
      </c>
      <c r="AY151" s="59">
        <f>-SUMPRODUCT(V_Liegensch[Steuerwert],V_Liegensch[Liegenschaftssteuer])</f>
        <v>-828.84261643734828</v>
      </c>
      <c r="AZ151" s="59">
        <f>-SUMPRODUCT(V_Liegensch[Steuerwert],V_Liegensch[Liegenschaftssteuer])</f>
        <v>-828.84261643734828</v>
      </c>
      <c r="BA151" s="59">
        <f>-SUMPRODUCT(V_Liegensch[Steuerwert],V_Liegensch[Liegenschaftssteuer])</f>
        <v>-828.84261643734828</v>
      </c>
      <c r="CD151" s="5" t="e">
        <f t="shared" ca="1" si="172"/>
        <v>#REF!</v>
      </c>
      <c r="CE151" s="5" t="e">
        <f t="shared" ca="1" si="173"/>
        <v>#REF!</v>
      </c>
      <c r="CF151" s="5" t="e">
        <f t="shared" ca="1" si="174"/>
        <v>#REF!</v>
      </c>
      <c r="CG151" s="5"/>
    </row>
    <row r="152" spans="1:85" x14ac:dyDescent="0.25">
      <c r="A152" s="57" t="s">
        <v>28</v>
      </c>
      <c r="B152" s="57"/>
      <c r="C152" s="53"/>
      <c r="D152" s="54"/>
      <c r="E152" s="63"/>
      <c r="F152" s="59" cm="1">
        <f t="array" ref="F152">-KapitalAuszSteuer(F147,Ziv)</f>
        <v>-1659.8461475000004</v>
      </c>
      <c r="G152" s="59" cm="1">
        <f t="array" ref="G152">-KapitalAuszSteuer(G147,Ziv)</f>
        <v>-1403.0231867975001</v>
      </c>
      <c r="H152" s="59" cm="1">
        <f t="array" ref="H152">-KapitalAuszSteuer(H147,Ziv)</f>
        <v>-1461.173730652632</v>
      </c>
      <c r="I152" s="59" cm="1">
        <f t="array" ref="I152">-KapitalAuszSteuer(I147,Ziv)</f>
        <v>-1208.1416208422188</v>
      </c>
      <c r="J152" s="59" cm="1">
        <f t="array" ref="J152">-KapitalAuszSteuer(J147,Ziv)</f>
        <v>-6549.61625</v>
      </c>
      <c r="K152" s="59" cm="1">
        <f t="array" ref="K152">-KapitalAuszSteuer(K147,Ziv)</f>
        <v>-6549.61625</v>
      </c>
      <c r="L152" s="59" cm="1">
        <f t="array" ref="L152">-KapitalAuszSteuer(L147,Ziv)</f>
        <v>-1203.2999563531753</v>
      </c>
      <c r="M152" s="59" cm="1">
        <f t="array" ref="M152">-KapitalAuszSteuer(M147,Ziv)</f>
        <v>-966.89466946800007</v>
      </c>
      <c r="N152" s="59" cm="1">
        <f t="array" ref="N152">-KapitalAuszSteuer(N147,Ziv)</f>
        <v>-946.58323082054994</v>
      </c>
      <c r="O152" s="59" cm="1">
        <f t="array" ref="O152">-KapitalAuszSteuer(O147,Ziv)</f>
        <v>0</v>
      </c>
      <c r="P152" s="59" cm="1">
        <f t="array" ref="P152">-KapitalAuszSteuer(P147,Ziv)</f>
        <v>0</v>
      </c>
      <c r="Q152" s="59" cm="1">
        <f t="array" ref="Q152">-KapitalAuszSteuer(Q147,Ziv)</f>
        <v>0</v>
      </c>
      <c r="R152" s="59" cm="1">
        <f t="array" ref="R152">-KapitalAuszSteuer(R147,Ziv)</f>
        <v>0</v>
      </c>
      <c r="S152" s="59" cm="1">
        <f t="array" ref="S152">-KapitalAuszSteuer(S147,Ziv)</f>
        <v>0</v>
      </c>
      <c r="T152" s="59" cm="1">
        <f t="array" ref="T152">-KapitalAuszSteuer(T147,Ziv)</f>
        <v>0</v>
      </c>
      <c r="U152" s="59" cm="1">
        <f t="array" ref="U152">-KapitalAuszSteuer(U147,Ziv)</f>
        <v>0</v>
      </c>
      <c r="V152" s="59" cm="1">
        <f t="array" ref="V152">-KapitalAuszSteuer(V147,Ziv)</f>
        <v>0</v>
      </c>
      <c r="W152" s="59" cm="1">
        <f t="array" ref="W152">-KapitalAuszSteuer(W147,Ziv)</f>
        <v>0</v>
      </c>
      <c r="X152" s="59" cm="1">
        <f t="array" ref="X152">-KapitalAuszSteuer(X147,Ziv)</f>
        <v>0</v>
      </c>
      <c r="Y152" s="59" cm="1">
        <f t="array" ref="Y152">-KapitalAuszSteuer(Y147,Ziv)</f>
        <v>0</v>
      </c>
      <c r="Z152" s="59" cm="1">
        <f t="array" ref="Z152">-KapitalAuszSteuer(Z147,Ziv)</f>
        <v>0</v>
      </c>
      <c r="AA152" s="59" cm="1">
        <f t="array" ref="AA152">-KapitalAuszSteuer(AA147,Ziv)</f>
        <v>0</v>
      </c>
      <c r="AB152" s="59" cm="1">
        <f t="array" ref="AB152">-KapitalAuszSteuer(AB147,Ziv)</f>
        <v>0</v>
      </c>
      <c r="AC152" s="59" cm="1">
        <f t="array" ref="AC152">-KapitalAuszSteuer(AC147,Ziv)</f>
        <v>0</v>
      </c>
      <c r="AD152" s="59" cm="1">
        <f t="array" ref="AD152">-KapitalAuszSteuer(AD147,Ziv)</f>
        <v>0</v>
      </c>
      <c r="AE152" s="59" cm="1">
        <f t="array" ref="AE152">-KapitalAuszSteuer(AE147,Ziv)</f>
        <v>0</v>
      </c>
      <c r="AF152" s="59" cm="1">
        <f t="array" ref="AF152">-KapitalAuszSteuer(AF147,Ziv)</f>
        <v>0</v>
      </c>
      <c r="AG152" s="59" cm="1">
        <f t="array" ref="AG152">-KapitalAuszSteuer(AG147,Ziv)</f>
        <v>0</v>
      </c>
      <c r="AH152" s="59" cm="1">
        <f t="array" ref="AH152">-KapitalAuszSteuer(AH147,Ziv)</f>
        <v>0</v>
      </c>
      <c r="AI152" s="59" cm="1">
        <f t="array" ref="AI152">-KapitalAuszSteuer(AI147,Ziv)</f>
        <v>0</v>
      </c>
      <c r="AJ152" s="59" cm="1">
        <f t="array" ref="AJ152">-KapitalAuszSteuer(AJ147,Ziv)</f>
        <v>0</v>
      </c>
      <c r="AK152" s="59" cm="1">
        <f t="array" ref="AK152">-KapitalAuszSteuer(AK147,Ziv)</f>
        <v>0</v>
      </c>
      <c r="AL152" s="59" cm="1">
        <f t="array" ref="AL152">-KapitalAuszSteuer(AL147,Ziv)</f>
        <v>0</v>
      </c>
      <c r="AM152" s="59" cm="1">
        <f t="array" ref="AM152">-KapitalAuszSteuer(AM147,Ziv)</f>
        <v>0</v>
      </c>
      <c r="AN152" s="59" cm="1">
        <f t="array" ref="AN152">-KapitalAuszSteuer(AN147,Ziv)</f>
        <v>0</v>
      </c>
      <c r="AO152" s="59" cm="1">
        <f t="array" ref="AO152">-KapitalAuszSteuer(AO147,Ziv)</f>
        <v>0</v>
      </c>
      <c r="AP152" s="59" cm="1">
        <f t="array" ref="AP152">-KapitalAuszSteuer(AP147,Ziv)</f>
        <v>0</v>
      </c>
      <c r="AQ152" s="59" cm="1">
        <f t="array" ref="AQ152">-KapitalAuszSteuer(AQ147,Ziv)</f>
        <v>0</v>
      </c>
      <c r="AR152" s="59" cm="1">
        <f t="array" ref="AR152">-KapitalAuszSteuer(AR147,Ziv)</f>
        <v>0</v>
      </c>
      <c r="AS152" s="59" cm="1">
        <f t="array" ref="AS152">-KapitalAuszSteuer(AS147,Ziv)</f>
        <v>0</v>
      </c>
      <c r="AT152" s="59" cm="1">
        <f t="array" ref="AT152">-KapitalAuszSteuer(AT147,Ziv)</f>
        <v>0</v>
      </c>
      <c r="AU152" s="59" cm="1">
        <f t="array" ref="AU152">-KapitalAuszSteuer(AU147,Ziv)</f>
        <v>0</v>
      </c>
      <c r="AV152" s="59" cm="1">
        <f t="array" ref="AV152">-KapitalAuszSteuer(AV147,Ziv)</f>
        <v>0</v>
      </c>
      <c r="AW152" s="59" cm="1">
        <f t="array" ref="AW152">-KapitalAuszSteuer(AW147,Ziv)</f>
        <v>0</v>
      </c>
      <c r="AX152" s="59" cm="1">
        <f t="array" ref="AX152">-KapitalAuszSteuer(AX147,Ziv)</f>
        <v>0</v>
      </c>
      <c r="AY152" s="59" cm="1">
        <f t="array" ref="AY152">-KapitalAuszSteuer(AY147,Ziv)</f>
        <v>0</v>
      </c>
      <c r="AZ152" s="59" cm="1">
        <f t="array" ref="AZ152">-KapitalAuszSteuer(AZ147,Ziv)</f>
        <v>0</v>
      </c>
      <c r="BA152" s="59" cm="1">
        <f t="array" ref="BA152">-KapitalAuszSteuer(BA147,Ziv)</f>
        <v>0</v>
      </c>
      <c r="CD152" s="5" t="e">
        <f t="shared" ca="1" si="172"/>
        <v>#REF!</v>
      </c>
      <c r="CE152" s="5" t="e">
        <f t="shared" ca="1" si="173"/>
        <v>#REF!</v>
      </c>
      <c r="CF152" s="5" t="e">
        <f t="shared" ca="1" si="174"/>
        <v>#REF!</v>
      </c>
      <c r="CG152" s="5"/>
    </row>
    <row r="153" spans="1:85" hidden="1" x14ac:dyDescent="0.25">
      <c r="A153" s="57"/>
      <c r="B153" s="57"/>
      <c r="C153" s="53"/>
      <c r="D153" s="54"/>
      <c r="E153" s="63"/>
      <c r="F153" s="59"/>
      <c r="G153" s="59"/>
      <c r="H153" s="59"/>
      <c r="I153" s="59"/>
      <c r="J153" s="59"/>
      <c r="K153" s="59"/>
      <c r="L153" s="59"/>
      <c r="M153" s="59"/>
      <c r="N153" s="59"/>
      <c r="O153" s="59"/>
      <c r="P153" s="59"/>
      <c r="Q153" s="59"/>
      <c r="R153" s="59"/>
      <c r="S153" s="59"/>
      <c r="T153" s="59"/>
      <c r="U153" s="59"/>
      <c r="V153" s="59"/>
      <c r="W153" s="59"/>
      <c r="X153" s="59"/>
      <c r="Y153" s="59"/>
      <c r="Z153" s="59"/>
      <c r="AA153" s="59"/>
      <c r="AB153" s="59"/>
      <c r="AC153" s="59"/>
      <c r="AD153" s="59"/>
      <c r="AE153" s="59"/>
      <c r="AF153" s="59"/>
      <c r="AG153" s="59"/>
      <c r="AH153" s="59"/>
      <c r="AI153" s="59"/>
      <c r="AJ153" s="59"/>
      <c r="AK153" s="59"/>
      <c r="AL153" s="59"/>
      <c r="AM153" s="59"/>
      <c r="AN153" s="59"/>
      <c r="AO153" s="59"/>
      <c r="AP153" s="59"/>
      <c r="AQ153" s="59"/>
      <c r="AR153" s="59"/>
      <c r="AS153" s="59"/>
      <c r="AT153" s="59"/>
      <c r="AU153" s="59"/>
      <c r="AV153" s="59"/>
      <c r="AW153" s="59"/>
      <c r="AX153" s="59"/>
      <c r="AY153" s="59"/>
      <c r="AZ153" s="59"/>
      <c r="BA153" s="59"/>
      <c r="CD153" s="5" t="e">
        <f t="shared" ca="1" si="172"/>
        <v>#REF!</v>
      </c>
      <c r="CE153" s="5" t="e">
        <f t="shared" ca="1" si="173"/>
        <v>#REF!</v>
      </c>
      <c r="CF153" s="5" t="e">
        <f t="shared" ca="1" si="174"/>
        <v>#REF!</v>
      </c>
      <c r="CG153" s="5"/>
    </row>
    <row r="154" spans="1:85" hidden="1" x14ac:dyDescent="0.25">
      <c r="A154" s="57"/>
      <c r="B154" s="57"/>
      <c r="C154" s="53"/>
      <c r="D154" s="54"/>
      <c r="E154" s="63"/>
      <c r="F154" s="59"/>
      <c r="G154" s="59"/>
      <c r="H154" s="59"/>
      <c r="I154" s="59"/>
      <c r="J154" s="59"/>
      <c r="K154" s="59"/>
      <c r="L154" s="59"/>
      <c r="M154" s="59"/>
      <c r="N154" s="59"/>
      <c r="O154" s="59"/>
      <c r="P154" s="59"/>
      <c r="Q154" s="59"/>
      <c r="R154" s="59"/>
      <c r="S154" s="59"/>
      <c r="T154" s="59"/>
      <c r="U154" s="59"/>
      <c r="V154" s="59"/>
      <c r="W154" s="59"/>
      <c r="X154" s="59"/>
      <c r="Y154" s="59"/>
      <c r="Z154" s="59"/>
      <c r="AA154" s="59"/>
      <c r="AB154" s="59"/>
      <c r="AC154" s="59"/>
      <c r="AD154" s="59"/>
      <c r="AE154" s="59"/>
      <c r="AF154" s="59"/>
      <c r="AG154" s="59"/>
      <c r="AH154" s="59"/>
      <c r="AI154" s="59"/>
      <c r="AJ154" s="59"/>
      <c r="AK154" s="59"/>
      <c r="AL154" s="59"/>
      <c r="AM154" s="59"/>
      <c r="AN154" s="59"/>
      <c r="AO154" s="59"/>
      <c r="AP154" s="59"/>
      <c r="AQ154" s="59"/>
      <c r="AR154" s="59"/>
      <c r="AS154" s="59"/>
      <c r="AT154" s="59"/>
      <c r="AU154" s="59"/>
      <c r="AV154" s="59"/>
      <c r="AW154" s="59"/>
      <c r="AX154" s="59"/>
      <c r="AY154" s="59"/>
      <c r="AZ154" s="59"/>
      <c r="BA154" s="59"/>
      <c r="CD154" s="5" t="e">
        <f t="shared" ca="1" si="172"/>
        <v>#REF!</v>
      </c>
      <c r="CE154" s="5" t="e">
        <f t="shared" ca="1" si="173"/>
        <v>#REF!</v>
      </c>
      <c r="CF154" s="5" t="e">
        <f t="shared" ca="1" si="174"/>
        <v>#REF!</v>
      </c>
    </row>
    <row r="155" spans="1:85" hidden="1" x14ac:dyDescent="0.25">
      <c r="A155" s="57"/>
      <c r="B155" s="57"/>
      <c r="C155" s="53"/>
      <c r="D155" s="54"/>
      <c r="E155" s="63"/>
      <c r="F155" s="59"/>
      <c r="G155" s="59"/>
      <c r="H155" s="59"/>
      <c r="I155" s="59"/>
      <c r="J155" s="59"/>
      <c r="K155" s="59"/>
      <c r="L155" s="59"/>
      <c r="M155" s="59"/>
      <c r="N155" s="59"/>
      <c r="O155" s="59"/>
      <c r="P155" s="59"/>
      <c r="Q155" s="59"/>
      <c r="R155" s="59"/>
      <c r="S155" s="59"/>
      <c r="T155" s="59"/>
      <c r="U155" s="59"/>
      <c r="V155" s="59"/>
      <c r="W155" s="59"/>
      <c r="X155" s="59"/>
      <c r="Y155" s="59"/>
      <c r="Z155" s="59"/>
      <c r="AA155" s="59"/>
      <c r="AB155" s="59"/>
      <c r="AC155" s="59"/>
      <c r="AD155" s="59"/>
      <c r="AE155" s="59"/>
      <c r="AF155" s="59"/>
      <c r="AG155" s="59"/>
      <c r="AH155" s="59"/>
      <c r="AI155" s="59"/>
      <c r="AJ155" s="59"/>
      <c r="AK155" s="59"/>
      <c r="AL155" s="59"/>
      <c r="AM155" s="59"/>
      <c r="AN155" s="59"/>
      <c r="AO155" s="59"/>
      <c r="AP155" s="59"/>
      <c r="AQ155" s="59"/>
      <c r="AR155" s="59"/>
      <c r="AS155" s="59"/>
      <c r="AT155" s="59"/>
      <c r="AU155" s="59"/>
      <c r="AV155" s="59"/>
      <c r="AW155" s="59"/>
      <c r="AX155" s="59"/>
      <c r="AY155" s="59"/>
      <c r="AZ155" s="59"/>
      <c r="BA155" s="59"/>
    </row>
    <row r="156" spans="1:85" hidden="1" x14ac:dyDescent="0.25">
      <c r="A156" s="57"/>
      <c r="B156" s="57"/>
      <c r="C156" s="53"/>
      <c r="D156" s="54"/>
      <c r="E156" s="63"/>
      <c r="F156" s="59"/>
      <c r="G156" s="59"/>
      <c r="H156" s="59"/>
      <c r="I156" s="59"/>
      <c r="J156" s="59"/>
      <c r="K156" s="59"/>
      <c r="L156" s="59"/>
      <c r="M156" s="59"/>
      <c r="N156" s="59"/>
      <c r="O156" s="59"/>
      <c r="P156" s="59"/>
      <c r="Q156" s="59"/>
      <c r="R156" s="59"/>
      <c r="S156" s="59"/>
      <c r="T156" s="59"/>
      <c r="U156" s="59"/>
      <c r="V156" s="59"/>
      <c r="W156" s="59"/>
      <c r="X156" s="59"/>
      <c r="Y156" s="59"/>
      <c r="Z156" s="59"/>
      <c r="AA156" s="59"/>
      <c r="AB156" s="59"/>
      <c r="AC156" s="59"/>
      <c r="AD156" s="59"/>
      <c r="AE156" s="59"/>
      <c r="AF156" s="59"/>
      <c r="AG156" s="59"/>
      <c r="AH156" s="59"/>
      <c r="AI156" s="59"/>
      <c r="AJ156" s="59"/>
      <c r="AK156" s="59"/>
      <c r="AL156" s="59"/>
      <c r="AM156" s="59"/>
      <c r="AN156" s="59"/>
      <c r="AO156" s="59"/>
      <c r="AP156" s="59"/>
      <c r="AQ156" s="59"/>
      <c r="AR156" s="59"/>
      <c r="AS156" s="59"/>
      <c r="AT156" s="59"/>
      <c r="AU156" s="59"/>
      <c r="AV156" s="59"/>
      <c r="AW156" s="59"/>
      <c r="AX156" s="59"/>
      <c r="AY156" s="59"/>
      <c r="AZ156" s="59"/>
      <c r="BA156" s="59"/>
    </row>
    <row r="157" spans="1:85" hidden="1" x14ac:dyDescent="0.25">
      <c r="A157" s="57"/>
      <c r="B157" s="57"/>
      <c r="C157" s="53"/>
      <c r="D157" s="54"/>
      <c r="E157" s="63"/>
      <c r="F157" s="59"/>
      <c r="G157" s="59"/>
      <c r="H157" s="59"/>
      <c r="I157" s="59"/>
      <c r="J157" s="59"/>
      <c r="K157" s="59"/>
      <c r="L157" s="59"/>
      <c r="M157" s="59"/>
      <c r="N157" s="59"/>
      <c r="O157" s="59"/>
      <c r="P157" s="59"/>
      <c r="Q157" s="59"/>
      <c r="R157" s="59"/>
      <c r="S157" s="59"/>
      <c r="T157" s="59"/>
      <c r="U157" s="59"/>
      <c r="V157" s="59"/>
      <c r="W157" s="59"/>
      <c r="X157" s="59"/>
      <c r="Y157" s="59"/>
      <c r="Z157" s="59"/>
      <c r="AA157" s="59"/>
      <c r="AB157" s="59"/>
      <c r="AC157" s="59"/>
      <c r="AD157" s="59"/>
      <c r="AE157" s="59"/>
      <c r="AF157" s="59"/>
      <c r="AG157" s="59"/>
      <c r="AH157" s="59"/>
      <c r="AI157" s="59"/>
      <c r="AJ157" s="59"/>
      <c r="AK157" s="59"/>
      <c r="AL157" s="59"/>
      <c r="AM157" s="59"/>
      <c r="AN157" s="59"/>
      <c r="AO157" s="59"/>
      <c r="AP157" s="59"/>
      <c r="AQ157" s="59"/>
      <c r="AR157" s="59"/>
      <c r="AS157" s="59"/>
      <c r="AT157" s="59"/>
      <c r="AU157" s="59"/>
      <c r="AV157" s="59"/>
      <c r="AW157" s="59"/>
      <c r="AX157" s="59"/>
      <c r="AY157" s="59"/>
      <c r="AZ157" s="59"/>
      <c r="BA157" s="59"/>
    </row>
    <row r="158" spans="1:85" hidden="1" x14ac:dyDescent="0.25">
      <c r="A158" s="57"/>
      <c r="B158" s="57"/>
      <c r="C158" s="53"/>
      <c r="D158" s="54"/>
      <c r="E158" s="63"/>
      <c r="F158" s="59"/>
      <c r="G158" s="59"/>
      <c r="H158" s="59"/>
      <c r="I158" s="59"/>
      <c r="J158" s="59"/>
      <c r="K158" s="59"/>
      <c r="L158" s="59"/>
      <c r="M158" s="59"/>
      <c r="N158" s="59"/>
      <c r="O158" s="59"/>
      <c r="P158" s="59"/>
      <c r="Q158" s="59"/>
      <c r="R158" s="59"/>
      <c r="S158" s="59"/>
      <c r="T158" s="59"/>
      <c r="U158" s="59"/>
      <c r="V158" s="59"/>
      <c r="W158" s="59"/>
      <c r="X158" s="59"/>
      <c r="Y158" s="59"/>
      <c r="Z158" s="59"/>
      <c r="AA158" s="59"/>
      <c r="AB158" s="59"/>
      <c r="AC158" s="59"/>
      <c r="AD158" s="59"/>
      <c r="AE158" s="59"/>
      <c r="AF158" s="59"/>
      <c r="AG158" s="59"/>
      <c r="AH158" s="59"/>
      <c r="AI158" s="59"/>
      <c r="AJ158" s="59"/>
      <c r="AK158" s="59"/>
      <c r="AL158" s="59"/>
      <c r="AM158" s="59"/>
      <c r="AN158" s="59"/>
      <c r="AO158" s="59"/>
      <c r="AP158" s="59"/>
      <c r="AQ158" s="59"/>
      <c r="AR158" s="59"/>
      <c r="AS158" s="59"/>
      <c r="AT158" s="59"/>
      <c r="AU158" s="59"/>
      <c r="AV158" s="59"/>
      <c r="AW158" s="59"/>
      <c r="AX158" s="59"/>
      <c r="AY158" s="59"/>
      <c r="AZ158" s="59"/>
      <c r="BA158" s="59"/>
    </row>
    <row r="159" spans="1:85" hidden="1" x14ac:dyDescent="0.25">
      <c r="A159" s="57"/>
      <c r="B159" s="57"/>
      <c r="C159" s="53"/>
      <c r="D159" s="54"/>
      <c r="E159" s="63"/>
      <c r="F159" s="59"/>
      <c r="G159" s="59"/>
      <c r="H159" s="59"/>
      <c r="I159" s="59"/>
      <c r="J159" s="59"/>
      <c r="K159" s="59"/>
      <c r="L159" s="59"/>
      <c r="M159" s="59"/>
      <c r="N159" s="59"/>
      <c r="O159" s="59"/>
      <c r="P159" s="59"/>
      <c r="Q159" s="59"/>
      <c r="R159" s="59"/>
      <c r="S159" s="59"/>
      <c r="T159" s="59"/>
      <c r="U159" s="59"/>
      <c r="V159" s="59"/>
      <c r="W159" s="59"/>
      <c r="X159" s="59"/>
      <c r="Y159" s="59"/>
      <c r="Z159" s="59"/>
      <c r="AA159" s="59"/>
      <c r="AB159" s="59"/>
      <c r="AC159" s="59"/>
      <c r="AD159" s="59"/>
      <c r="AE159" s="59"/>
      <c r="AF159" s="59"/>
      <c r="AG159" s="59"/>
      <c r="AH159" s="59"/>
      <c r="AI159" s="59"/>
      <c r="AJ159" s="59"/>
      <c r="AK159" s="59"/>
      <c r="AL159" s="59"/>
      <c r="AM159" s="59"/>
      <c r="AN159" s="59"/>
      <c r="AO159" s="59"/>
      <c r="AP159" s="59"/>
      <c r="AQ159" s="59"/>
      <c r="AR159" s="59"/>
      <c r="AS159" s="59"/>
      <c r="AT159" s="59"/>
      <c r="AU159" s="59"/>
      <c r="AV159" s="59"/>
      <c r="AW159" s="59"/>
      <c r="AX159" s="59"/>
      <c r="AY159" s="59"/>
      <c r="AZ159" s="59"/>
      <c r="BA159" s="59"/>
    </row>
    <row r="160" spans="1:85" hidden="1" x14ac:dyDescent="0.25">
      <c r="A160" s="57"/>
      <c r="B160" s="57"/>
      <c r="C160" s="53"/>
      <c r="D160" s="54"/>
      <c r="E160" s="63"/>
      <c r="F160" s="59"/>
      <c r="G160" s="59"/>
      <c r="H160" s="59"/>
      <c r="I160" s="59"/>
      <c r="J160" s="59"/>
      <c r="K160" s="59"/>
      <c r="L160" s="59"/>
      <c r="M160" s="59"/>
      <c r="N160" s="59"/>
      <c r="O160" s="59"/>
      <c r="P160" s="59"/>
      <c r="Q160" s="59"/>
      <c r="R160" s="59"/>
      <c r="S160" s="59"/>
      <c r="T160" s="59"/>
      <c r="U160" s="59"/>
      <c r="V160" s="59"/>
      <c r="W160" s="59"/>
      <c r="X160" s="59"/>
      <c r="Y160" s="59"/>
      <c r="Z160" s="59"/>
      <c r="AA160" s="59"/>
      <c r="AB160" s="59"/>
      <c r="AC160" s="59"/>
      <c r="AD160" s="59"/>
      <c r="AE160" s="59"/>
      <c r="AF160" s="59"/>
      <c r="AG160" s="59"/>
      <c r="AH160" s="59"/>
      <c r="AI160" s="59"/>
      <c r="AJ160" s="59"/>
      <c r="AK160" s="59"/>
      <c r="AL160" s="59"/>
      <c r="AM160" s="59"/>
      <c r="AN160" s="59"/>
      <c r="AO160" s="59"/>
      <c r="AP160" s="59"/>
      <c r="AQ160" s="59"/>
      <c r="AR160" s="59"/>
      <c r="AS160" s="59"/>
      <c r="AT160" s="59"/>
      <c r="AU160" s="59"/>
      <c r="AV160" s="59"/>
      <c r="AW160" s="59"/>
      <c r="AX160" s="59"/>
      <c r="AY160" s="59"/>
      <c r="AZ160" s="59"/>
      <c r="BA160" s="59"/>
    </row>
    <row r="161" spans="1:53" ht="339.75" customHeight="1" x14ac:dyDescent="0.25">
      <c r="A161" s="122" t="s">
        <v>292</v>
      </c>
      <c r="B161" s="57"/>
      <c r="C161" s="53"/>
      <c r="D161" s="54"/>
      <c r="E161" s="63"/>
      <c r="F161" s="121" t="str" cm="1">
        <f t="array" aca="1" ref="F161" ca="1">_xlfn.TEXTJOIN(CHAR(10),TRUE,_xlfn._xlws.FILTER($CF:$CF,($CC:$CC=1)*($BU:$BU=F$3),""))</f>
        <v>Amy - MigrosBank Säule 3a Depot - Bezug
Amy - SLM Säule 3a Konto - Einzahlung Maximalbetrag
Sheldon - Neues Säule 3a Gefäss I - Eröffnung neues Säule 3a Gefäss und Einzahlung Maximalbetrag</v>
      </c>
      <c r="G161" s="121" t="str" cm="1">
        <f t="array" aca="1" ref="G161" ca="1">_xlfn.TEXTJOIN(CHAR(10),TRUE,_xlfn._xlws.FILTER($CF:$CF,($CC:$CC=1)*($BU:$BU=G$3),""))</f>
        <v>Amy - SLM Säule 3a Konto - Einzahlung Maximalbetrag und Bezug
Sheldon - Neues Säule 3a Gefäss I - Einzahlung Maximalbetrag
Sheldon - PostFinance Säule 3a Depot II - Bezug</v>
      </c>
      <c r="H161" s="121" t="str" cm="1">
        <f t="array" aca="1" ref="H161" ca="1">_xlfn.TEXTJOIN(CHAR(10),TRUE,_xlfn._xlws.FILTER($CF:$CF,($CC:$CC=1)*($BU:$BU=H$3),""))</f>
        <v>Amy - Pictet Säule 3a Depot - Einzahlung Maximalbetrag
Sheldon - Neues Säule 3a Gefäss II - Eröffnung neues Säule 3a Gefäss und Einzahlung Maximalbetrag
Sheldon - PostFinance Säule 3a Depot I - Bezug</v>
      </c>
      <c r="I161" s="121" t="str" cm="1">
        <f t="array" aca="1" ref="I161" ca="1">_xlfn.TEXTJOIN(CHAR(10),TRUE,_xlfn._xlws.FILTER($CF:$CF,($CC:$CC=1)*($BU:$BU=I$3),""))</f>
        <v>Amy - MigrosBank Festhypo - Erneuerung Hyporthek
Amy - Pictet Säule 3a Depot - Einzahlung Maximalbetrag und Bezug
Sheldon - Neues Säule 3a Gefäss II - Einzahlung Maximalbetrag
Sheldon - Neues Säule 3a Gefäss I - Bezug</v>
      </c>
      <c r="J161" s="121" t="str" cm="1">
        <f t="array" aca="1" ref="J161" ca="1">_xlfn.TEXTJOIN(CHAR(10),TRUE,_xlfn._xlws.FILTER($CF:$CF,($CC:$CC=1)*($BU:$BU=J$3),""))</f>
        <v>Amy - MigrosBank SARON - Erneuerung Hyporthek
Amy - Pensionskasse McDonalds - Teilpensionierung 20%, Kapitalbezug 135'000
Amy - Neues Säule 3a Gefäss - Einzahlung Maximalbetrag
Sheldon - Neues Säule 3a Gefäss II - Einzahlung Maximalbetrag</v>
      </c>
      <c r="K161" s="121" t="str" cm="1">
        <f t="array" aca="1" ref="K161" ca="1">_xlfn.TEXTJOIN(CHAR(10),TRUE,_xlfn._xlws.FILTER($CF:$CF,($CC:$CC=1)*($BU:$BU=K$3),""))</f>
        <v>Amy - MigrosBank Festhypo II - Erneuerung Hyporthek
Sheldon - PostFinance Festhypo - Erneuerung Hyporthek
Amy - Pensionskasse McDonalds - Pensionierung, Kapitalbezug 135'000
Amy - Neues Säule 3a Gefäss - Einzahlung Maximalbetrag
Sheldon - Neues Säule 3a Gefäss III - Eröffnung neues Säule 3a Gefäss und Einzahlung Maximalbetrag</v>
      </c>
      <c r="L161" s="121" t="str" cm="1">
        <f t="array" aca="1" ref="L161" ca="1">_xlfn.TEXTJOIN(CHAR(10),TRUE,_xlfn._xlws.FILTER($CF:$CF,($CC:$CC=1)*($BU:$BU=L$3),""))</f>
        <v>Amy - Neues Säule 3a Gefäss - Einzahlung Maximalbetrag (20% Erwerbeinkommen
Sheldon - Pensionskasse Caltec - Pensionierung, 100% Rentenbezug
Sheldon - Neues Säule 3a Gefäss III - Bezug
Sheldon - Neues Säule 3a Gefäss II - Einzahlung Maximalbetrag
Sheldon - MigrosBank Säule 3a Konto - Bezug</v>
      </c>
      <c r="M161" s="121" t="str" cm="1">
        <f t="array" aca="1" ref="M161" ca="1">_xlfn.TEXTJOIN(CHAR(10),TRUE,_xlfn._xlws.FILTER($CF:$CF,($CC:$CC=1)*($BU:$BU=M$3),""))</f>
        <v>Amy - Neues Säule 3a Gefäss - Einzahlung Maximalbetrag (20% Erwerbseinkommen) und Bezug</v>
      </c>
      <c r="N161" s="121" t="str" cm="1">
        <f t="array" aca="1" ref="N161" ca="1">_xlfn.TEXTJOIN(CHAR(10),TRUE,_xlfn._xlws.FILTER($CF:$CF,($CC:$CC=1)*($BU:$BU=N$3),""))</f>
        <v>Sheldon - Neues Säule 3a Gefäss II - Bezug</v>
      </c>
      <c r="O161" s="121" t="str" cm="1">
        <f t="array" ref="O161">_xlfn.TEXTJOIN(CHAR(10),TRUE,_xlfn._xlws.FILTER($CF:$CF,($CC:$CC=1)*($BU:$BU=O$3),""))</f>
        <v/>
      </c>
      <c r="P161" s="121" t="str" cm="1">
        <f t="array" ref="P161">_xlfn.TEXTJOIN(CHAR(10),TRUE,_xlfn._xlws.FILTER($CF:$CF,($CC:$CC=1)*($BU:$BU=P$3),""))</f>
        <v/>
      </c>
      <c r="Q161" s="121" t="str" cm="1">
        <f t="array" ref="Q161">_xlfn.TEXTJOIN(CHAR(10),TRUE,_xlfn._xlws.FILTER($CF:$CF,($CC:$CC=1)*($BU:$BU=Q$3),""))</f>
        <v/>
      </c>
      <c r="R161" s="121" t="str" cm="1">
        <f t="array" ref="R161">_xlfn.TEXTJOIN(CHAR(10),TRUE,_xlfn._xlws.FILTER($CF:$CF,($CC:$CC=1)*($BU:$BU=R$3),""))</f>
        <v/>
      </c>
      <c r="S161" s="121" t="str" cm="1">
        <f t="array" ref="S161">_xlfn.TEXTJOIN(CHAR(10),TRUE,_xlfn._xlws.FILTER($CF:$CF,($CC:$CC=1)*($BU:$BU=S$3),""))</f>
        <v/>
      </c>
      <c r="T161" s="121" t="str" cm="1">
        <f t="array" ref="T161">_xlfn.TEXTJOIN(CHAR(10),TRUE,_xlfn._xlws.FILTER($CF:$CF,($CC:$CC=1)*($BU:$BU=T$3),""))</f>
        <v/>
      </c>
      <c r="U161" s="121" t="str" cm="1">
        <f t="array" ref="U161">_xlfn.TEXTJOIN(CHAR(10),TRUE,_xlfn._xlws.FILTER($CF:$CF,($CC:$CC=1)*($BU:$BU=U$3),""))</f>
        <v/>
      </c>
      <c r="V161" s="121" t="str" cm="1">
        <f t="array" ref="V161">_xlfn.TEXTJOIN(CHAR(10),TRUE,_xlfn._xlws.FILTER($CF:$CF,($CC:$CC=1)*($BU:$BU=V$3),""))</f>
        <v/>
      </c>
      <c r="W161" s="121" t="str" cm="1">
        <f t="array" ref="W161">_xlfn.TEXTJOIN(CHAR(10),TRUE,_xlfn._xlws.FILTER($CF:$CF,($CC:$CC=1)*($BU:$BU=W$3),""))</f>
        <v/>
      </c>
      <c r="X161" s="121" t="str" cm="1">
        <f t="array" ref="X161">_xlfn.TEXTJOIN(CHAR(10),TRUE,_xlfn._xlws.FILTER($CF:$CF,($CC:$CC=1)*($BU:$BU=X$3),""))</f>
        <v/>
      </c>
      <c r="Y161" s="121" t="str" cm="1">
        <f t="array" ref="Y161">_xlfn.TEXTJOIN(CHAR(10),TRUE,_xlfn._xlws.FILTER($CF:$CF,($CC:$CC=1)*($BU:$BU=Y$3),""))</f>
        <v/>
      </c>
      <c r="Z161" s="121" t="str" cm="1">
        <f t="array" ref="Z161">_xlfn.TEXTJOIN(CHAR(10),TRUE,_xlfn._xlws.FILTER($CF:$CF,($CC:$CC=1)*($BU:$BU=Z$3),""))</f>
        <v/>
      </c>
      <c r="AA161" s="121" t="str" cm="1">
        <f t="array" ref="AA161">_xlfn.TEXTJOIN(CHAR(10),TRUE,_xlfn._xlws.FILTER($CF:$CF,($CC:$CC=1)*($BU:$BU=AA$3),""))</f>
        <v/>
      </c>
      <c r="AB161" s="121" t="str" cm="1">
        <f t="array" ref="AB161">_xlfn.TEXTJOIN(CHAR(10),TRUE,_xlfn._xlws.FILTER($CF:$CF,($CC:$CC=1)*($BU:$BU=AB$3),""))</f>
        <v/>
      </c>
      <c r="AC161" s="121" t="str" cm="1">
        <f t="array" ref="AC161">_xlfn.TEXTJOIN(CHAR(10),TRUE,_xlfn._xlws.FILTER($CF:$CF,($CC:$CC=1)*($BU:$BU=AC$3),""))</f>
        <v/>
      </c>
      <c r="AD161" s="121" t="str" cm="1">
        <f t="array" ref="AD161">_xlfn.TEXTJOIN(CHAR(10),TRUE,_xlfn._xlws.FILTER($CF:$CF,($CC:$CC=1)*($BU:$BU=AD$3),""))</f>
        <v/>
      </c>
      <c r="AE161" s="121" t="str" cm="1">
        <f t="array" ref="AE161">_xlfn.TEXTJOIN(CHAR(10),TRUE,_xlfn._xlws.FILTER($CF:$CF,($CC:$CC=1)*($BU:$BU=AE$3),""))</f>
        <v/>
      </c>
      <c r="AF161" s="121" t="str" cm="1">
        <f t="array" ref="AF161">_xlfn.TEXTJOIN(CHAR(10),TRUE,_xlfn._xlws.FILTER($CF:$CF,($CC:$CC=1)*($BU:$BU=AF$3),""))</f>
        <v/>
      </c>
      <c r="AG161" s="121" t="str" cm="1">
        <f t="array" ref="AG161">_xlfn.TEXTJOIN(CHAR(10),TRUE,_xlfn._xlws.FILTER($CF:$CF,($CC:$CC=1)*($BU:$BU=AG$3),""))</f>
        <v/>
      </c>
      <c r="AH161" s="121" t="str" cm="1">
        <f t="array" ref="AH161">_xlfn.TEXTJOIN(CHAR(10),TRUE,_xlfn._xlws.FILTER($CF:$CF,($CC:$CC=1)*($BU:$BU=AH$3),""))</f>
        <v/>
      </c>
      <c r="AI161" s="121" t="str" cm="1">
        <f t="array" ref="AI161">_xlfn.TEXTJOIN(CHAR(10),TRUE,_xlfn._xlws.FILTER($CF:$CF,($CC:$CC=1)*($BU:$BU=AI$3),""))</f>
        <v/>
      </c>
      <c r="AJ161" s="121" t="str" cm="1">
        <f t="array" ref="AJ161">_xlfn.TEXTJOIN(CHAR(10),TRUE,_xlfn._xlws.FILTER($CF:$CF,($CC:$CC=1)*($BU:$BU=AJ$3),""))</f>
        <v/>
      </c>
      <c r="AK161" s="121" t="str" cm="1">
        <f t="array" ref="AK161">_xlfn.TEXTJOIN(CHAR(10),TRUE,_xlfn._xlws.FILTER($CF:$CF,($CC:$CC=1)*($BU:$BU=AK$3),""))</f>
        <v/>
      </c>
      <c r="AL161" s="121" t="str" cm="1">
        <f t="array" ref="AL161">_xlfn.TEXTJOIN(CHAR(10),TRUE,_xlfn._xlws.FILTER($CF:$CF,($CC:$CC=1)*($BU:$BU=AL$3),""))</f>
        <v/>
      </c>
      <c r="AM161" s="121" t="str" cm="1">
        <f t="array" ref="AM161">_xlfn.TEXTJOIN(CHAR(10),TRUE,_xlfn._xlws.FILTER($CF:$CF,($CC:$CC=1)*($BU:$BU=AM$3),""))</f>
        <v/>
      </c>
      <c r="AN161" s="121" t="str" cm="1">
        <f t="array" ref="AN161">_xlfn.TEXTJOIN(CHAR(10),TRUE,_xlfn._xlws.FILTER($CF:$CF,($CC:$CC=1)*($BU:$BU=AN$3),""))</f>
        <v/>
      </c>
      <c r="AO161" s="121" t="str" cm="1">
        <f t="array" ref="AO161">_xlfn.TEXTJOIN(CHAR(10),TRUE,_xlfn._xlws.FILTER($CF:$CF,($CC:$CC=1)*($BU:$BU=AO$3),""))</f>
        <v/>
      </c>
      <c r="AP161" s="121" t="str" cm="1">
        <f t="array" ref="AP161">_xlfn.TEXTJOIN(CHAR(10),TRUE,_xlfn._xlws.FILTER($CF:$CF,($CC:$CC=1)*($BU:$BU=AP$3),""))</f>
        <v/>
      </c>
      <c r="AQ161" s="121" t="str" cm="1">
        <f t="array" ref="AQ161">_xlfn.TEXTJOIN(CHAR(10),TRUE,_xlfn._xlws.FILTER($CF:$CF,($CC:$CC=1)*($BU:$BU=AQ$3),""))</f>
        <v/>
      </c>
      <c r="AR161" s="121" t="str" cm="1">
        <f t="array" ref="AR161">_xlfn.TEXTJOIN(CHAR(10),TRUE,_xlfn._xlws.FILTER($CF:$CF,($CC:$CC=1)*($BU:$BU=AR$3),""))</f>
        <v/>
      </c>
      <c r="AS161" s="121" t="str" cm="1">
        <f t="array" ref="AS161">_xlfn.TEXTJOIN(CHAR(10),TRUE,_xlfn._xlws.FILTER($CF:$CF,($CC:$CC=1)*($BU:$BU=AS$3),""))</f>
        <v/>
      </c>
      <c r="AT161" s="121" t="str" cm="1">
        <f t="array" ref="AT161">_xlfn.TEXTJOIN(CHAR(10),TRUE,_xlfn._xlws.FILTER($CF:$CF,($CC:$CC=1)*($BU:$BU=AT$3),""))</f>
        <v/>
      </c>
      <c r="AU161" s="121" t="str" cm="1">
        <f t="array" ref="AU161">_xlfn.TEXTJOIN(CHAR(10),TRUE,_xlfn._xlws.FILTER($CF:$CF,($CC:$CC=1)*($BU:$BU=AU$3),""))</f>
        <v/>
      </c>
      <c r="AV161" s="121" t="str" cm="1">
        <f t="array" ref="AV161">_xlfn.TEXTJOIN(CHAR(10),TRUE,_xlfn._xlws.FILTER($CF:$CF,($CC:$CC=1)*($BU:$BU=AV$3),""))</f>
        <v/>
      </c>
      <c r="AW161" s="121" t="str" cm="1">
        <f t="array" ref="AW161">_xlfn.TEXTJOIN(CHAR(10),TRUE,_xlfn._xlws.FILTER($CF:$CF,($CC:$CC=1)*($BU:$BU=AW$3),""))</f>
        <v/>
      </c>
      <c r="AX161" s="121" t="str" cm="1">
        <f t="array" ref="AX161">_xlfn.TEXTJOIN(CHAR(10),TRUE,_xlfn._xlws.FILTER($CF:$CF,($CC:$CC=1)*($BU:$BU=AX$3),""))</f>
        <v/>
      </c>
      <c r="AY161" s="121" t="str" cm="1">
        <f t="array" ref="AY161">_xlfn.TEXTJOIN(CHAR(10),TRUE,_xlfn._xlws.FILTER($CF:$CF,($CC:$CC=1)*($BU:$BU=AY$3),""))</f>
        <v/>
      </c>
      <c r="AZ161" s="121" t="str" cm="1">
        <f t="array" ref="AZ161">_xlfn.TEXTJOIN(CHAR(10),TRUE,_xlfn._xlws.FILTER($CF:$CF,($CC:$CC=1)*($BU:$BU=AZ$3),""))</f>
        <v/>
      </c>
      <c r="BA161" s="121" t="str" cm="1">
        <f t="array" ref="BA161">_xlfn.TEXTJOIN(CHAR(10),TRUE,_xlfn._xlws.FILTER($CF:$CF,($CC:$CC=1)*($BU:$BU=BA$3),""))</f>
        <v/>
      </c>
    </row>
    <row r="162" spans="1:53" hidden="1" x14ac:dyDescent="0.25">
      <c r="A162" s="34"/>
      <c r="B162" s="34"/>
      <c r="C162" s="34"/>
      <c r="D162" s="34"/>
      <c r="E162" s="34"/>
      <c r="F162" s="60"/>
      <c r="G162" s="60"/>
      <c r="H162" s="60"/>
      <c r="I162" s="60"/>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row>
    <row r="163" spans="1:53" hidden="1" x14ac:dyDescent="0.25">
      <c r="A163" s="34"/>
      <c r="B163" s="34"/>
      <c r="C163" s="34"/>
      <c r="D163" s="34"/>
      <c r="E163" s="34"/>
      <c r="F163" s="60"/>
      <c r="G163" s="60"/>
      <c r="H163" s="60"/>
      <c r="I163" s="60"/>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row>
    <row r="164" spans="1:53" hidden="1" x14ac:dyDescent="0.25">
      <c r="A164" s="34"/>
      <c r="B164" s="34"/>
      <c r="C164" s="34"/>
      <c r="D164" s="34"/>
      <c r="E164" s="34"/>
      <c r="F164" s="60"/>
      <c r="G164" s="60"/>
      <c r="H164" s="60"/>
      <c r="I164" s="60"/>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row>
    <row r="165" spans="1:53" hidden="1" x14ac:dyDescent="0.25">
      <c r="A165" s="34"/>
      <c r="B165" s="34"/>
      <c r="C165" s="34"/>
      <c r="D165" s="34"/>
      <c r="E165" s="34"/>
      <c r="F165" s="60"/>
      <c r="G165" s="60"/>
      <c r="H165" s="60"/>
      <c r="I165" s="60"/>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row>
    <row r="166" spans="1:53" hidden="1" x14ac:dyDescent="0.25">
      <c r="A166" s="34"/>
      <c r="B166" s="34"/>
      <c r="C166" s="34"/>
      <c r="D166" s="34"/>
      <c r="E166" s="34"/>
      <c r="F166" s="60"/>
      <c r="G166" s="60"/>
      <c r="H166" s="60"/>
      <c r="I166" s="60"/>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row>
    <row r="167" spans="1:53" hidden="1" x14ac:dyDescent="0.25">
      <c r="A167" s="34"/>
      <c r="B167" s="34"/>
      <c r="C167" s="34"/>
      <c r="D167" s="34"/>
      <c r="E167" s="34"/>
      <c r="F167" s="60"/>
      <c r="G167" s="60"/>
      <c r="H167" s="120"/>
      <c r="I167" s="60"/>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row>
    <row r="168" spans="1:53" hidden="1" x14ac:dyDescent="0.25">
      <c r="A168" s="34"/>
      <c r="B168" s="34"/>
      <c r="C168" s="34"/>
      <c r="D168" s="34"/>
      <c r="E168" s="34"/>
      <c r="F168" s="60"/>
      <c r="G168" s="60"/>
      <c r="H168" s="60"/>
      <c r="I168" s="60"/>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row>
    <row r="169" spans="1:53" hidden="1" x14ac:dyDescent="0.25">
      <c r="A169" s="34"/>
      <c r="B169" s="34"/>
      <c r="C169" s="34"/>
      <c r="D169" s="34"/>
      <c r="E169" s="34"/>
      <c r="F169" s="60"/>
      <c r="G169" s="60"/>
      <c r="H169" s="60"/>
      <c r="I169" s="60"/>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row>
    <row r="170" spans="1:53" hidden="1" x14ac:dyDescent="0.25">
      <c r="A170" s="34"/>
      <c r="B170" s="34"/>
      <c r="C170" s="34"/>
      <c r="D170" s="34"/>
      <c r="E170" s="34"/>
      <c r="F170" s="60"/>
      <c r="G170" s="60"/>
      <c r="H170" s="60"/>
      <c r="I170" s="60"/>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row>
  </sheetData>
  <autoFilter ref="BS1:CF154" xr:uid="{A53A02A3-DB92-4035-940B-504FA75FC4D1}"/>
  <conditionalFormatting sqref="F3:BA200">
    <cfRule type="expression" dxfId="2" priority="11">
      <formula>ISEVEN(COLUMN(F3))</formula>
    </cfRule>
  </conditionalFormatting>
  <pageMargins left="0.23622047244094491" right="0.23622047244094491" top="0.74803149606299213" bottom="0.74803149606299213" header="0.31496062992125984" footer="0.31496062992125984"/>
  <pageSetup paperSize="9" orientation="portrait" r:id="rId1"/>
  <customProperties>
    <customPr name="EpmWorksheetKeyString_GUID" r:id="rId2"/>
  </customProperties>
  <ignoredErrors>
    <ignoredError sqref="K147" formulaRange="1"/>
  </ignoredErrors>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hideEmptyRows">
                <anchor moveWithCells="1" sizeWithCells="1">
                  <from>
                    <xdr:col>63</xdr:col>
                    <xdr:colOff>266700</xdr:colOff>
                    <xdr:row>0</xdr:row>
                    <xdr:rowOff>123825</xdr:rowOff>
                  </from>
                  <to>
                    <xdr:col>65</xdr:col>
                    <xdr:colOff>571500</xdr:colOff>
                    <xdr:row>1</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829FE-0A2D-4E7B-B47F-E66B87F1074F}">
  <sheetPr codeName="Tabelle17"/>
  <dimension ref="A1:CG170"/>
  <sheetViews>
    <sheetView showZeros="0" zoomScale="130" zoomScaleNormal="130" zoomScaleSheetLayoutView="106" workbookViewId="0">
      <pane ySplit="5" topLeftCell="A6" activePane="bottomLeft" state="frozen"/>
      <selection activeCell="B3" sqref="B3"/>
      <selection pane="bottomLeft" activeCell="B3" sqref="B3"/>
    </sheetView>
  </sheetViews>
  <sheetFormatPr baseColWidth="10" defaultRowHeight="15" outlineLevelCol="1" x14ac:dyDescent="0.25"/>
  <cols>
    <col min="1" max="1" width="26.140625" customWidth="1"/>
    <col min="2" max="2" width="17.7109375" hidden="1" customWidth="1" outlineLevel="1"/>
    <col min="3" max="3" width="7.7109375" bestFit="1" customWidth="1" collapsed="1"/>
    <col min="4" max="4" width="5.7109375" bestFit="1" customWidth="1"/>
    <col min="5" max="5" width="6.140625" bestFit="1" customWidth="1"/>
    <col min="6" max="8" width="6" style="44" bestFit="1" customWidth="1"/>
    <col min="9" max="10" width="7.7109375" style="44" bestFit="1" customWidth="1"/>
    <col min="11" max="12" width="9.5703125" style="44" bestFit="1" customWidth="1"/>
    <col min="13" max="19" width="3.7109375" style="44" bestFit="1" customWidth="1"/>
    <col min="20" max="28" width="3.7109375" style="44" hidden="1" customWidth="1" outlineLevel="1"/>
    <col min="29" max="29" width="3.7109375" style="44" bestFit="1" customWidth="1" collapsed="1"/>
    <col min="30" max="44" width="3.7109375" style="44" bestFit="1" customWidth="1"/>
    <col min="45" max="46" width="4.7109375" style="44" customWidth="1"/>
    <col min="47" max="53" width="4.7109375" style="44" hidden="1" customWidth="1" outlineLevel="1"/>
    <col min="54" max="54" width="11.42578125" collapsed="1"/>
    <col min="70" max="70" width="18.85546875" bestFit="1" customWidth="1"/>
    <col min="71" max="72" width="18.85546875" customWidth="1"/>
    <col min="76" max="76" width="20.28515625" bestFit="1" customWidth="1"/>
    <col min="77" max="77" width="17.5703125" style="12" bestFit="1" customWidth="1"/>
    <col min="78" max="78" width="10.7109375" bestFit="1" customWidth="1"/>
    <col min="79" max="79" width="20" bestFit="1" customWidth="1"/>
    <col min="80" max="80" width="58.85546875" bestFit="1" customWidth="1"/>
    <col min="81" max="81" width="17" bestFit="1" customWidth="1"/>
    <col min="83" max="83" width="29.7109375" bestFit="1" customWidth="1"/>
    <col min="84" max="85" width="29.7109375" customWidth="1"/>
  </cols>
  <sheetData>
    <row r="1" spans="1:85" s="5" customFormat="1" ht="30" customHeight="1" x14ac:dyDescent="0.25">
      <c r="A1" s="26" t="str">
        <f>BP1</f>
        <v>Kapitalbezug 230 TCHF von Alterskapital (und Einkauf)</v>
      </c>
      <c r="B1" s="26"/>
      <c r="F1" s="43"/>
      <c r="G1" s="43"/>
      <c r="H1" s="43"/>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O1" s="5" t="s">
        <v>94</v>
      </c>
      <c r="BP1" s="40" t="s">
        <v>318</v>
      </c>
      <c r="BR1"/>
      <c r="BS1" t="s">
        <v>81</v>
      </c>
      <c r="BT1" t="s">
        <v>80</v>
      </c>
      <c r="BU1" t="s">
        <v>79</v>
      </c>
      <c r="BV1" t="s">
        <v>75</v>
      </c>
      <c r="BW1" t="s">
        <v>76</v>
      </c>
      <c r="BX1" t="s">
        <v>77</v>
      </c>
      <c r="BY1" s="12" t="s">
        <v>78</v>
      </c>
      <c r="BZ1" t="s">
        <v>87</v>
      </c>
      <c r="CA1" t="s">
        <v>88</v>
      </c>
      <c r="CB1" s="5" t="s">
        <v>157</v>
      </c>
      <c r="CC1" s="5" t="s">
        <v>239</v>
      </c>
      <c r="CD1" s="5" t="s">
        <v>58</v>
      </c>
      <c r="CE1" s="5" t="s">
        <v>291</v>
      </c>
      <c r="CF1" s="5" t="s">
        <v>293</v>
      </c>
    </row>
    <row r="2" spans="1:85" s="5" customFormat="1" ht="15.75" customHeight="1" x14ac:dyDescent="0.25">
      <c r="A2" s="41" t="s">
        <v>73</v>
      </c>
      <c r="B2" s="41"/>
      <c r="C2" s="42"/>
      <c r="D2" s="42"/>
      <c r="E2" s="42"/>
      <c r="F2" s="43"/>
      <c r="G2" s="43"/>
      <c r="H2" s="43"/>
      <c r="I2" s="43"/>
      <c r="J2" s="43"/>
      <c r="K2" s="43"/>
      <c r="L2" s="43"/>
      <c r="M2" s="43"/>
      <c r="N2" s="43"/>
      <c r="O2" s="43"/>
      <c r="P2" s="43"/>
      <c r="Q2" s="43"/>
      <c r="R2" s="43"/>
      <c r="S2" s="43"/>
      <c r="T2" s="43"/>
      <c r="U2" s="43"/>
      <c r="V2" s="43"/>
      <c r="W2" s="43"/>
      <c r="X2" s="43"/>
      <c r="Y2" s="43"/>
      <c r="Z2" s="43"/>
      <c r="AA2" s="43"/>
      <c r="AB2" s="43"/>
      <c r="AC2" s="43"/>
      <c r="AD2" s="43"/>
      <c r="AE2" s="43"/>
      <c r="AF2" s="43"/>
      <c r="AG2" s="43"/>
      <c r="AH2" s="43"/>
      <c r="AI2" s="43"/>
      <c r="AJ2" s="43"/>
      <c r="AK2" s="43"/>
      <c r="AL2" s="43"/>
      <c r="AM2" s="43"/>
      <c r="AN2" s="43"/>
      <c r="AO2" s="43"/>
      <c r="AP2" s="43"/>
      <c r="AQ2" s="43"/>
      <c r="AR2" s="43"/>
      <c r="AS2" s="43"/>
      <c r="AT2" s="43"/>
      <c r="AU2" s="43"/>
      <c r="AV2" s="43"/>
      <c r="AW2" s="43"/>
      <c r="AX2" s="43"/>
      <c r="AY2" s="43"/>
      <c r="AZ2" s="43"/>
      <c r="BA2" s="43"/>
      <c r="BO2" t="s">
        <v>72</v>
      </c>
      <c r="BP2" s="1">
        <v>2024</v>
      </c>
      <c r="BS2" s="5">
        <f t="shared" ref="BS2:BS65" si="0">COUNTIF(BT:BT,BT2)-1</f>
        <v>0</v>
      </c>
      <c r="BT2" s="5" t="str">
        <f t="shared" ref="BT2:BT65" si="1">BU2&amp;BV2&amp;BW2</f>
        <v>2030E_Erwerb1</v>
      </c>
      <c r="BU2">
        <v>2030</v>
      </c>
      <c r="BV2" t="s">
        <v>74</v>
      </c>
      <c r="BW2">
        <v>1</v>
      </c>
      <c r="BX2">
        <v>2</v>
      </c>
      <c r="BY2" s="12">
        <v>0</v>
      </c>
      <c r="BZ2">
        <f>9/12</f>
        <v>0.75</v>
      </c>
      <c r="CA2"/>
      <c r="CD2" s="5" t="str">
        <f ca="1">INDEX(INDIRECT($BV2&amp;"[Zugehörigkeit Bezeichnung]"),MATCH($BW2,INDIRECT($BV2&amp;"[Id]"),0))</f>
        <v>Sheldon</v>
      </c>
      <c r="CE2" s="5" t="str">
        <f ca="1">INDEX(INDIRECT($BV2&amp;"[Titel]"),MATCH($BW2,INDIRECT($BV2&amp;"[Id]"),0))</f>
        <v>Einkommen aus Erwerbstätigkeit</v>
      </c>
      <c r="CF2" s="5" t="str">
        <f ca="1">_xlfn.TEXTJOIN(" - ",TRUE,CD2,CE2,CB2)</f>
        <v>Sheldon - Einkommen aus Erwerbstätigkeit</v>
      </c>
    </row>
    <row r="3" spans="1:85" ht="27.75" customHeight="1" x14ac:dyDescent="0.25">
      <c r="A3" s="47" t="s">
        <v>79</v>
      </c>
      <c r="B3" s="48"/>
      <c r="C3" s="49"/>
      <c r="D3" s="50"/>
      <c r="E3" s="51" t="s">
        <v>113</v>
      </c>
      <c r="F3" s="51">
        <f>BP2</f>
        <v>2024</v>
      </c>
      <c r="G3" s="51">
        <f>F3+1</f>
        <v>2025</v>
      </c>
      <c r="H3" s="51">
        <f t="shared" ref="H3:V3" si="2">G3+1</f>
        <v>2026</v>
      </c>
      <c r="I3" s="51">
        <f t="shared" si="2"/>
        <v>2027</v>
      </c>
      <c r="J3" s="51">
        <f t="shared" si="2"/>
        <v>2028</v>
      </c>
      <c r="K3" s="51">
        <f t="shared" si="2"/>
        <v>2029</v>
      </c>
      <c r="L3" s="51">
        <f t="shared" si="2"/>
        <v>2030</v>
      </c>
      <c r="M3" s="51">
        <f t="shared" si="2"/>
        <v>2031</v>
      </c>
      <c r="N3" s="51">
        <f t="shared" si="2"/>
        <v>2032</v>
      </c>
      <c r="O3" s="51">
        <f t="shared" si="2"/>
        <v>2033</v>
      </c>
      <c r="P3" s="51">
        <f t="shared" si="2"/>
        <v>2034</v>
      </c>
      <c r="Q3" s="51">
        <f t="shared" si="2"/>
        <v>2035</v>
      </c>
      <c r="R3" s="51">
        <f t="shared" si="2"/>
        <v>2036</v>
      </c>
      <c r="S3" s="51">
        <f t="shared" si="2"/>
        <v>2037</v>
      </c>
      <c r="T3" s="51">
        <f t="shared" si="2"/>
        <v>2038</v>
      </c>
      <c r="U3" s="51">
        <f t="shared" si="2"/>
        <v>2039</v>
      </c>
      <c r="V3" s="51">
        <f t="shared" si="2"/>
        <v>2040</v>
      </c>
      <c r="W3" s="51">
        <f>V3+1</f>
        <v>2041</v>
      </c>
      <c r="X3" s="51">
        <f t="shared" ref="X3:BA3" si="3">W3+1</f>
        <v>2042</v>
      </c>
      <c r="Y3" s="51">
        <f t="shared" si="3"/>
        <v>2043</v>
      </c>
      <c r="Z3" s="51">
        <f t="shared" si="3"/>
        <v>2044</v>
      </c>
      <c r="AA3" s="51">
        <f t="shared" si="3"/>
        <v>2045</v>
      </c>
      <c r="AB3" s="51">
        <f t="shared" si="3"/>
        <v>2046</v>
      </c>
      <c r="AC3" s="51">
        <f t="shared" si="3"/>
        <v>2047</v>
      </c>
      <c r="AD3" s="51">
        <f t="shared" si="3"/>
        <v>2048</v>
      </c>
      <c r="AE3" s="51">
        <f t="shared" si="3"/>
        <v>2049</v>
      </c>
      <c r="AF3" s="51">
        <f t="shared" si="3"/>
        <v>2050</v>
      </c>
      <c r="AG3" s="51">
        <f t="shared" si="3"/>
        <v>2051</v>
      </c>
      <c r="AH3" s="51">
        <f t="shared" si="3"/>
        <v>2052</v>
      </c>
      <c r="AI3" s="51">
        <f t="shared" si="3"/>
        <v>2053</v>
      </c>
      <c r="AJ3" s="51">
        <f t="shared" si="3"/>
        <v>2054</v>
      </c>
      <c r="AK3" s="51">
        <f t="shared" si="3"/>
        <v>2055</v>
      </c>
      <c r="AL3" s="51">
        <f t="shared" si="3"/>
        <v>2056</v>
      </c>
      <c r="AM3" s="51">
        <f t="shared" si="3"/>
        <v>2057</v>
      </c>
      <c r="AN3" s="51">
        <f t="shared" si="3"/>
        <v>2058</v>
      </c>
      <c r="AO3" s="51">
        <f t="shared" si="3"/>
        <v>2059</v>
      </c>
      <c r="AP3" s="51">
        <f t="shared" si="3"/>
        <v>2060</v>
      </c>
      <c r="AQ3" s="51">
        <f t="shared" si="3"/>
        <v>2061</v>
      </c>
      <c r="AR3" s="51">
        <f t="shared" si="3"/>
        <v>2062</v>
      </c>
      <c r="AS3" s="51">
        <f t="shared" si="3"/>
        <v>2063</v>
      </c>
      <c r="AT3" s="51">
        <f t="shared" si="3"/>
        <v>2064</v>
      </c>
      <c r="AU3" s="51">
        <f t="shared" si="3"/>
        <v>2065</v>
      </c>
      <c r="AV3" s="51">
        <f t="shared" si="3"/>
        <v>2066</v>
      </c>
      <c r="AW3" s="51">
        <f t="shared" si="3"/>
        <v>2067</v>
      </c>
      <c r="AX3" s="51">
        <f t="shared" si="3"/>
        <v>2068</v>
      </c>
      <c r="AY3" s="51">
        <f t="shared" si="3"/>
        <v>2069</v>
      </c>
      <c r="AZ3" s="51">
        <f t="shared" si="3"/>
        <v>2070</v>
      </c>
      <c r="BA3" s="51">
        <f t="shared" si="3"/>
        <v>2071</v>
      </c>
      <c r="BO3" s="5" t="s">
        <v>71</v>
      </c>
      <c r="BP3" s="40">
        <v>100000</v>
      </c>
      <c r="BS3" s="5">
        <f t="shared" si="0"/>
        <v>0</v>
      </c>
      <c r="BT3" s="5" t="str">
        <f t="shared" si="1"/>
        <v>2031E_Erwerb1</v>
      </c>
      <c r="BU3">
        <v>2031</v>
      </c>
      <c r="BV3" t="s">
        <v>74</v>
      </c>
      <c r="BW3">
        <v>1</v>
      </c>
      <c r="BX3">
        <v>1</v>
      </c>
      <c r="BY3" s="12">
        <v>0</v>
      </c>
      <c r="BZ3">
        <f>+(0.8*4/12+1*8/12)</f>
        <v>0.93333333333333335</v>
      </c>
      <c r="CD3" s="5" t="str">
        <f t="shared" ref="CD3:CD67" ca="1" si="4">INDEX(INDIRECT($BV3&amp;"[Zugehörigkeit Bezeichnung]"),MATCH($BW3,INDIRECT($BV3&amp;"[Id]"),0))</f>
        <v>Sheldon</v>
      </c>
      <c r="CE3" s="5" t="str">
        <f t="shared" ref="CE3:CE67" ca="1" si="5">INDEX(INDIRECT($BV3&amp;"[Titel]"),MATCH($BW3,INDIRECT($BV3&amp;"[Id]"),0))</f>
        <v>Einkommen aus Erwerbstätigkeit</v>
      </c>
      <c r="CF3" s="5" t="str">
        <f t="shared" ref="CF3:CF66" ca="1" si="6">_xlfn.TEXTJOIN(" - ",TRUE,CD3,CE3,CB3)</f>
        <v>Sheldon - Einkommen aus Erwerbstätigkeit</v>
      </c>
      <c r="CG3" s="5"/>
    </row>
    <row r="4" spans="1:85" x14ac:dyDescent="0.25">
      <c r="A4" s="52" t="str">
        <f>PD_Bez1</f>
        <v>Sheldon</v>
      </c>
      <c r="B4" s="52"/>
      <c r="C4" s="53"/>
      <c r="D4" s="54"/>
      <c r="E4" s="54"/>
      <c r="F4" s="55">
        <f t="shared" ref="F4:BA4" si="7">F3-PD_Geb1</f>
        <v>58</v>
      </c>
      <c r="G4" s="55">
        <f t="shared" si="7"/>
        <v>59</v>
      </c>
      <c r="H4" s="55">
        <f t="shared" si="7"/>
        <v>60</v>
      </c>
      <c r="I4" s="55">
        <f t="shared" si="7"/>
        <v>61</v>
      </c>
      <c r="J4" s="55">
        <f t="shared" si="7"/>
        <v>62</v>
      </c>
      <c r="K4" s="55">
        <f t="shared" si="7"/>
        <v>63</v>
      </c>
      <c r="L4" s="55">
        <f t="shared" si="7"/>
        <v>64</v>
      </c>
      <c r="M4" s="55">
        <f t="shared" si="7"/>
        <v>65</v>
      </c>
      <c r="N4" s="55">
        <f t="shared" si="7"/>
        <v>66</v>
      </c>
      <c r="O4" s="55">
        <f t="shared" si="7"/>
        <v>67</v>
      </c>
      <c r="P4" s="55">
        <f t="shared" si="7"/>
        <v>68</v>
      </c>
      <c r="Q4" s="55">
        <f t="shared" si="7"/>
        <v>69</v>
      </c>
      <c r="R4" s="55">
        <f t="shared" si="7"/>
        <v>70</v>
      </c>
      <c r="S4" s="55">
        <f t="shared" si="7"/>
        <v>71</v>
      </c>
      <c r="T4" s="55">
        <f t="shared" si="7"/>
        <v>72</v>
      </c>
      <c r="U4" s="55">
        <f t="shared" si="7"/>
        <v>73</v>
      </c>
      <c r="V4" s="55">
        <f t="shared" si="7"/>
        <v>74</v>
      </c>
      <c r="W4" s="55">
        <f t="shared" si="7"/>
        <v>75</v>
      </c>
      <c r="X4" s="55">
        <f t="shared" si="7"/>
        <v>76</v>
      </c>
      <c r="Y4" s="55">
        <f t="shared" si="7"/>
        <v>77</v>
      </c>
      <c r="Z4" s="55">
        <f t="shared" si="7"/>
        <v>78</v>
      </c>
      <c r="AA4" s="55">
        <f t="shared" si="7"/>
        <v>79</v>
      </c>
      <c r="AB4" s="55">
        <f t="shared" si="7"/>
        <v>80</v>
      </c>
      <c r="AC4" s="55">
        <f t="shared" si="7"/>
        <v>81</v>
      </c>
      <c r="AD4" s="55">
        <f t="shared" si="7"/>
        <v>82</v>
      </c>
      <c r="AE4" s="55">
        <f t="shared" si="7"/>
        <v>83</v>
      </c>
      <c r="AF4" s="55">
        <f t="shared" si="7"/>
        <v>84</v>
      </c>
      <c r="AG4" s="55">
        <f t="shared" si="7"/>
        <v>85</v>
      </c>
      <c r="AH4" s="55">
        <f t="shared" si="7"/>
        <v>86</v>
      </c>
      <c r="AI4" s="55">
        <f t="shared" si="7"/>
        <v>87</v>
      </c>
      <c r="AJ4" s="55">
        <f t="shared" si="7"/>
        <v>88</v>
      </c>
      <c r="AK4" s="55">
        <f t="shared" si="7"/>
        <v>89</v>
      </c>
      <c r="AL4" s="55">
        <f t="shared" si="7"/>
        <v>90</v>
      </c>
      <c r="AM4" s="55">
        <f t="shared" si="7"/>
        <v>91</v>
      </c>
      <c r="AN4" s="55">
        <f t="shared" si="7"/>
        <v>92</v>
      </c>
      <c r="AO4" s="55">
        <f t="shared" si="7"/>
        <v>93</v>
      </c>
      <c r="AP4" s="55">
        <f t="shared" si="7"/>
        <v>94</v>
      </c>
      <c r="AQ4" s="55">
        <f t="shared" si="7"/>
        <v>95</v>
      </c>
      <c r="AR4" s="55">
        <f t="shared" si="7"/>
        <v>96</v>
      </c>
      <c r="AS4" s="55">
        <f t="shared" si="7"/>
        <v>97</v>
      </c>
      <c r="AT4" s="55">
        <f t="shared" si="7"/>
        <v>98</v>
      </c>
      <c r="AU4" s="55">
        <f t="shared" si="7"/>
        <v>99</v>
      </c>
      <c r="AV4" s="55">
        <f t="shared" si="7"/>
        <v>100</v>
      </c>
      <c r="AW4" s="55">
        <f t="shared" si="7"/>
        <v>101</v>
      </c>
      <c r="AX4" s="55">
        <f t="shared" si="7"/>
        <v>102</v>
      </c>
      <c r="AY4" s="55">
        <f t="shared" si="7"/>
        <v>103</v>
      </c>
      <c r="AZ4" s="55">
        <f t="shared" si="7"/>
        <v>104</v>
      </c>
      <c r="BA4" s="55">
        <f t="shared" si="7"/>
        <v>105</v>
      </c>
      <c r="BB4" s="10"/>
      <c r="BC4" s="10"/>
      <c r="BD4" s="10"/>
      <c r="BE4" s="10"/>
      <c r="BF4" s="10"/>
      <c r="BG4" s="10"/>
      <c r="BH4" s="10"/>
      <c r="BI4" s="10"/>
      <c r="BJ4" s="10"/>
      <c r="BK4" s="10"/>
      <c r="BL4" s="10"/>
      <c r="BM4" s="10"/>
      <c r="BO4" t="s">
        <v>90</v>
      </c>
      <c r="BP4" s="1">
        <v>-15000</v>
      </c>
      <c r="BS4" s="5">
        <f t="shared" si="0"/>
        <v>0</v>
      </c>
      <c r="BT4" s="5" t="str">
        <f t="shared" si="1"/>
        <v>2028E_Erwerb2</v>
      </c>
      <c r="BU4">
        <v>2028</v>
      </c>
      <c r="BV4" t="s">
        <v>74</v>
      </c>
      <c r="BW4">
        <v>2</v>
      </c>
      <c r="BX4">
        <v>2</v>
      </c>
      <c r="BY4" s="12">
        <v>0</v>
      </c>
      <c r="BZ4">
        <f>+(0.8*4/12+1*8/12)</f>
        <v>0.93333333333333335</v>
      </c>
      <c r="CD4" s="5" t="str">
        <f t="shared" ca="1" si="4"/>
        <v>Amy</v>
      </c>
      <c r="CE4" s="5" t="str">
        <f t="shared" ca="1" si="5"/>
        <v>Einkommen aus Erwerbstätigkeit</v>
      </c>
      <c r="CF4" s="5" t="str">
        <f t="shared" ca="1" si="6"/>
        <v>Amy - Einkommen aus Erwerbstätigkeit</v>
      </c>
      <c r="CG4" s="5"/>
    </row>
    <row r="5" spans="1:85" x14ac:dyDescent="0.25">
      <c r="A5" s="52" t="str">
        <f>PD_Bez2</f>
        <v>Amy</v>
      </c>
      <c r="B5" s="52"/>
      <c r="C5" s="53"/>
      <c r="D5" s="54"/>
      <c r="E5" s="54"/>
      <c r="F5" s="55">
        <f t="shared" ref="F5:BA5" si="8">F3-PD_Geb2</f>
        <v>61</v>
      </c>
      <c r="G5" s="55">
        <f t="shared" si="8"/>
        <v>62</v>
      </c>
      <c r="H5" s="55">
        <f t="shared" si="8"/>
        <v>63</v>
      </c>
      <c r="I5" s="55">
        <f t="shared" si="8"/>
        <v>64</v>
      </c>
      <c r="J5" s="55">
        <f t="shared" si="8"/>
        <v>65</v>
      </c>
      <c r="K5" s="55">
        <f t="shared" si="8"/>
        <v>66</v>
      </c>
      <c r="L5" s="55">
        <f t="shared" si="8"/>
        <v>67</v>
      </c>
      <c r="M5" s="55">
        <f t="shared" si="8"/>
        <v>68</v>
      </c>
      <c r="N5" s="55">
        <f t="shared" si="8"/>
        <v>69</v>
      </c>
      <c r="O5" s="55">
        <f t="shared" si="8"/>
        <v>70</v>
      </c>
      <c r="P5" s="55">
        <f t="shared" si="8"/>
        <v>71</v>
      </c>
      <c r="Q5" s="55">
        <f t="shared" si="8"/>
        <v>72</v>
      </c>
      <c r="R5" s="55">
        <f t="shared" si="8"/>
        <v>73</v>
      </c>
      <c r="S5" s="55">
        <f t="shared" si="8"/>
        <v>74</v>
      </c>
      <c r="T5" s="55">
        <f t="shared" si="8"/>
        <v>75</v>
      </c>
      <c r="U5" s="55">
        <f t="shared" si="8"/>
        <v>76</v>
      </c>
      <c r="V5" s="55">
        <f t="shared" si="8"/>
        <v>77</v>
      </c>
      <c r="W5" s="55">
        <f t="shared" si="8"/>
        <v>78</v>
      </c>
      <c r="X5" s="55">
        <f t="shared" si="8"/>
        <v>79</v>
      </c>
      <c r="Y5" s="55">
        <f t="shared" si="8"/>
        <v>80</v>
      </c>
      <c r="Z5" s="55">
        <f t="shared" si="8"/>
        <v>81</v>
      </c>
      <c r="AA5" s="55">
        <f t="shared" si="8"/>
        <v>82</v>
      </c>
      <c r="AB5" s="55">
        <f t="shared" si="8"/>
        <v>83</v>
      </c>
      <c r="AC5" s="55">
        <f t="shared" si="8"/>
        <v>84</v>
      </c>
      <c r="AD5" s="55">
        <f t="shared" si="8"/>
        <v>85</v>
      </c>
      <c r="AE5" s="55">
        <f t="shared" si="8"/>
        <v>86</v>
      </c>
      <c r="AF5" s="55">
        <f t="shared" si="8"/>
        <v>87</v>
      </c>
      <c r="AG5" s="55">
        <f t="shared" si="8"/>
        <v>88</v>
      </c>
      <c r="AH5" s="55">
        <f t="shared" si="8"/>
        <v>89</v>
      </c>
      <c r="AI5" s="55">
        <f t="shared" si="8"/>
        <v>90</v>
      </c>
      <c r="AJ5" s="55">
        <f t="shared" si="8"/>
        <v>91</v>
      </c>
      <c r="AK5" s="55">
        <f t="shared" si="8"/>
        <v>92</v>
      </c>
      <c r="AL5" s="55">
        <f t="shared" si="8"/>
        <v>93</v>
      </c>
      <c r="AM5" s="55">
        <f t="shared" si="8"/>
        <v>94</v>
      </c>
      <c r="AN5" s="55">
        <f t="shared" si="8"/>
        <v>95</v>
      </c>
      <c r="AO5" s="55">
        <f t="shared" si="8"/>
        <v>96</v>
      </c>
      <c r="AP5" s="55">
        <f t="shared" si="8"/>
        <v>97</v>
      </c>
      <c r="AQ5" s="55">
        <f t="shared" si="8"/>
        <v>98</v>
      </c>
      <c r="AR5" s="55">
        <f t="shared" si="8"/>
        <v>99</v>
      </c>
      <c r="AS5" s="55">
        <f t="shared" si="8"/>
        <v>100</v>
      </c>
      <c r="AT5" s="55">
        <f t="shared" si="8"/>
        <v>101</v>
      </c>
      <c r="AU5" s="55">
        <f t="shared" si="8"/>
        <v>102</v>
      </c>
      <c r="AV5" s="55">
        <f t="shared" si="8"/>
        <v>103</v>
      </c>
      <c r="AW5" s="55">
        <f t="shared" si="8"/>
        <v>104</v>
      </c>
      <c r="AX5" s="55">
        <f t="shared" si="8"/>
        <v>105</v>
      </c>
      <c r="AY5" s="55">
        <f t="shared" si="8"/>
        <v>106</v>
      </c>
      <c r="AZ5" s="55">
        <f t="shared" si="8"/>
        <v>107</v>
      </c>
      <c r="BA5" s="55">
        <f t="shared" si="8"/>
        <v>108</v>
      </c>
      <c r="BB5" s="10"/>
      <c r="BC5" s="10"/>
      <c r="BD5" s="10"/>
      <c r="BE5" s="10"/>
      <c r="BF5" s="10"/>
      <c r="BG5" s="10"/>
      <c r="BH5" s="10"/>
      <c r="BI5" s="10"/>
      <c r="BJ5" s="10"/>
      <c r="BK5" s="10"/>
      <c r="BL5" s="10"/>
      <c r="BM5" s="10"/>
      <c r="BS5" s="5">
        <f t="shared" si="0"/>
        <v>0</v>
      </c>
      <c r="BT5" s="5" t="str">
        <f t="shared" si="1"/>
        <v>2029E_Erwerb2</v>
      </c>
      <c r="BU5">
        <v>2029</v>
      </c>
      <c r="BV5" t="s">
        <v>74</v>
      </c>
      <c r="BW5">
        <v>2</v>
      </c>
      <c r="BX5">
        <v>2</v>
      </c>
      <c r="BZ5">
        <f>7/12</f>
        <v>0.58333333333333337</v>
      </c>
      <c r="CD5" s="5" t="str">
        <f t="shared" ca="1" si="4"/>
        <v>Amy</v>
      </c>
      <c r="CE5" s="5" t="str">
        <f t="shared" ca="1" si="5"/>
        <v>Einkommen aus Erwerbstätigkeit</v>
      </c>
      <c r="CF5" s="5" t="str">
        <f t="shared" ca="1" si="6"/>
        <v>Amy - Einkommen aus Erwerbstätigkeit</v>
      </c>
      <c r="CG5" s="5"/>
    </row>
    <row r="6" spans="1:85" ht="27.75" customHeight="1" x14ac:dyDescent="0.25">
      <c r="A6" s="56" t="s">
        <v>4</v>
      </c>
      <c r="B6" s="57" t="s">
        <v>74</v>
      </c>
      <c r="C6" s="53"/>
      <c r="D6" s="54"/>
      <c r="E6" s="54"/>
      <c r="F6" s="58">
        <f ca="1">SUM(F7:F19)</f>
        <v>200000</v>
      </c>
      <c r="G6" s="58">
        <f t="shared" ref="G6:BA6" ca="1" si="9">SUM(G7:G19)</f>
        <v>200000</v>
      </c>
      <c r="H6" s="58">
        <f t="shared" ca="1" si="9"/>
        <v>200000</v>
      </c>
      <c r="I6" s="58">
        <f t="shared" ca="1" si="9"/>
        <v>200000</v>
      </c>
      <c r="J6" s="58">
        <f t="shared" ca="1" si="9"/>
        <v>192666.66666666669</v>
      </c>
      <c r="K6" s="58">
        <f t="shared" ca="1" si="9"/>
        <v>189755.55555555556</v>
      </c>
      <c r="L6" s="58">
        <f t="shared" ca="1" si="9"/>
        <v>170312</v>
      </c>
      <c r="M6" s="58">
        <f t="shared" ca="1" si="9"/>
        <v>100062</v>
      </c>
      <c r="N6" s="58">
        <f t="shared" ca="1" si="9"/>
        <v>89737</v>
      </c>
      <c r="O6" s="58">
        <f t="shared" ca="1" si="9"/>
        <v>100762</v>
      </c>
      <c r="P6" s="58">
        <f t="shared" ca="1" si="9"/>
        <v>100762</v>
      </c>
      <c r="Q6" s="58">
        <f t="shared" ca="1" si="9"/>
        <v>100762</v>
      </c>
      <c r="R6" s="58">
        <f t="shared" ca="1" si="9"/>
        <v>100762</v>
      </c>
      <c r="S6" s="58">
        <f t="shared" ca="1" si="9"/>
        <v>100762</v>
      </c>
      <c r="T6" s="58">
        <f t="shared" ca="1" si="9"/>
        <v>100762</v>
      </c>
      <c r="U6" s="58">
        <f t="shared" ca="1" si="9"/>
        <v>100762</v>
      </c>
      <c r="V6" s="58">
        <f t="shared" ca="1" si="9"/>
        <v>100762</v>
      </c>
      <c r="W6" s="58">
        <f t="shared" ca="1" si="9"/>
        <v>100762</v>
      </c>
      <c r="X6" s="58">
        <f t="shared" ca="1" si="9"/>
        <v>100762</v>
      </c>
      <c r="Y6" s="58">
        <f t="shared" ca="1" si="9"/>
        <v>100762</v>
      </c>
      <c r="Z6" s="58">
        <f t="shared" ca="1" si="9"/>
        <v>100762</v>
      </c>
      <c r="AA6" s="58">
        <f t="shared" ca="1" si="9"/>
        <v>100762</v>
      </c>
      <c r="AB6" s="58">
        <f t="shared" ca="1" si="9"/>
        <v>100762</v>
      </c>
      <c r="AC6" s="58">
        <f t="shared" ca="1" si="9"/>
        <v>100762</v>
      </c>
      <c r="AD6" s="58">
        <f t="shared" ca="1" si="9"/>
        <v>100762</v>
      </c>
      <c r="AE6" s="58">
        <f t="shared" ca="1" si="9"/>
        <v>100762</v>
      </c>
      <c r="AF6" s="58">
        <f t="shared" ca="1" si="9"/>
        <v>100762</v>
      </c>
      <c r="AG6" s="58">
        <f t="shared" ca="1" si="9"/>
        <v>100762</v>
      </c>
      <c r="AH6" s="58">
        <f t="shared" ca="1" si="9"/>
        <v>100762</v>
      </c>
      <c r="AI6" s="58">
        <f t="shared" ca="1" si="9"/>
        <v>100762</v>
      </c>
      <c r="AJ6" s="58">
        <f t="shared" ca="1" si="9"/>
        <v>100762</v>
      </c>
      <c r="AK6" s="58">
        <f t="shared" ca="1" si="9"/>
        <v>100762</v>
      </c>
      <c r="AL6" s="58">
        <f t="shared" ca="1" si="9"/>
        <v>100762</v>
      </c>
      <c r="AM6" s="58">
        <f t="shared" ca="1" si="9"/>
        <v>100762</v>
      </c>
      <c r="AN6" s="58">
        <f t="shared" ca="1" si="9"/>
        <v>100762</v>
      </c>
      <c r="AO6" s="58">
        <f t="shared" ca="1" si="9"/>
        <v>100762</v>
      </c>
      <c r="AP6" s="58">
        <f t="shared" ca="1" si="9"/>
        <v>100762</v>
      </c>
      <c r="AQ6" s="58">
        <f t="shared" ca="1" si="9"/>
        <v>100762</v>
      </c>
      <c r="AR6" s="58">
        <f t="shared" ca="1" si="9"/>
        <v>100762</v>
      </c>
      <c r="AS6" s="58">
        <f t="shared" ca="1" si="9"/>
        <v>100762</v>
      </c>
      <c r="AT6" s="58">
        <f t="shared" ca="1" si="9"/>
        <v>100762</v>
      </c>
      <c r="AU6" s="58">
        <f t="shared" ca="1" si="9"/>
        <v>100762</v>
      </c>
      <c r="AV6" s="58">
        <f t="shared" ca="1" si="9"/>
        <v>100762</v>
      </c>
      <c r="AW6" s="58">
        <f t="shared" ca="1" si="9"/>
        <v>100762</v>
      </c>
      <c r="AX6" s="58">
        <f t="shared" ca="1" si="9"/>
        <v>100762</v>
      </c>
      <c r="AY6" s="58">
        <f t="shared" ca="1" si="9"/>
        <v>100762</v>
      </c>
      <c r="AZ6" s="58">
        <f t="shared" ca="1" si="9"/>
        <v>100762</v>
      </c>
      <c r="BA6" s="58">
        <f t="shared" ca="1" si="9"/>
        <v>100762</v>
      </c>
      <c r="BS6" s="5">
        <f t="shared" si="0"/>
        <v>0</v>
      </c>
      <c r="BT6" s="5" t="str">
        <f t="shared" si="1"/>
        <v>2030E_Erwerb2</v>
      </c>
      <c r="BU6">
        <v>2030</v>
      </c>
      <c r="BV6" t="s">
        <v>74</v>
      </c>
      <c r="BW6">
        <v>2</v>
      </c>
      <c r="BX6">
        <v>1</v>
      </c>
      <c r="BY6" s="12">
        <v>0</v>
      </c>
      <c r="CD6" s="5" t="str">
        <f t="shared" ca="1" si="4"/>
        <v>Amy</v>
      </c>
      <c r="CE6" s="5" t="str">
        <f t="shared" ca="1" si="5"/>
        <v>Einkommen aus Erwerbstätigkeit</v>
      </c>
      <c r="CF6" s="5" t="str">
        <f t="shared" ca="1" si="6"/>
        <v>Amy - Einkommen aus Erwerbstätigkeit</v>
      </c>
      <c r="CG6" s="5"/>
    </row>
    <row r="7" spans="1:85" x14ac:dyDescent="0.25">
      <c r="A7" s="57" t="str" cm="1">
        <f t="array" aca="1" ref="A7:A14" ca="1">INDIRECT($B6&amp;"[Titel]")</f>
        <v>Einkommen aus Erwerbstätigkeit</v>
      </c>
      <c r="B7" s="57" cm="1">
        <f t="array" aca="1" ref="B7:B14" ca="1">INDIRECT($B6&amp;"[Id]")</f>
        <v>2</v>
      </c>
      <c r="C7" s="53" t="str" cm="1">
        <f t="array" aca="1" ref="C7:C14" ca="1">INDIRECT($B6&amp;"[Zugehörigkeit Bezeichnung]")</f>
        <v>Amy</v>
      </c>
      <c r="D7" s="54" cm="1">
        <f t="array" aca="1" ref="D7:D14" ca="1">INDIRECT($B6&amp;"[Rendite / Zins]")</f>
        <v>0</v>
      </c>
      <c r="E7" s="54"/>
      <c r="F7" s="59" cm="1">
        <f t="array" aca="1" ref="F7:F14" ca="1">INDIRECT($B6&amp;"[Betrag]")</f>
        <v>110000</v>
      </c>
      <c r="G7" s="59" cm="1">
        <f t="array" aca="1" ref="G7:G14" ca="1">_xlfn.SWITCH(IFERROR(VLOOKUP(G$3&amp;$B$6&amp;_xlfn.ANCHORARRAY($B7),$BT:$CA,5,0),0),
0,_xlfn.ANCHORARRAY(F7)*(1+_xlfn.ANCHORARRAY($D7))+SUMIF($BT:$BT,G$3&amp;$B$6&amp;_xlfn.ANCHORARRAY($B7),$CA:$CA),
1,VLOOKUP(G$3&amp;$B$6&amp;_xlfn.ANCHORARRAY($B7),$BT:$CA,6,0),
2,_xlfn.ANCHORARRAY(F7)*(1+_xlfn.ANCHORARRAY($D7))*VLOOKUP(G$3&amp;$B$6&amp;_xlfn.ANCHORARRAY($B7),$BT:$CA,7,0))</f>
        <v>110000</v>
      </c>
      <c r="H7" s="59" cm="1">
        <f t="array" aca="1" ref="H7:H14" ca="1">_xlfn.SWITCH(IFERROR(VLOOKUP(H$3&amp;$B$6&amp;_xlfn.ANCHORARRAY($B7),$BT:$CA,5,0),0),
0,_xlfn.ANCHORARRAY(G7)*(1+_xlfn.ANCHORARRAY($D7))+SUMIF($BT:$BT,H$3&amp;$B$6&amp;_xlfn.ANCHORARRAY($B7),$CA:$CA),
1,VLOOKUP(H$3&amp;$B$6&amp;_xlfn.ANCHORARRAY($B7),$BT:$CA,6,0),
2,_xlfn.ANCHORARRAY(G7)*(1+_xlfn.ANCHORARRAY($D7))*VLOOKUP(H$3&amp;$B$6&amp;_xlfn.ANCHORARRAY($B7),$BT:$CA,7,0))</f>
        <v>110000</v>
      </c>
      <c r="I7" s="59" cm="1">
        <f t="array" aca="1" ref="I7:I14" ca="1">_xlfn.SWITCH(IFERROR(VLOOKUP(I$3&amp;$B$6&amp;_xlfn.ANCHORARRAY($B7),$BT:$CA,5,0),0),
0,_xlfn.ANCHORARRAY(H7)*(1+_xlfn.ANCHORARRAY($D7))+SUMIF($BT:$BT,I$3&amp;$B$6&amp;_xlfn.ANCHORARRAY($B7),$CA:$CA),
1,VLOOKUP(I$3&amp;$B$6&amp;_xlfn.ANCHORARRAY($B7),$BT:$CA,6,0),
2,_xlfn.ANCHORARRAY(H7)*(1+_xlfn.ANCHORARRAY($D7))*VLOOKUP(I$3&amp;$B$6&amp;_xlfn.ANCHORARRAY($B7),$BT:$CA,7,0))</f>
        <v>110000</v>
      </c>
      <c r="J7" s="59" cm="1">
        <f t="array" aca="1" ref="J7:J14" ca="1">_xlfn.SWITCH(IFERROR(VLOOKUP(J$3&amp;$B$6&amp;_xlfn.ANCHORARRAY($B7),$BT:$CA,5,0),0),
0,_xlfn.ANCHORARRAY(I7)*(1+_xlfn.ANCHORARRAY($D7))+SUMIF($BT:$BT,J$3&amp;$B$6&amp;_xlfn.ANCHORARRAY($B7),$CA:$CA),
1,VLOOKUP(J$3&amp;$B$6&amp;_xlfn.ANCHORARRAY($B7),$BT:$CA,6,0),
2,_xlfn.ANCHORARRAY(I7)*(1+_xlfn.ANCHORARRAY($D7))*VLOOKUP(J$3&amp;$B$6&amp;_xlfn.ANCHORARRAY($B7),$BT:$CA,7,0))</f>
        <v>102666.66666666667</v>
      </c>
      <c r="K7" s="59" cm="1">
        <f t="array" aca="1" ref="K7:K14" ca="1">_xlfn.SWITCH(IFERROR(VLOOKUP(K$3&amp;$B$6&amp;_xlfn.ANCHORARRAY($B7),$BT:$CA,5,0),0),
0,_xlfn.ANCHORARRAY(J7)*(1+_xlfn.ANCHORARRAY($D7))+SUMIF($BT:$BT,K$3&amp;$B$6&amp;_xlfn.ANCHORARRAY($B7),$CA:$CA),
1,VLOOKUP(K$3&amp;$B$6&amp;_xlfn.ANCHORARRAY($B7),$BT:$CA,6,0),
2,_xlfn.ANCHORARRAY(J7)*(1+_xlfn.ANCHORARRAY($D7))*VLOOKUP(K$3&amp;$B$6&amp;_xlfn.ANCHORARRAY($B7),$BT:$CA,7,0))</f>
        <v>59888.888888888898</v>
      </c>
      <c r="L7" s="59" cm="1">
        <f t="array" aca="1" ref="L7:L14" ca="1">_xlfn.SWITCH(IFERROR(VLOOKUP(L$3&amp;$B$6&amp;_xlfn.ANCHORARRAY($B7),$BT:$CA,5,0),0),
0,_xlfn.ANCHORARRAY(K7)*(1+_xlfn.ANCHORARRAY($D7))+SUMIF($BT:$BT,L$3&amp;$B$6&amp;_xlfn.ANCHORARRAY($B7),$CA:$CA),
1,VLOOKUP(L$3&amp;$B$6&amp;_xlfn.ANCHORARRAY($B7),$BT:$CA,6,0),
2,_xlfn.ANCHORARRAY(K7)*(1+_xlfn.ANCHORARRAY($D7))*VLOOKUP(L$3&amp;$B$6&amp;_xlfn.ANCHORARRAY($B7),$BT:$CA,7,0))</f>
        <v>0</v>
      </c>
      <c r="M7" s="59" cm="1">
        <f t="array" aca="1" ref="M7:M14" ca="1">_xlfn.SWITCH(IFERROR(VLOOKUP(M$3&amp;$B$6&amp;_xlfn.ANCHORARRAY($B7),$BT:$CA,5,0),0),
0,_xlfn.ANCHORARRAY(L7)*(1+_xlfn.ANCHORARRAY($D7))+SUMIF($BT:$BT,M$3&amp;$B$6&amp;_xlfn.ANCHORARRAY($B7),$CA:$CA),
1,VLOOKUP(M$3&amp;$B$6&amp;_xlfn.ANCHORARRAY($B7),$BT:$CA,6,0),
2,_xlfn.ANCHORARRAY(L7)*(1+_xlfn.ANCHORARRAY($D7))*VLOOKUP(M$3&amp;$B$6&amp;_xlfn.ANCHORARRAY($B7),$BT:$CA,7,0))</f>
        <v>0</v>
      </c>
      <c r="N7" s="59" cm="1">
        <f t="array" aca="1" ref="N7:N14" ca="1">_xlfn.SWITCH(IFERROR(VLOOKUP(N$3&amp;$B$6&amp;_xlfn.ANCHORARRAY($B7),$BT:$CA,5,0),0),
0,_xlfn.ANCHORARRAY(M7)*(1+_xlfn.ANCHORARRAY($D7))+SUMIF($BT:$BT,N$3&amp;$B$6&amp;_xlfn.ANCHORARRAY($B7),$CA:$CA),
1,VLOOKUP(N$3&amp;$B$6&amp;_xlfn.ANCHORARRAY($B7),$BT:$CA,6,0),
2,_xlfn.ANCHORARRAY(M7)*(1+_xlfn.ANCHORARRAY($D7))*VLOOKUP(N$3&amp;$B$6&amp;_xlfn.ANCHORARRAY($B7),$BT:$CA,7,0))</f>
        <v>0</v>
      </c>
      <c r="O7" s="59" cm="1">
        <f t="array" aca="1" ref="O7:O14" ca="1">_xlfn.SWITCH(IFERROR(VLOOKUP(O$3&amp;$B$6&amp;_xlfn.ANCHORARRAY($B7),$BT:$CA,5,0),0),
0,_xlfn.ANCHORARRAY(N7)*(1+_xlfn.ANCHORARRAY($D7))+SUMIF($BT:$BT,O$3&amp;$B$6&amp;_xlfn.ANCHORARRAY($B7),$CA:$CA),
1,VLOOKUP(O$3&amp;$B$6&amp;_xlfn.ANCHORARRAY($B7),$BT:$CA,6,0),
2,_xlfn.ANCHORARRAY(N7)*(1+_xlfn.ANCHORARRAY($D7))*VLOOKUP(O$3&amp;$B$6&amp;_xlfn.ANCHORARRAY($B7),$BT:$CA,7,0))</f>
        <v>0</v>
      </c>
      <c r="P7" s="59" cm="1">
        <f t="array" aca="1" ref="P7:P14" ca="1">_xlfn.SWITCH(IFERROR(VLOOKUP(P$3&amp;$B$6&amp;_xlfn.ANCHORARRAY($B7),$BT:$CA,5,0),0),
0,_xlfn.ANCHORARRAY(O7)*(1+_xlfn.ANCHORARRAY($D7))+SUMIF($BT:$BT,P$3&amp;$B$6&amp;_xlfn.ANCHORARRAY($B7),$CA:$CA),
1,VLOOKUP(P$3&amp;$B$6&amp;_xlfn.ANCHORARRAY($B7),$BT:$CA,6,0),
2,_xlfn.ANCHORARRAY(O7)*(1+_xlfn.ANCHORARRAY($D7))*VLOOKUP(P$3&amp;$B$6&amp;_xlfn.ANCHORARRAY($B7),$BT:$CA,7,0))</f>
        <v>0</v>
      </c>
      <c r="Q7" s="59" cm="1">
        <f t="array" aca="1" ref="Q7:Q14" ca="1">_xlfn.SWITCH(IFERROR(VLOOKUP(Q$3&amp;$B$6&amp;_xlfn.ANCHORARRAY($B7),$BT:$CA,5,0),0),
0,_xlfn.ANCHORARRAY(P7)*(1+_xlfn.ANCHORARRAY($D7))+SUMIF($BT:$BT,Q$3&amp;$B$6&amp;_xlfn.ANCHORARRAY($B7),$CA:$CA),
1,VLOOKUP(Q$3&amp;$B$6&amp;_xlfn.ANCHORARRAY($B7),$BT:$CA,6,0),
2,_xlfn.ANCHORARRAY(P7)*(1+_xlfn.ANCHORARRAY($D7))*VLOOKUP(Q$3&amp;$B$6&amp;_xlfn.ANCHORARRAY($B7),$BT:$CA,7,0))</f>
        <v>0</v>
      </c>
      <c r="R7" s="59" cm="1">
        <f t="array" aca="1" ref="R7:R14" ca="1">_xlfn.SWITCH(IFERROR(VLOOKUP(R$3&amp;$B$6&amp;_xlfn.ANCHORARRAY($B7),$BT:$CA,5,0),0),
0,_xlfn.ANCHORARRAY(Q7)*(1+_xlfn.ANCHORARRAY($D7))+SUMIF($BT:$BT,R$3&amp;$B$6&amp;_xlfn.ANCHORARRAY($B7),$CA:$CA),
1,VLOOKUP(R$3&amp;$B$6&amp;_xlfn.ANCHORARRAY($B7),$BT:$CA,6,0),
2,_xlfn.ANCHORARRAY(Q7)*(1+_xlfn.ANCHORARRAY($D7))*VLOOKUP(R$3&amp;$B$6&amp;_xlfn.ANCHORARRAY($B7),$BT:$CA,7,0))</f>
        <v>0</v>
      </c>
      <c r="S7" s="59" cm="1">
        <f t="array" aca="1" ref="S7:S14" ca="1">_xlfn.SWITCH(IFERROR(VLOOKUP(S$3&amp;$B$6&amp;_xlfn.ANCHORARRAY($B7),$BT:$CA,5,0),0),
0,_xlfn.ANCHORARRAY(R7)*(1+_xlfn.ANCHORARRAY($D7))+SUMIF($BT:$BT,S$3&amp;$B$6&amp;_xlfn.ANCHORARRAY($B7),$CA:$CA),
1,VLOOKUP(S$3&amp;$B$6&amp;_xlfn.ANCHORARRAY($B7),$BT:$CA,6,0),
2,_xlfn.ANCHORARRAY(R7)*(1+_xlfn.ANCHORARRAY($D7))*VLOOKUP(S$3&amp;$B$6&amp;_xlfn.ANCHORARRAY($B7),$BT:$CA,7,0))</f>
        <v>0</v>
      </c>
      <c r="T7" s="59" cm="1">
        <f t="array" aca="1" ref="T7:T14" ca="1">_xlfn.SWITCH(IFERROR(VLOOKUP(T$3&amp;$B$6&amp;_xlfn.ANCHORARRAY($B7),$BT:$CA,5,0),0),
0,_xlfn.ANCHORARRAY(S7)*(1+_xlfn.ANCHORARRAY($D7))+SUMIF($BT:$BT,T$3&amp;$B$6&amp;_xlfn.ANCHORARRAY($B7),$CA:$CA),
1,VLOOKUP(T$3&amp;$B$6&amp;_xlfn.ANCHORARRAY($B7),$BT:$CA,6,0),
2,_xlfn.ANCHORARRAY(S7)*(1+_xlfn.ANCHORARRAY($D7))*VLOOKUP(T$3&amp;$B$6&amp;_xlfn.ANCHORARRAY($B7),$BT:$CA,7,0))</f>
        <v>0</v>
      </c>
      <c r="U7" s="59" cm="1">
        <f t="array" aca="1" ref="U7:U14" ca="1">_xlfn.SWITCH(IFERROR(VLOOKUP(U$3&amp;$B$6&amp;_xlfn.ANCHORARRAY($B7),$BT:$CA,5,0),0),
0,_xlfn.ANCHORARRAY(T7)*(1+_xlfn.ANCHORARRAY($D7))+SUMIF($BT:$BT,U$3&amp;$B$6&amp;_xlfn.ANCHORARRAY($B7),$CA:$CA),
1,VLOOKUP(U$3&amp;$B$6&amp;_xlfn.ANCHORARRAY($B7),$BT:$CA,6,0),
2,_xlfn.ANCHORARRAY(T7)*(1+_xlfn.ANCHORARRAY($D7))*VLOOKUP(U$3&amp;$B$6&amp;_xlfn.ANCHORARRAY($B7),$BT:$CA,7,0))</f>
        <v>0</v>
      </c>
      <c r="V7" s="59" cm="1">
        <f t="array" aca="1" ref="V7:V14" ca="1">_xlfn.SWITCH(IFERROR(VLOOKUP(V$3&amp;$B$6&amp;_xlfn.ANCHORARRAY($B7),$BT:$CA,5,0),0),
0,_xlfn.ANCHORARRAY(U7)*(1+_xlfn.ANCHORARRAY($D7))+SUMIF($BT:$BT,V$3&amp;$B$6&amp;_xlfn.ANCHORARRAY($B7),$CA:$CA),
1,VLOOKUP(V$3&amp;$B$6&amp;_xlfn.ANCHORARRAY($B7),$BT:$CA,6,0),
2,_xlfn.ANCHORARRAY(U7)*(1+_xlfn.ANCHORARRAY($D7))*VLOOKUP(V$3&amp;$B$6&amp;_xlfn.ANCHORARRAY($B7),$BT:$CA,7,0))</f>
        <v>0</v>
      </c>
      <c r="W7" s="59" cm="1">
        <f t="array" aca="1" ref="W7:W14" ca="1">_xlfn.SWITCH(IFERROR(VLOOKUP(W$3&amp;$B$6&amp;_xlfn.ANCHORARRAY($B7),$BT:$CA,5,0),0),
0,_xlfn.ANCHORARRAY(V7)*(1+_xlfn.ANCHORARRAY($D7))+SUMIF($BT:$BT,W$3&amp;$B$6&amp;_xlfn.ANCHORARRAY($B7),$CA:$CA),
1,VLOOKUP(W$3&amp;$B$6&amp;_xlfn.ANCHORARRAY($B7),$BT:$CA,6,0),
2,_xlfn.ANCHORARRAY(V7)*(1+_xlfn.ANCHORARRAY($D7))*VLOOKUP(W$3&amp;$B$6&amp;_xlfn.ANCHORARRAY($B7),$BT:$CA,7,0))</f>
        <v>0</v>
      </c>
      <c r="X7" s="59" cm="1">
        <f t="array" aca="1" ref="X7:X14" ca="1">_xlfn.SWITCH(IFERROR(VLOOKUP(X$3&amp;$B$6&amp;_xlfn.ANCHORARRAY($B7),$BT:$CA,5,0),0),
0,_xlfn.ANCHORARRAY(W7)*(1+_xlfn.ANCHORARRAY($D7))+SUMIF($BT:$BT,X$3&amp;$B$6&amp;_xlfn.ANCHORARRAY($B7),$CA:$CA),
1,VLOOKUP(X$3&amp;$B$6&amp;_xlfn.ANCHORARRAY($B7),$BT:$CA,6,0),
2,_xlfn.ANCHORARRAY(W7)*(1+_xlfn.ANCHORARRAY($D7))*VLOOKUP(X$3&amp;$B$6&amp;_xlfn.ANCHORARRAY($B7),$BT:$CA,7,0))</f>
        <v>0</v>
      </c>
      <c r="Y7" s="59" cm="1">
        <f t="array" aca="1" ref="Y7:Y14" ca="1">_xlfn.SWITCH(IFERROR(VLOOKUP(Y$3&amp;$B$6&amp;_xlfn.ANCHORARRAY($B7),$BT:$CA,5,0),0),
0,_xlfn.ANCHORARRAY(X7)*(1+_xlfn.ANCHORARRAY($D7))+SUMIF($BT:$BT,Y$3&amp;$B$6&amp;_xlfn.ANCHORARRAY($B7),$CA:$CA),
1,VLOOKUP(Y$3&amp;$B$6&amp;_xlfn.ANCHORARRAY($B7),$BT:$CA,6,0),
2,_xlfn.ANCHORARRAY(X7)*(1+_xlfn.ANCHORARRAY($D7))*VLOOKUP(Y$3&amp;$B$6&amp;_xlfn.ANCHORARRAY($B7),$BT:$CA,7,0))</f>
        <v>0</v>
      </c>
      <c r="Z7" s="59" cm="1">
        <f t="array" aca="1" ref="Z7:Z14" ca="1">_xlfn.SWITCH(IFERROR(VLOOKUP(Z$3&amp;$B$6&amp;_xlfn.ANCHORARRAY($B7),$BT:$CA,5,0),0),
0,_xlfn.ANCHORARRAY(Y7)*(1+_xlfn.ANCHORARRAY($D7))+SUMIF($BT:$BT,Z$3&amp;$B$6&amp;_xlfn.ANCHORARRAY($B7),$CA:$CA),
1,VLOOKUP(Z$3&amp;$B$6&amp;_xlfn.ANCHORARRAY($B7),$BT:$CA,6,0),
2,_xlfn.ANCHORARRAY(Y7)*(1+_xlfn.ANCHORARRAY($D7))*VLOOKUP(Z$3&amp;$B$6&amp;_xlfn.ANCHORARRAY($B7),$BT:$CA,7,0))</f>
        <v>0</v>
      </c>
      <c r="AA7" s="59" cm="1">
        <f t="array" aca="1" ref="AA7:AA14" ca="1">_xlfn.SWITCH(IFERROR(VLOOKUP(AA$3&amp;$B$6&amp;_xlfn.ANCHORARRAY($B7),$BT:$CA,5,0),0),
0,_xlfn.ANCHORARRAY(Z7)*(1+_xlfn.ANCHORARRAY($D7))+SUMIF($BT:$BT,AA$3&amp;$B$6&amp;_xlfn.ANCHORARRAY($B7),$CA:$CA),
1,VLOOKUP(AA$3&amp;$B$6&amp;_xlfn.ANCHORARRAY($B7),$BT:$CA,6,0),
2,_xlfn.ANCHORARRAY(Z7)*(1+_xlfn.ANCHORARRAY($D7))*VLOOKUP(AA$3&amp;$B$6&amp;_xlfn.ANCHORARRAY($B7),$BT:$CA,7,0))</f>
        <v>0</v>
      </c>
      <c r="AB7" s="59" cm="1">
        <f t="array" aca="1" ref="AB7:AB14" ca="1">_xlfn.SWITCH(IFERROR(VLOOKUP(AB$3&amp;$B$6&amp;_xlfn.ANCHORARRAY($B7),$BT:$CA,5,0),0),
0,_xlfn.ANCHORARRAY(AA7)*(1+_xlfn.ANCHORARRAY($D7))+SUMIF($BT:$BT,AB$3&amp;$B$6&amp;_xlfn.ANCHORARRAY($B7),$CA:$CA),
1,VLOOKUP(AB$3&amp;$B$6&amp;_xlfn.ANCHORARRAY($B7),$BT:$CA,6,0),
2,_xlfn.ANCHORARRAY(AA7)*(1+_xlfn.ANCHORARRAY($D7))*VLOOKUP(AB$3&amp;$B$6&amp;_xlfn.ANCHORARRAY($B7),$BT:$CA,7,0))</f>
        <v>0</v>
      </c>
      <c r="AC7" s="59" cm="1">
        <f t="array" aca="1" ref="AC7:AC14" ca="1">_xlfn.SWITCH(IFERROR(VLOOKUP(AC$3&amp;$B$6&amp;_xlfn.ANCHORARRAY($B7),$BT:$CA,5,0),0),
0,_xlfn.ANCHORARRAY(AB7)*(1+_xlfn.ANCHORARRAY($D7))+SUMIF($BT:$BT,AC$3&amp;$B$6&amp;_xlfn.ANCHORARRAY($B7),$CA:$CA),
1,VLOOKUP(AC$3&amp;$B$6&amp;_xlfn.ANCHORARRAY($B7),$BT:$CA,6,0),
2,_xlfn.ANCHORARRAY(AB7)*(1+_xlfn.ANCHORARRAY($D7))*VLOOKUP(AC$3&amp;$B$6&amp;_xlfn.ANCHORARRAY($B7),$BT:$CA,7,0))</f>
        <v>0</v>
      </c>
      <c r="AD7" s="59" cm="1">
        <f t="array" aca="1" ref="AD7:AD14" ca="1">_xlfn.SWITCH(IFERROR(VLOOKUP(AD$3&amp;$B$6&amp;_xlfn.ANCHORARRAY($B7),$BT:$CA,5,0),0),
0,_xlfn.ANCHORARRAY(AC7)*(1+_xlfn.ANCHORARRAY($D7))+SUMIF($BT:$BT,AD$3&amp;$B$6&amp;_xlfn.ANCHORARRAY($B7),$CA:$CA),
1,VLOOKUP(AD$3&amp;$B$6&amp;_xlfn.ANCHORARRAY($B7),$BT:$CA,6,0),
2,_xlfn.ANCHORARRAY(AC7)*(1+_xlfn.ANCHORARRAY($D7))*VLOOKUP(AD$3&amp;$B$6&amp;_xlfn.ANCHORARRAY($B7),$BT:$CA,7,0))</f>
        <v>0</v>
      </c>
      <c r="AE7" s="59" cm="1">
        <f t="array" aca="1" ref="AE7:AE14" ca="1">_xlfn.SWITCH(IFERROR(VLOOKUP(AE$3&amp;$B$6&amp;_xlfn.ANCHORARRAY($B7),$BT:$CA,5,0),0),
0,_xlfn.ANCHORARRAY(AD7)*(1+_xlfn.ANCHORARRAY($D7))+SUMIF($BT:$BT,AE$3&amp;$B$6&amp;_xlfn.ANCHORARRAY($B7),$CA:$CA),
1,VLOOKUP(AE$3&amp;$B$6&amp;_xlfn.ANCHORARRAY($B7),$BT:$CA,6,0),
2,_xlfn.ANCHORARRAY(AD7)*(1+_xlfn.ANCHORARRAY($D7))*VLOOKUP(AE$3&amp;$B$6&amp;_xlfn.ANCHORARRAY($B7),$BT:$CA,7,0))</f>
        <v>0</v>
      </c>
      <c r="AF7" s="59" cm="1">
        <f t="array" aca="1" ref="AF7:AF14" ca="1">_xlfn.SWITCH(IFERROR(VLOOKUP(AF$3&amp;$B$6&amp;_xlfn.ANCHORARRAY($B7),$BT:$CA,5,0),0),
0,_xlfn.ANCHORARRAY(AE7)*(1+_xlfn.ANCHORARRAY($D7))+SUMIF($BT:$BT,AF$3&amp;$B$6&amp;_xlfn.ANCHORARRAY($B7),$CA:$CA),
1,VLOOKUP(AF$3&amp;$B$6&amp;_xlfn.ANCHORARRAY($B7),$BT:$CA,6,0),
2,_xlfn.ANCHORARRAY(AE7)*(1+_xlfn.ANCHORARRAY($D7))*VLOOKUP(AF$3&amp;$B$6&amp;_xlfn.ANCHORARRAY($B7),$BT:$CA,7,0))</f>
        <v>0</v>
      </c>
      <c r="AG7" s="59" cm="1">
        <f t="array" aca="1" ref="AG7:AG14" ca="1">_xlfn.SWITCH(IFERROR(VLOOKUP(AG$3&amp;$B$6&amp;_xlfn.ANCHORARRAY($B7),$BT:$CA,5,0),0),
0,_xlfn.ANCHORARRAY(AF7)*(1+_xlfn.ANCHORARRAY($D7))+SUMIF($BT:$BT,AG$3&amp;$B$6&amp;_xlfn.ANCHORARRAY($B7),$CA:$CA),
1,VLOOKUP(AG$3&amp;$B$6&amp;_xlfn.ANCHORARRAY($B7),$BT:$CA,6,0),
2,_xlfn.ANCHORARRAY(AF7)*(1+_xlfn.ANCHORARRAY($D7))*VLOOKUP(AG$3&amp;$B$6&amp;_xlfn.ANCHORARRAY($B7),$BT:$CA,7,0))</f>
        <v>0</v>
      </c>
      <c r="AH7" s="59" cm="1">
        <f t="array" aca="1" ref="AH7:AH14" ca="1">_xlfn.SWITCH(IFERROR(VLOOKUP(AH$3&amp;$B$6&amp;_xlfn.ANCHORARRAY($B7),$BT:$CA,5,0),0),
0,_xlfn.ANCHORARRAY(AG7)*(1+_xlfn.ANCHORARRAY($D7))+SUMIF($BT:$BT,AH$3&amp;$B$6&amp;_xlfn.ANCHORARRAY($B7),$CA:$CA),
1,VLOOKUP(AH$3&amp;$B$6&amp;_xlfn.ANCHORARRAY($B7),$BT:$CA,6,0),
2,_xlfn.ANCHORARRAY(AG7)*(1+_xlfn.ANCHORARRAY($D7))*VLOOKUP(AH$3&amp;$B$6&amp;_xlfn.ANCHORARRAY($B7),$BT:$CA,7,0))</f>
        <v>0</v>
      </c>
      <c r="AI7" s="59" cm="1">
        <f t="array" aca="1" ref="AI7:AI14" ca="1">_xlfn.SWITCH(IFERROR(VLOOKUP(AI$3&amp;$B$6&amp;_xlfn.ANCHORARRAY($B7),$BT:$CA,5,0),0),
0,_xlfn.ANCHORARRAY(AH7)*(1+_xlfn.ANCHORARRAY($D7))+SUMIF($BT:$BT,AI$3&amp;$B$6&amp;_xlfn.ANCHORARRAY($B7),$CA:$CA),
1,VLOOKUP(AI$3&amp;$B$6&amp;_xlfn.ANCHORARRAY($B7),$BT:$CA,6,0),
2,_xlfn.ANCHORARRAY(AH7)*(1+_xlfn.ANCHORARRAY($D7))*VLOOKUP(AI$3&amp;$B$6&amp;_xlfn.ANCHORARRAY($B7),$BT:$CA,7,0))</f>
        <v>0</v>
      </c>
      <c r="AJ7" s="59" cm="1">
        <f t="array" aca="1" ref="AJ7:AJ14" ca="1">_xlfn.SWITCH(IFERROR(VLOOKUP(AJ$3&amp;$B$6&amp;_xlfn.ANCHORARRAY($B7),$BT:$CA,5,0),0),
0,_xlfn.ANCHORARRAY(AI7)*(1+_xlfn.ANCHORARRAY($D7))+SUMIF($BT:$BT,AJ$3&amp;$B$6&amp;_xlfn.ANCHORARRAY($B7),$CA:$CA),
1,VLOOKUP(AJ$3&amp;$B$6&amp;_xlfn.ANCHORARRAY($B7),$BT:$CA,6,0),
2,_xlfn.ANCHORARRAY(AI7)*(1+_xlfn.ANCHORARRAY($D7))*VLOOKUP(AJ$3&amp;$B$6&amp;_xlfn.ANCHORARRAY($B7),$BT:$CA,7,0))</f>
        <v>0</v>
      </c>
      <c r="AK7" s="59" cm="1">
        <f t="array" aca="1" ref="AK7:AK14" ca="1">_xlfn.SWITCH(IFERROR(VLOOKUP(AK$3&amp;$B$6&amp;_xlfn.ANCHORARRAY($B7),$BT:$CA,5,0),0),
0,_xlfn.ANCHORARRAY(AJ7)*(1+_xlfn.ANCHORARRAY($D7))+SUMIF($BT:$BT,AK$3&amp;$B$6&amp;_xlfn.ANCHORARRAY($B7),$CA:$CA),
1,VLOOKUP(AK$3&amp;$B$6&amp;_xlfn.ANCHORARRAY($B7),$BT:$CA,6,0),
2,_xlfn.ANCHORARRAY(AJ7)*(1+_xlfn.ANCHORARRAY($D7))*VLOOKUP(AK$3&amp;$B$6&amp;_xlfn.ANCHORARRAY($B7),$BT:$CA,7,0))</f>
        <v>0</v>
      </c>
      <c r="AL7" s="59" cm="1">
        <f t="array" aca="1" ref="AL7:AL14" ca="1">_xlfn.SWITCH(IFERROR(VLOOKUP(AL$3&amp;$B$6&amp;_xlfn.ANCHORARRAY($B7),$BT:$CA,5,0),0),
0,_xlfn.ANCHORARRAY(AK7)*(1+_xlfn.ANCHORARRAY($D7))+SUMIF($BT:$BT,AL$3&amp;$B$6&amp;_xlfn.ANCHORARRAY($B7),$CA:$CA),
1,VLOOKUP(AL$3&amp;$B$6&amp;_xlfn.ANCHORARRAY($B7),$BT:$CA,6,0),
2,_xlfn.ANCHORARRAY(AK7)*(1+_xlfn.ANCHORARRAY($D7))*VLOOKUP(AL$3&amp;$B$6&amp;_xlfn.ANCHORARRAY($B7),$BT:$CA,7,0))</f>
        <v>0</v>
      </c>
      <c r="AM7" s="59" cm="1">
        <f t="array" aca="1" ref="AM7:AM14" ca="1">_xlfn.SWITCH(IFERROR(VLOOKUP(AM$3&amp;$B$6&amp;_xlfn.ANCHORARRAY($B7),$BT:$CA,5,0),0),
0,_xlfn.ANCHORARRAY(AL7)*(1+_xlfn.ANCHORARRAY($D7))+SUMIF($BT:$BT,AM$3&amp;$B$6&amp;_xlfn.ANCHORARRAY($B7),$CA:$CA),
1,VLOOKUP(AM$3&amp;$B$6&amp;_xlfn.ANCHORARRAY($B7),$BT:$CA,6,0),
2,_xlfn.ANCHORARRAY(AL7)*(1+_xlfn.ANCHORARRAY($D7))*VLOOKUP(AM$3&amp;$B$6&amp;_xlfn.ANCHORARRAY($B7),$BT:$CA,7,0))</f>
        <v>0</v>
      </c>
      <c r="AN7" s="59" cm="1">
        <f t="array" aca="1" ref="AN7:AN14" ca="1">_xlfn.SWITCH(IFERROR(VLOOKUP(AN$3&amp;$B$6&amp;_xlfn.ANCHORARRAY($B7),$BT:$CA,5,0),0),
0,_xlfn.ANCHORARRAY(AM7)*(1+_xlfn.ANCHORARRAY($D7))+SUMIF($BT:$BT,AN$3&amp;$B$6&amp;_xlfn.ANCHORARRAY($B7),$CA:$CA),
1,VLOOKUP(AN$3&amp;$B$6&amp;_xlfn.ANCHORARRAY($B7),$BT:$CA,6,0),
2,_xlfn.ANCHORARRAY(AM7)*(1+_xlfn.ANCHORARRAY($D7))*VLOOKUP(AN$3&amp;$B$6&amp;_xlfn.ANCHORARRAY($B7),$BT:$CA,7,0))</f>
        <v>0</v>
      </c>
      <c r="AO7" s="59" cm="1">
        <f t="array" aca="1" ref="AO7:AO14" ca="1">_xlfn.SWITCH(IFERROR(VLOOKUP(AO$3&amp;$B$6&amp;_xlfn.ANCHORARRAY($B7),$BT:$CA,5,0),0),
0,_xlfn.ANCHORARRAY(AN7)*(1+_xlfn.ANCHORARRAY($D7))+SUMIF($BT:$BT,AO$3&amp;$B$6&amp;_xlfn.ANCHORARRAY($B7),$CA:$CA),
1,VLOOKUP(AO$3&amp;$B$6&amp;_xlfn.ANCHORARRAY($B7),$BT:$CA,6,0),
2,_xlfn.ANCHORARRAY(AN7)*(1+_xlfn.ANCHORARRAY($D7))*VLOOKUP(AO$3&amp;$B$6&amp;_xlfn.ANCHORARRAY($B7),$BT:$CA,7,0))</f>
        <v>0</v>
      </c>
      <c r="AP7" s="59" cm="1">
        <f t="array" aca="1" ref="AP7:AP14" ca="1">_xlfn.SWITCH(IFERROR(VLOOKUP(AP$3&amp;$B$6&amp;_xlfn.ANCHORARRAY($B7),$BT:$CA,5,0),0),
0,_xlfn.ANCHORARRAY(AO7)*(1+_xlfn.ANCHORARRAY($D7))+SUMIF($BT:$BT,AP$3&amp;$B$6&amp;_xlfn.ANCHORARRAY($B7),$CA:$CA),
1,VLOOKUP(AP$3&amp;$B$6&amp;_xlfn.ANCHORARRAY($B7),$BT:$CA,6,0),
2,_xlfn.ANCHORARRAY(AO7)*(1+_xlfn.ANCHORARRAY($D7))*VLOOKUP(AP$3&amp;$B$6&amp;_xlfn.ANCHORARRAY($B7),$BT:$CA,7,0))</f>
        <v>0</v>
      </c>
      <c r="AQ7" s="59" cm="1">
        <f t="array" aca="1" ref="AQ7:AQ14" ca="1">_xlfn.SWITCH(IFERROR(VLOOKUP(AQ$3&amp;$B$6&amp;_xlfn.ANCHORARRAY($B7),$BT:$CA,5,0),0),
0,_xlfn.ANCHORARRAY(AP7)*(1+_xlfn.ANCHORARRAY($D7))+SUMIF($BT:$BT,AQ$3&amp;$B$6&amp;_xlfn.ANCHORARRAY($B7),$CA:$CA),
1,VLOOKUP(AQ$3&amp;$B$6&amp;_xlfn.ANCHORARRAY($B7),$BT:$CA,6,0),
2,_xlfn.ANCHORARRAY(AP7)*(1+_xlfn.ANCHORARRAY($D7))*VLOOKUP(AQ$3&amp;$B$6&amp;_xlfn.ANCHORARRAY($B7),$BT:$CA,7,0))</f>
        <v>0</v>
      </c>
      <c r="AR7" s="59" cm="1">
        <f t="array" aca="1" ref="AR7:AR14" ca="1">_xlfn.SWITCH(IFERROR(VLOOKUP(AR$3&amp;$B$6&amp;_xlfn.ANCHORARRAY($B7),$BT:$CA,5,0),0),
0,_xlfn.ANCHORARRAY(AQ7)*(1+_xlfn.ANCHORARRAY($D7))+SUMIF($BT:$BT,AR$3&amp;$B$6&amp;_xlfn.ANCHORARRAY($B7),$CA:$CA),
1,VLOOKUP(AR$3&amp;$B$6&amp;_xlfn.ANCHORARRAY($B7),$BT:$CA,6,0),
2,_xlfn.ANCHORARRAY(AQ7)*(1+_xlfn.ANCHORARRAY($D7))*VLOOKUP(AR$3&amp;$B$6&amp;_xlfn.ANCHORARRAY($B7),$BT:$CA,7,0))</f>
        <v>0</v>
      </c>
      <c r="AS7" s="59" cm="1">
        <f t="array" aca="1" ref="AS7:AS14" ca="1">_xlfn.SWITCH(IFERROR(VLOOKUP(AS$3&amp;$B$6&amp;_xlfn.ANCHORARRAY($B7),$BT:$CA,5,0),0),
0,_xlfn.ANCHORARRAY(AR7)*(1+_xlfn.ANCHORARRAY($D7))+SUMIF($BT:$BT,AS$3&amp;$B$6&amp;_xlfn.ANCHORARRAY($B7),$CA:$CA),
1,VLOOKUP(AS$3&amp;$B$6&amp;_xlfn.ANCHORARRAY($B7),$BT:$CA,6,0),
2,_xlfn.ANCHORARRAY(AR7)*(1+_xlfn.ANCHORARRAY($D7))*VLOOKUP(AS$3&amp;$B$6&amp;_xlfn.ANCHORARRAY($B7),$BT:$CA,7,0))</f>
        <v>0</v>
      </c>
      <c r="AT7" s="59" cm="1">
        <f t="array" aca="1" ref="AT7:AT14" ca="1">_xlfn.SWITCH(IFERROR(VLOOKUP(AT$3&amp;$B$6&amp;_xlfn.ANCHORARRAY($B7),$BT:$CA,5,0),0),
0,_xlfn.ANCHORARRAY(AS7)*(1+_xlfn.ANCHORARRAY($D7))+SUMIF($BT:$BT,AT$3&amp;$B$6&amp;_xlfn.ANCHORARRAY($B7),$CA:$CA),
1,VLOOKUP(AT$3&amp;$B$6&amp;_xlfn.ANCHORARRAY($B7),$BT:$CA,6,0),
2,_xlfn.ANCHORARRAY(AS7)*(1+_xlfn.ANCHORARRAY($D7))*VLOOKUP(AT$3&amp;$B$6&amp;_xlfn.ANCHORARRAY($B7),$BT:$CA,7,0))</f>
        <v>0</v>
      </c>
      <c r="AU7" s="59" cm="1">
        <f t="array" aca="1" ref="AU7:AU14" ca="1">_xlfn.SWITCH(IFERROR(VLOOKUP(AU$3&amp;$B$6&amp;_xlfn.ANCHORARRAY($B7),$BT:$CA,5,0),0),
0,_xlfn.ANCHORARRAY(AT7)*(1+_xlfn.ANCHORARRAY($D7))+SUMIF($BT:$BT,AU$3&amp;$B$6&amp;_xlfn.ANCHORARRAY($B7),$CA:$CA),
1,VLOOKUP(AU$3&amp;$B$6&amp;_xlfn.ANCHORARRAY($B7),$BT:$CA,6,0),
2,_xlfn.ANCHORARRAY(AT7)*(1+_xlfn.ANCHORARRAY($D7))*VLOOKUP(AU$3&amp;$B$6&amp;_xlfn.ANCHORARRAY($B7),$BT:$CA,7,0))</f>
        <v>0</v>
      </c>
      <c r="AV7" s="59" cm="1">
        <f t="array" aca="1" ref="AV7:AV14" ca="1">_xlfn.SWITCH(IFERROR(VLOOKUP(AV$3&amp;$B$6&amp;_xlfn.ANCHORARRAY($B7),$BT:$CA,5,0),0),
0,_xlfn.ANCHORARRAY(AU7)*(1+_xlfn.ANCHORARRAY($D7))+SUMIF($BT:$BT,AV$3&amp;$B$6&amp;_xlfn.ANCHORARRAY($B7),$CA:$CA),
1,VLOOKUP(AV$3&amp;$B$6&amp;_xlfn.ANCHORARRAY($B7),$BT:$CA,6,0),
2,_xlfn.ANCHORARRAY(AU7)*(1+_xlfn.ANCHORARRAY($D7))*VLOOKUP(AV$3&amp;$B$6&amp;_xlfn.ANCHORARRAY($B7),$BT:$CA,7,0))</f>
        <v>0</v>
      </c>
      <c r="AW7" s="59" cm="1">
        <f t="array" aca="1" ref="AW7:AW14" ca="1">_xlfn.SWITCH(IFERROR(VLOOKUP(AW$3&amp;$B$6&amp;_xlfn.ANCHORARRAY($B7),$BT:$CA,5,0),0),
0,_xlfn.ANCHORARRAY(AV7)*(1+_xlfn.ANCHORARRAY($D7))+SUMIF($BT:$BT,AW$3&amp;$B$6&amp;_xlfn.ANCHORARRAY($B7),$CA:$CA),
1,VLOOKUP(AW$3&amp;$B$6&amp;_xlfn.ANCHORARRAY($B7),$BT:$CA,6,0),
2,_xlfn.ANCHORARRAY(AV7)*(1+_xlfn.ANCHORARRAY($D7))*VLOOKUP(AW$3&amp;$B$6&amp;_xlfn.ANCHORARRAY($B7),$BT:$CA,7,0))</f>
        <v>0</v>
      </c>
      <c r="AX7" s="59" cm="1">
        <f t="array" aca="1" ref="AX7:AX14" ca="1">_xlfn.SWITCH(IFERROR(VLOOKUP(AX$3&amp;$B$6&amp;_xlfn.ANCHORARRAY($B7),$BT:$CA,5,0),0),
0,_xlfn.ANCHORARRAY(AW7)*(1+_xlfn.ANCHORARRAY($D7))+SUMIF($BT:$BT,AX$3&amp;$B$6&amp;_xlfn.ANCHORARRAY($B7),$CA:$CA),
1,VLOOKUP(AX$3&amp;$B$6&amp;_xlfn.ANCHORARRAY($B7),$BT:$CA,6,0),
2,_xlfn.ANCHORARRAY(AW7)*(1+_xlfn.ANCHORARRAY($D7))*VLOOKUP(AX$3&amp;$B$6&amp;_xlfn.ANCHORARRAY($B7),$BT:$CA,7,0))</f>
        <v>0</v>
      </c>
      <c r="AY7" s="59" cm="1">
        <f t="array" aca="1" ref="AY7:AY14" ca="1">_xlfn.SWITCH(IFERROR(VLOOKUP(AY$3&amp;$B$6&amp;_xlfn.ANCHORARRAY($B7),$BT:$CA,5,0),0),
0,_xlfn.ANCHORARRAY(AX7)*(1+_xlfn.ANCHORARRAY($D7))+SUMIF($BT:$BT,AY$3&amp;$B$6&amp;_xlfn.ANCHORARRAY($B7),$CA:$CA),
1,VLOOKUP(AY$3&amp;$B$6&amp;_xlfn.ANCHORARRAY($B7),$BT:$CA,6,0),
2,_xlfn.ANCHORARRAY(AX7)*(1+_xlfn.ANCHORARRAY($D7))*VLOOKUP(AY$3&amp;$B$6&amp;_xlfn.ANCHORARRAY($B7),$BT:$CA,7,0))</f>
        <v>0</v>
      </c>
      <c r="AZ7" s="59" cm="1">
        <f t="array" aca="1" ref="AZ7:AZ14" ca="1">_xlfn.SWITCH(IFERROR(VLOOKUP(AZ$3&amp;$B$6&amp;_xlfn.ANCHORARRAY($B7),$BT:$CA,5,0),0),
0,_xlfn.ANCHORARRAY(AY7)*(1+_xlfn.ANCHORARRAY($D7))+SUMIF($BT:$BT,AZ$3&amp;$B$6&amp;_xlfn.ANCHORARRAY($B7),$CA:$CA),
1,VLOOKUP(AZ$3&amp;$B$6&amp;_xlfn.ANCHORARRAY($B7),$BT:$CA,6,0),
2,_xlfn.ANCHORARRAY(AY7)*(1+_xlfn.ANCHORARRAY($D7))*VLOOKUP(AZ$3&amp;$B$6&amp;_xlfn.ANCHORARRAY($B7),$BT:$CA,7,0))</f>
        <v>0</v>
      </c>
      <c r="BA7" s="59" cm="1">
        <f t="array" aca="1" ref="BA7:BA14" ca="1">_xlfn.SWITCH(IFERROR(VLOOKUP(BA$3&amp;$B$6&amp;_xlfn.ANCHORARRAY($B7),$BT:$CA,5,0),0),
0,_xlfn.ANCHORARRAY(AZ7)*(1+_xlfn.ANCHORARRAY($D7))+SUMIF($BT:$BT,BA$3&amp;$B$6&amp;_xlfn.ANCHORARRAY($B7),$CA:$CA),
1,VLOOKUP(BA$3&amp;$B$6&amp;_xlfn.ANCHORARRAY($B7),$BT:$CA,6,0),
2,_xlfn.ANCHORARRAY(AZ7)*(1+_xlfn.ANCHORARRAY($D7))*VLOOKUP(BA$3&amp;$B$6&amp;_xlfn.ANCHORARRAY($B7),$BT:$CA,7,0))</f>
        <v>0</v>
      </c>
      <c r="BS7" s="5">
        <f t="shared" si="0"/>
        <v>0</v>
      </c>
      <c r="BT7" s="5" t="str">
        <f t="shared" si="1"/>
        <v>2029E_Erwerb3</v>
      </c>
      <c r="BU7">
        <v>2029</v>
      </c>
      <c r="BV7" t="s">
        <v>74</v>
      </c>
      <c r="BW7">
        <v>3</v>
      </c>
      <c r="BX7">
        <v>1</v>
      </c>
      <c r="BY7" s="12">
        <f>140000*0.2*0.5</f>
        <v>14000</v>
      </c>
      <c r="CD7" s="5" t="str">
        <f t="shared" ca="1" si="4"/>
        <v>Amy</v>
      </c>
      <c r="CE7" s="5" t="str">
        <f t="shared" ca="1" si="5"/>
        <v>Einkommen aus Selbstständigkeit</v>
      </c>
      <c r="CF7" s="5" t="str">
        <f t="shared" ca="1" si="6"/>
        <v>Amy - Einkommen aus Selbstständigkeit</v>
      </c>
      <c r="CG7" s="5"/>
    </row>
    <row r="8" spans="1:85" x14ac:dyDescent="0.25">
      <c r="A8" s="57" t="str">
        <f ca="1"/>
        <v>Einkommen aus Selbstständigkeit</v>
      </c>
      <c r="B8" s="57">
        <f ca="1"/>
        <v>3</v>
      </c>
      <c r="C8" s="53" t="str">
        <f ca="1"/>
        <v>Amy</v>
      </c>
      <c r="D8" s="54">
        <f ca="1"/>
        <v>0</v>
      </c>
      <c r="E8" s="54"/>
      <c r="F8" s="59">
        <f ca="1"/>
        <v>0</v>
      </c>
      <c r="G8" s="59">
        <f ca="1"/>
        <v>0</v>
      </c>
      <c r="H8" s="59">
        <f ca="1"/>
        <v>0</v>
      </c>
      <c r="I8" s="59">
        <f ca="1"/>
        <v>0</v>
      </c>
      <c r="J8" s="59">
        <f ca="1"/>
        <v>0</v>
      </c>
      <c r="K8" s="59">
        <f ca="1"/>
        <v>14000</v>
      </c>
      <c r="L8" s="59">
        <f ca="1"/>
        <v>28000</v>
      </c>
      <c r="M8" s="59">
        <f ca="1"/>
        <v>14000</v>
      </c>
      <c r="N8" s="59">
        <f ca="1"/>
        <v>0</v>
      </c>
      <c r="O8" s="59">
        <f ca="1"/>
        <v>0</v>
      </c>
      <c r="P8" s="59">
        <f ca="1"/>
        <v>0</v>
      </c>
      <c r="Q8" s="59">
        <f ca="1"/>
        <v>0</v>
      </c>
      <c r="R8" s="59">
        <f ca="1"/>
        <v>0</v>
      </c>
      <c r="S8" s="59">
        <f ca="1"/>
        <v>0</v>
      </c>
      <c r="T8" s="59">
        <f ca="1"/>
        <v>0</v>
      </c>
      <c r="U8" s="59">
        <f ca="1"/>
        <v>0</v>
      </c>
      <c r="V8" s="59">
        <f ca="1"/>
        <v>0</v>
      </c>
      <c r="W8" s="59">
        <f ca="1"/>
        <v>0</v>
      </c>
      <c r="X8" s="59">
        <f ca="1"/>
        <v>0</v>
      </c>
      <c r="Y8" s="59">
        <f ca="1"/>
        <v>0</v>
      </c>
      <c r="Z8" s="59">
        <f ca="1"/>
        <v>0</v>
      </c>
      <c r="AA8" s="59">
        <f ca="1"/>
        <v>0</v>
      </c>
      <c r="AB8" s="59">
        <f ca="1"/>
        <v>0</v>
      </c>
      <c r="AC8" s="59">
        <f ca="1"/>
        <v>0</v>
      </c>
      <c r="AD8" s="59">
        <f ca="1"/>
        <v>0</v>
      </c>
      <c r="AE8" s="59">
        <f ca="1"/>
        <v>0</v>
      </c>
      <c r="AF8" s="59">
        <f ca="1"/>
        <v>0</v>
      </c>
      <c r="AG8" s="59">
        <f ca="1"/>
        <v>0</v>
      </c>
      <c r="AH8" s="59">
        <f ca="1"/>
        <v>0</v>
      </c>
      <c r="AI8" s="59">
        <f ca="1"/>
        <v>0</v>
      </c>
      <c r="AJ8" s="59">
        <f ca="1"/>
        <v>0</v>
      </c>
      <c r="AK8" s="59">
        <f ca="1"/>
        <v>0</v>
      </c>
      <c r="AL8" s="59">
        <f ca="1"/>
        <v>0</v>
      </c>
      <c r="AM8" s="59">
        <f ca="1"/>
        <v>0</v>
      </c>
      <c r="AN8" s="59">
        <f ca="1"/>
        <v>0</v>
      </c>
      <c r="AO8" s="59">
        <f ca="1"/>
        <v>0</v>
      </c>
      <c r="AP8" s="59">
        <f ca="1"/>
        <v>0</v>
      </c>
      <c r="AQ8" s="59">
        <f ca="1"/>
        <v>0</v>
      </c>
      <c r="AR8" s="59">
        <f ca="1"/>
        <v>0</v>
      </c>
      <c r="AS8" s="59">
        <f ca="1"/>
        <v>0</v>
      </c>
      <c r="AT8" s="59">
        <f ca="1"/>
        <v>0</v>
      </c>
      <c r="AU8" s="59">
        <f ca="1"/>
        <v>0</v>
      </c>
      <c r="AV8" s="59">
        <f ca="1"/>
        <v>0</v>
      </c>
      <c r="AW8" s="59">
        <f ca="1"/>
        <v>0</v>
      </c>
      <c r="AX8" s="59">
        <f ca="1"/>
        <v>0</v>
      </c>
      <c r="AY8" s="59">
        <f ca="1"/>
        <v>0</v>
      </c>
      <c r="AZ8" s="59">
        <f ca="1"/>
        <v>0</v>
      </c>
      <c r="BA8" s="59">
        <f ca="1"/>
        <v>0</v>
      </c>
      <c r="BS8" s="5">
        <f t="shared" si="0"/>
        <v>0</v>
      </c>
      <c r="BT8" s="5" t="str">
        <f t="shared" si="1"/>
        <v>2030E_Erwerb3</v>
      </c>
      <c r="BU8">
        <v>2030</v>
      </c>
      <c r="BV8" t="s">
        <v>74</v>
      </c>
      <c r="BW8">
        <v>3</v>
      </c>
      <c r="BX8">
        <v>1</v>
      </c>
      <c r="BY8" s="12">
        <f>140000*0.2</f>
        <v>28000</v>
      </c>
      <c r="CD8" s="5" t="str">
        <f t="shared" ca="1" si="4"/>
        <v>Amy</v>
      </c>
      <c r="CE8" s="5" t="str">
        <f t="shared" ca="1" si="5"/>
        <v>Einkommen aus Selbstständigkeit</v>
      </c>
      <c r="CF8" s="5" t="str">
        <f t="shared" ca="1" si="6"/>
        <v>Amy - Einkommen aus Selbstständigkeit</v>
      </c>
      <c r="CG8" s="5"/>
    </row>
    <row r="9" spans="1:85" x14ac:dyDescent="0.25">
      <c r="A9" s="57" t="str">
        <f ca="1"/>
        <v>Mietertrag New York</v>
      </c>
      <c r="B9" s="57">
        <f ca="1"/>
        <v>4</v>
      </c>
      <c r="C9" s="53" t="str">
        <f ca="1"/>
        <v>Amy</v>
      </c>
      <c r="D9" s="54">
        <f ca="1"/>
        <v>0</v>
      </c>
      <c r="E9" s="54"/>
      <c r="F9" s="59">
        <f ca="1"/>
        <v>15000</v>
      </c>
      <c r="G9" s="59">
        <f ca="1"/>
        <v>15000</v>
      </c>
      <c r="H9" s="59">
        <f ca="1"/>
        <v>15000</v>
      </c>
      <c r="I9" s="59">
        <f ca="1"/>
        <v>15000</v>
      </c>
      <c r="J9" s="59">
        <f ca="1"/>
        <v>15000</v>
      </c>
      <c r="K9" s="59">
        <f ca="1"/>
        <v>15000</v>
      </c>
      <c r="L9" s="59">
        <f ca="1"/>
        <v>15000</v>
      </c>
      <c r="M9" s="59">
        <f ca="1"/>
        <v>15000</v>
      </c>
      <c r="N9" s="59">
        <f ca="1"/>
        <v>15000</v>
      </c>
      <c r="O9" s="59">
        <f ca="1"/>
        <v>15000</v>
      </c>
      <c r="P9" s="59">
        <f ca="1"/>
        <v>15000</v>
      </c>
      <c r="Q9" s="59">
        <f ca="1"/>
        <v>15000</v>
      </c>
      <c r="R9" s="59">
        <f ca="1"/>
        <v>15000</v>
      </c>
      <c r="S9" s="59">
        <f ca="1"/>
        <v>15000</v>
      </c>
      <c r="T9" s="59">
        <f ca="1"/>
        <v>15000</v>
      </c>
      <c r="U9" s="59">
        <f ca="1"/>
        <v>15000</v>
      </c>
      <c r="V9" s="59">
        <f ca="1"/>
        <v>15000</v>
      </c>
      <c r="W9" s="59">
        <f ca="1"/>
        <v>15000</v>
      </c>
      <c r="X9" s="59">
        <f ca="1"/>
        <v>15000</v>
      </c>
      <c r="Y9" s="59">
        <f ca="1"/>
        <v>15000</v>
      </c>
      <c r="Z9" s="59">
        <f ca="1"/>
        <v>15000</v>
      </c>
      <c r="AA9" s="59">
        <f ca="1"/>
        <v>15000</v>
      </c>
      <c r="AB9" s="59">
        <f ca="1"/>
        <v>15000</v>
      </c>
      <c r="AC9" s="59">
        <f ca="1"/>
        <v>15000</v>
      </c>
      <c r="AD9" s="59">
        <f ca="1"/>
        <v>15000</v>
      </c>
      <c r="AE9" s="59">
        <f ca="1"/>
        <v>15000</v>
      </c>
      <c r="AF9" s="59">
        <f ca="1"/>
        <v>15000</v>
      </c>
      <c r="AG9" s="59">
        <f ca="1"/>
        <v>15000</v>
      </c>
      <c r="AH9" s="59">
        <f ca="1"/>
        <v>15000</v>
      </c>
      <c r="AI9" s="59">
        <f ca="1"/>
        <v>15000</v>
      </c>
      <c r="AJ9" s="59">
        <f ca="1"/>
        <v>15000</v>
      </c>
      <c r="AK9" s="59">
        <f ca="1"/>
        <v>15000</v>
      </c>
      <c r="AL9" s="59">
        <f ca="1"/>
        <v>15000</v>
      </c>
      <c r="AM9" s="59">
        <f ca="1"/>
        <v>15000</v>
      </c>
      <c r="AN9" s="59">
        <f ca="1"/>
        <v>15000</v>
      </c>
      <c r="AO9" s="59">
        <f ca="1"/>
        <v>15000</v>
      </c>
      <c r="AP9" s="59">
        <f ca="1"/>
        <v>15000</v>
      </c>
      <c r="AQ9" s="59">
        <f ca="1"/>
        <v>15000</v>
      </c>
      <c r="AR9" s="59">
        <f ca="1"/>
        <v>15000</v>
      </c>
      <c r="AS9" s="59">
        <f ca="1"/>
        <v>15000</v>
      </c>
      <c r="AT9" s="59">
        <f ca="1"/>
        <v>15000</v>
      </c>
      <c r="AU9" s="59">
        <f ca="1"/>
        <v>15000</v>
      </c>
      <c r="AV9" s="59">
        <f ca="1"/>
        <v>15000</v>
      </c>
      <c r="AW9" s="59">
        <f ca="1"/>
        <v>15000</v>
      </c>
      <c r="AX9" s="59">
        <f ca="1"/>
        <v>15000</v>
      </c>
      <c r="AY9" s="59">
        <f ca="1"/>
        <v>15000</v>
      </c>
      <c r="AZ9" s="59">
        <f ca="1"/>
        <v>15000</v>
      </c>
      <c r="BA9" s="59">
        <f ca="1"/>
        <v>15000</v>
      </c>
      <c r="BS9" s="5">
        <f t="shared" si="0"/>
        <v>0</v>
      </c>
      <c r="BT9" s="5" t="str">
        <f t="shared" si="1"/>
        <v>2031E_Erwerb3</v>
      </c>
      <c r="BU9">
        <v>2031</v>
      </c>
      <c r="BV9" t="s">
        <v>74</v>
      </c>
      <c r="BW9">
        <v>3</v>
      </c>
      <c r="BX9">
        <v>1</v>
      </c>
      <c r="BY9" s="12">
        <v>14000</v>
      </c>
      <c r="CD9" s="5" t="str">
        <f t="shared" ca="1" si="4"/>
        <v>Amy</v>
      </c>
      <c r="CE9" s="5" t="str">
        <f t="shared" ca="1" si="5"/>
        <v>Einkommen aus Selbstständigkeit</v>
      </c>
      <c r="CF9" s="5" t="str">
        <f t="shared" ca="1" si="6"/>
        <v>Amy - Einkommen aus Selbstständigkeit</v>
      </c>
      <c r="CG9" s="5"/>
    </row>
    <row r="10" spans="1:85" x14ac:dyDescent="0.25">
      <c r="A10" s="57" t="str">
        <f ca="1"/>
        <v>Rente aus Pensionskasse</v>
      </c>
      <c r="B10" s="57">
        <f ca="1"/>
        <v>5</v>
      </c>
      <c r="C10" s="53" t="str">
        <f ca="1"/>
        <v>Amy</v>
      </c>
      <c r="D10" s="54">
        <f ca="1"/>
        <v>0</v>
      </c>
      <c r="E10" s="54"/>
      <c r="F10" s="59">
        <f ca="1"/>
        <v>0</v>
      </c>
      <c r="G10" s="59">
        <f ca="1"/>
        <v>0</v>
      </c>
      <c r="H10" s="59">
        <f ca="1"/>
        <v>0</v>
      </c>
      <c r="I10" s="59">
        <f ca="1"/>
        <v>0</v>
      </c>
      <c r="J10" s="59">
        <f ca="1"/>
        <v>0</v>
      </c>
      <c r="K10" s="59">
        <f ca="1"/>
        <v>16066.666666666668</v>
      </c>
      <c r="L10" s="59">
        <f ca="1"/>
        <v>38560</v>
      </c>
      <c r="M10" s="59">
        <f ca="1"/>
        <v>38560</v>
      </c>
      <c r="N10" s="59">
        <f ca="1"/>
        <v>38560</v>
      </c>
      <c r="O10" s="59">
        <f ca="1"/>
        <v>38560</v>
      </c>
      <c r="P10" s="59">
        <f ca="1"/>
        <v>38560</v>
      </c>
      <c r="Q10" s="59">
        <f ca="1"/>
        <v>38560</v>
      </c>
      <c r="R10" s="59">
        <f ca="1"/>
        <v>38560</v>
      </c>
      <c r="S10" s="59">
        <f ca="1"/>
        <v>38560</v>
      </c>
      <c r="T10" s="59">
        <f ca="1"/>
        <v>38560</v>
      </c>
      <c r="U10" s="59">
        <f ca="1"/>
        <v>38560</v>
      </c>
      <c r="V10" s="59">
        <f ca="1"/>
        <v>38560</v>
      </c>
      <c r="W10" s="59">
        <f ca="1"/>
        <v>38560</v>
      </c>
      <c r="X10" s="59">
        <f ca="1"/>
        <v>38560</v>
      </c>
      <c r="Y10" s="59">
        <f ca="1"/>
        <v>38560</v>
      </c>
      <c r="Z10" s="59">
        <f ca="1"/>
        <v>38560</v>
      </c>
      <c r="AA10" s="59">
        <f ca="1"/>
        <v>38560</v>
      </c>
      <c r="AB10" s="59">
        <f ca="1"/>
        <v>38560</v>
      </c>
      <c r="AC10" s="59">
        <f ca="1"/>
        <v>38560</v>
      </c>
      <c r="AD10" s="59">
        <f ca="1"/>
        <v>38560</v>
      </c>
      <c r="AE10" s="59">
        <f ca="1"/>
        <v>38560</v>
      </c>
      <c r="AF10" s="59">
        <f ca="1"/>
        <v>38560</v>
      </c>
      <c r="AG10" s="59">
        <f ca="1"/>
        <v>38560</v>
      </c>
      <c r="AH10" s="59">
        <f ca="1"/>
        <v>38560</v>
      </c>
      <c r="AI10" s="59">
        <f ca="1"/>
        <v>38560</v>
      </c>
      <c r="AJ10" s="59">
        <f ca="1"/>
        <v>38560</v>
      </c>
      <c r="AK10" s="59">
        <f ca="1"/>
        <v>38560</v>
      </c>
      <c r="AL10" s="59">
        <f ca="1"/>
        <v>38560</v>
      </c>
      <c r="AM10" s="59">
        <f ca="1"/>
        <v>38560</v>
      </c>
      <c r="AN10" s="59">
        <f ca="1"/>
        <v>38560</v>
      </c>
      <c r="AO10" s="59">
        <f ca="1"/>
        <v>38560</v>
      </c>
      <c r="AP10" s="59">
        <f ca="1"/>
        <v>38560</v>
      </c>
      <c r="AQ10" s="59">
        <f ca="1"/>
        <v>38560</v>
      </c>
      <c r="AR10" s="59">
        <f ca="1"/>
        <v>38560</v>
      </c>
      <c r="AS10" s="59">
        <f ca="1"/>
        <v>38560</v>
      </c>
      <c r="AT10" s="59">
        <f ca="1"/>
        <v>38560</v>
      </c>
      <c r="AU10" s="59">
        <f ca="1"/>
        <v>38560</v>
      </c>
      <c r="AV10" s="59">
        <f ca="1"/>
        <v>38560</v>
      </c>
      <c r="AW10" s="59">
        <f ca="1"/>
        <v>38560</v>
      </c>
      <c r="AX10" s="59">
        <f ca="1"/>
        <v>38560</v>
      </c>
      <c r="AY10" s="59">
        <f ca="1"/>
        <v>38560</v>
      </c>
      <c r="AZ10" s="59">
        <f ca="1"/>
        <v>38560</v>
      </c>
      <c r="BA10" s="59">
        <f ca="1"/>
        <v>38560</v>
      </c>
      <c r="BS10" s="5">
        <f t="shared" si="0"/>
        <v>0</v>
      </c>
      <c r="BT10" s="5" t="str">
        <f t="shared" si="1"/>
        <v>2032E_Erwerb3</v>
      </c>
      <c r="BU10">
        <v>2032</v>
      </c>
      <c r="BV10" t="s">
        <v>74</v>
      </c>
      <c r="BW10">
        <v>3</v>
      </c>
      <c r="BX10">
        <v>1</v>
      </c>
      <c r="BY10" s="12">
        <v>0</v>
      </c>
      <c r="CD10" s="5" t="str">
        <f t="shared" ca="1" si="4"/>
        <v>Amy</v>
      </c>
      <c r="CE10" s="5" t="str">
        <f t="shared" ca="1" si="5"/>
        <v>Einkommen aus Selbstständigkeit</v>
      </c>
      <c r="CF10" s="5" t="str">
        <f t="shared" ca="1" si="6"/>
        <v>Amy - Einkommen aus Selbstständigkeit</v>
      </c>
      <c r="CG10" s="5"/>
    </row>
    <row r="11" spans="1:85" x14ac:dyDescent="0.25">
      <c r="A11" s="57" t="str">
        <f ca="1"/>
        <v>AHV-Einzelrente</v>
      </c>
      <c r="B11" s="57">
        <f ca="1"/>
        <v>6</v>
      </c>
      <c r="C11" s="53" t="str">
        <f ca="1"/>
        <v>Amy</v>
      </c>
      <c r="D11" s="54">
        <f ca="1"/>
        <v>0</v>
      </c>
      <c r="E11" s="54"/>
      <c r="F11" s="59">
        <f ca="1"/>
        <v>0</v>
      </c>
      <c r="G11" s="59">
        <f ca="1"/>
        <v>0</v>
      </c>
      <c r="H11" s="59">
        <f ca="1"/>
        <v>0</v>
      </c>
      <c r="I11" s="59">
        <f ca="1"/>
        <v>0</v>
      </c>
      <c r="J11" s="59">
        <f ca="1"/>
        <v>0</v>
      </c>
      <c r="K11" s="59">
        <f ca="1"/>
        <v>9800</v>
      </c>
      <c r="L11" s="59">
        <f ca="1"/>
        <v>29400</v>
      </c>
      <c r="M11" s="59">
        <f ca="1"/>
        <v>29400</v>
      </c>
      <c r="N11" s="59">
        <f ca="1"/>
        <v>22050</v>
      </c>
      <c r="O11" s="59">
        <f ca="1"/>
        <v>0</v>
      </c>
      <c r="P11" s="59">
        <f ca="1"/>
        <v>0</v>
      </c>
      <c r="Q11" s="59">
        <f ca="1"/>
        <v>0</v>
      </c>
      <c r="R11" s="59">
        <f ca="1"/>
        <v>0</v>
      </c>
      <c r="S11" s="59">
        <f ca="1"/>
        <v>0</v>
      </c>
      <c r="T11" s="59">
        <f ca="1"/>
        <v>0</v>
      </c>
      <c r="U11" s="59">
        <f ca="1"/>
        <v>0</v>
      </c>
      <c r="V11" s="59">
        <f ca="1"/>
        <v>0</v>
      </c>
      <c r="W11" s="59">
        <f ca="1"/>
        <v>0</v>
      </c>
      <c r="X11" s="59">
        <f ca="1"/>
        <v>0</v>
      </c>
      <c r="Y11" s="59">
        <f ca="1"/>
        <v>0</v>
      </c>
      <c r="Z11" s="59">
        <f ca="1"/>
        <v>0</v>
      </c>
      <c r="AA11" s="59">
        <f ca="1"/>
        <v>0</v>
      </c>
      <c r="AB11" s="59">
        <f ca="1"/>
        <v>0</v>
      </c>
      <c r="AC11" s="59">
        <f ca="1"/>
        <v>0</v>
      </c>
      <c r="AD11" s="59">
        <f ca="1"/>
        <v>0</v>
      </c>
      <c r="AE11" s="59">
        <f ca="1"/>
        <v>0</v>
      </c>
      <c r="AF11" s="59">
        <f ca="1"/>
        <v>0</v>
      </c>
      <c r="AG11" s="59">
        <f ca="1"/>
        <v>0</v>
      </c>
      <c r="AH11" s="59">
        <f ca="1"/>
        <v>0</v>
      </c>
      <c r="AI11" s="59">
        <f ca="1"/>
        <v>0</v>
      </c>
      <c r="AJ11" s="59">
        <f ca="1"/>
        <v>0</v>
      </c>
      <c r="AK11" s="59">
        <f ca="1"/>
        <v>0</v>
      </c>
      <c r="AL11" s="59">
        <f ca="1"/>
        <v>0</v>
      </c>
      <c r="AM11" s="59">
        <f ca="1"/>
        <v>0</v>
      </c>
      <c r="AN11" s="59">
        <f ca="1"/>
        <v>0</v>
      </c>
      <c r="AO11" s="59">
        <f ca="1"/>
        <v>0</v>
      </c>
      <c r="AP11" s="59">
        <f ca="1"/>
        <v>0</v>
      </c>
      <c r="AQ11" s="59">
        <f ca="1"/>
        <v>0</v>
      </c>
      <c r="AR11" s="59">
        <f ca="1"/>
        <v>0</v>
      </c>
      <c r="AS11" s="59">
        <f ca="1"/>
        <v>0</v>
      </c>
      <c r="AT11" s="59">
        <f ca="1"/>
        <v>0</v>
      </c>
      <c r="AU11" s="59">
        <f ca="1"/>
        <v>0</v>
      </c>
      <c r="AV11" s="59">
        <f ca="1"/>
        <v>0</v>
      </c>
      <c r="AW11" s="59">
        <f ca="1"/>
        <v>0</v>
      </c>
      <c r="AX11" s="59">
        <f ca="1"/>
        <v>0</v>
      </c>
      <c r="AY11" s="59">
        <f ca="1"/>
        <v>0</v>
      </c>
      <c r="AZ11" s="59">
        <f ca="1"/>
        <v>0</v>
      </c>
      <c r="BA11" s="59">
        <f ca="1"/>
        <v>0</v>
      </c>
      <c r="BS11" s="5">
        <f t="shared" si="0"/>
        <v>0</v>
      </c>
      <c r="BT11" s="5" t="str">
        <f t="shared" si="1"/>
        <v>2028A_Allg2</v>
      </c>
      <c r="BU11">
        <v>2028</v>
      </c>
      <c r="BV11" t="s">
        <v>85</v>
      </c>
      <c r="BW11">
        <v>2</v>
      </c>
      <c r="BX11">
        <v>1</v>
      </c>
      <c r="BY11" s="12">
        <v>0</v>
      </c>
      <c r="CD11" s="5" t="e">
        <f t="shared" ca="1" si="4"/>
        <v>#N/A</v>
      </c>
      <c r="CE11" s="5" t="e">
        <f t="shared" ca="1" si="5"/>
        <v>#N/A</v>
      </c>
      <c r="CF11" s="5" t="e">
        <f t="shared" ca="1" si="6"/>
        <v>#N/A</v>
      </c>
      <c r="CG11" s="5"/>
    </row>
    <row r="12" spans="1:85" x14ac:dyDescent="0.25">
      <c r="A12" s="57" t="str">
        <f ca="1"/>
        <v>Einkommen aus Erwerbstätigkeit</v>
      </c>
      <c r="B12" s="57">
        <f ca="1"/>
        <v>1</v>
      </c>
      <c r="C12" s="53" t="str">
        <f ca="1"/>
        <v>Sheldon</v>
      </c>
      <c r="D12" s="54">
        <f ca="1"/>
        <v>0</v>
      </c>
      <c r="E12" s="54"/>
      <c r="F12" s="59">
        <f ca="1"/>
        <v>75000</v>
      </c>
      <c r="G12" s="59">
        <f ca="1"/>
        <v>75000</v>
      </c>
      <c r="H12" s="59">
        <f ca="1"/>
        <v>75000</v>
      </c>
      <c r="I12" s="59">
        <f ca="1"/>
        <v>75000</v>
      </c>
      <c r="J12" s="59">
        <f ca="1"/>
        <v>75000</v>
      </c>
      <c r="K12" s="59">
        <f ca="1"/>
        <v>75000</v>
      </c>
      <c r="L12" s="59">
        <f ca="1"/>
        <v>56250</v>
      </c>
      <c r="M12" s="59">
        <f ca="1"/>
        <v>0</v>
      </c>
      <c r="N12" s="59">
        <f ca="1"/>
        <v>0</v>
      </c>
      <c r="O12" s="59">
        <f ca="1"/>
        <v>0</v>
      </c>
      <c r="P12" s="59">
        <f ca="1"/>
        <v>0</v>
      </c>
      <c r="Q12" s="59">
        <f ca="1"/>
        <v>0</v>
      </c>
      <c r="R12" s="59">
        <f ca="1"/>
        <v>0</v>
      </c>
      <c r="S12" s="59">
        <f ca="1"/>
        <v>0</v>
      </c>
      <c r="T12" s="59">
        <f ca="1"/>
        <v>0</v>
      </c>
      <c r="U12" s="59">
        <f ca="1"/>
        <v>0</v>
      </c>
      <c r="V12" s="59">
        <f ca="1"/>
        <v>0</v>
      </c>
      <c r="W12" s="59">
        <f ca="1"/>
        <v>0</v>
      </c>
      <c r="X12" s="59">
        <f ca="1"/>
        <v>0</v>
      </c>
      <c r="Y12" s="59">
        <f ca="1"/>
        <v>0</v>
      </c>
      <c r="Z12" s="59">
        <f ca="1"/>
        <v>0</v>
      </c>
      <c r="AA12" s="59">
        <f ca="1"/>
        <v>0</v>
      </c>
      <c r="AB12" s="59">
        <f ca="1"/>
        <v>0</v>
      </c>
      <c r="AC12" s="59">
        <f ca="1"/>
        <v>0</v>
      </c>
      <c r="AD12" s="59">
        <f ca="1"/>
        <v>0</v>
      </c>
      <c r="AE12" s="59">
        <f ca="1"/>
        <v>0</v>
      </c>
      <c r="AF12" s="59">
        <f ca="1"/>
        <v>0</v>
      </c>
      <c r="AG12" s="59">
        <f ca="1"/>
        <v>0</v>
      </c>
      <c r="AH12" s="59">
        <f ca="1"/>
        <v>0</v>
      </c>
      <c r="AI12" s="59">
        <f ca="1"/>
        <v>0</v>
      </c>
      <c r="AJ12" s="59">
        <f ca="1"/>
        <v>0</v>
      </c>
      <c r="AK12" s="59">
        <f ca="1"/>
        <v>0</v>
      </c>
      <c r="AL12" s="59">
        <f ca="1"/>
        <v>0</v>
      </c>
      <c r="AM12" s="59">
        <f ca="1"/>
        <v>0</v>
      </c>
      <c r="AN12" s="59">
        <f ca="1"/>
        <v>0</v>
      </c>
      <c r="AO12" s="59">
        <f ca="1"/>
        <v>0</v>
      </c>
      <c r="AP12" s="59">
        <f ca="1"/>
        <v>0</v>
      </c>
      <c r="AQ12" s="59">
        <f ca="1"/>
        <v>0</v>
      </c>
      <c r="AR12" s="59">
        <f ca="1"/>
        <v>0</v>
      </c>
      <c r="AS12" s="59">
        <f ca="1"/>
        <v>0</v>
      </c>
      <c r="AT12" s="59">
        <f ca="1"/>
        <v>0</v>
      </c>
      <c r="AU12" s="59">
        <f ca="1"/>
        <v>0</v>
      </c>
      <c r="AV12" s="59">
        <f ca="1"/>
        <v>0</v>
      </c>
      <c r="AW12" s="59">
        <f ca="1"/>
        <v>0</v>
      </c>
      <c r="AX12" s="59">
        <f ca="1"/>
        <v>0</v>
      </c>
      <c r="AY12" s="59">
        <f ca="1"/>
        <v>0</v>
      </c>
      <c r="AZ12" s="59">
        <f ca="1"/>
        <v>0</v>
      </c>
      <c r="BA12" s="59">
        <f ca="1"/>
        <v>0</v>
      </c>
      <c r="BS12" s="5">
        <f t="shared" si="0"/>
        <v>0</v>
      </c>
      <c r="BT12" s="5" t="str">
        <f t="shared" si="1"/>
        <v>2025A_Allg3</v>
      </c>
      <c r="BU12">
        <v>2025</v>
      </c>
      <c r="BV12" t="s">
        <v>85</v>
      </c>
      <c r="BW12">
        <v>3</v>
      </c>
      <c r="BX12">
        <v>1</v>
      </c>
      <c r="BY12" s="12">
        <v>0</v>
      </c>
      <c r="CD12" s="5" t="e">
        <f t="shared" ca="1" si="4"/>
        <v>#N/A</v>
      </c>
      <c r="CE12" s="5" t="e">
        <f t="shared" ca="1" si="5"/>
        <v>#N/A</v>
      </c>
      <c r="CF12" s="5" t="e">
        <f t="shared" ca="1" si="6"/>
        <v>#N/A</v>
      </c>
      <c r="CG12" s="5"/>
    </row>
    <row r="13" spans="1:85" x14ac:dyDescent="0.25">
      <c r="A13" s="57" t="str">
        <f ca="1"/>
        <v>Rente aus Pensionskasse</v>
      </c>
      <c r="B13" s="57">
        <f ca="1"/>
        <v>8</v>
      </c>
      <c r="C13" s="53" t="str">
        <f ca="1"/>
        <v>Sheldon</v>
      </c>
      <c r="D13" s="54">
        <f ca="1"/>
        <v>0</v>
      </c>
      <c r="E13" s="54"/>
      <c r="F13" s="59">
        <f ca="1"/>
        <v>0</v>
      </c>
      <c r="G13" s="59">
        <f ca="1"/>
        <v>0</v>
      </c>
      <c r="H13" s="59">
        <f ca="1"/>
        <v>0</v>
      </c>
      <c r="I13" s="59">
        <f ca="1"/>
        <v>0</v>
      </c>
      <c r="J13" s="59">
        <f ca="1"/>
        <v>0</v>
      </c>
      <c r="K13" s="59">
        <f ca="1"/>
        <v>0</v>
      </c>
      <c r="L13" s="59">
        <f ca="1"/>
        <v>3102</v>
      </c>
      <c r="M13" s="59">
        <f ca="1"/>
        <v>3102</v>
      </c>
      <c r="N13" s="59">
        <f ca="1"/>
        <v>3102</v>
      </c>
      <c r="O13" s="59">
        <f ca="1"/>
        <v>3102</v>
      </c>
      <c r="P13" s="59">
        <f ca="1"/>
        <v>3102</v>
      </c>
      <c r="Q13" s="59">
        <f ca="1"/>
        <v>3102</v>
      </c>
      <c r="R13" s="59">
        <f ca="1"/>
        <v>3102</v>
      </c>
      <c r="S13" s="59">
        <f ca="1"/>
        <v>3102</v>
      </c>
      <c r="T13" s="59">
        <f ca="1"/>
        <v>3102</v>
      </c>
      <c r="U13" s="59">
        <f ca="1"/>
        <v>3102</v>
      </c>
      <c r="V13" s="59">
        <f ca="1"/>
        <v>3102</v>
      </c>
      <c r="W13" s="59">
        <f ca="1"/>
        <v>3102</v>
      </c>
      <c r="X13" s="59">
        <f ca="1"/>
        <v>3102</v>
      </c>
      <c r="Y13" s="59">
        <f ca="1"/>
        <v>3102</v>
      </c>
      <c r="Z13" s="59">
        <f ca="1"/>
        <v>3102</v>
      </c>
      <c r="AA13" s="59">
        <f ca="1"/>
        <v>3102</v>
      </c>
      <c r="AB13" s="59">
        <f ca="1"/>
        <v>3102</v>
      </c>
      <c r="AC13" s="59">
        <f ca="1"/>
        <v>3102</v>
      </c>
      <c r="AD13" s="59">
        <f ca="1"/>
        <v>3102</v>
      </c>
      <c r="AE13" s="59">
        <f ca="1"/>
        <v>3102</v>
      </c>
      <c r="AF13" s="59">
        <f ca="1"/>
        <v>3102</v>
      </c>
      <c r="AG13" s="59">
        <f ca="1"/>
        <v>3102</v>
      </c>
      <c r="AH13" s="59">
        <f ca="1"/>
        <v>3102</v>
      </c>
      <c r="AI13" s="59">
        <f ca="1"/>
        <v>3102</v>
      </c>
      <c r="AJ13" s="59">
        <f ca="1"/>
        <v>3102</v>
      </c>
      <c r="AK13" s="59">
        <f ca="1"/>
        <v>3102</v>
      </c>
      <c r="AL13" s="59">
        <f ca="1"/>
        <v>3102</v>
      </c>
      <c r="AM13" s="59">
        <f ca="1"/>
        <v>3102</v>
      </c>
      <c r="AN13" s="59">
        <f ca="1"/>
        <v>3102</v>
      </c>
      <c r="AO13" s="59">
        <f ca="1"/>
        <v>3102</v>
      </c>
      <c r="AP13" s="59">
        <f ca="1"/>
        <v>3102</v>
      </c>
      <c r="AQ13" s="59">
        <f ca="1"/>
        <v>3102</v>
      </c>
      <c r="AR13" s="59">
        <f ca="1"/>
        <v>3102</v>
      </c>
      <c r="AS13" s="59">
        <f ca="1"/>
        <v>3102</v>
      </c>
      <c r="AT13" s="59">
        <f ca="1"/>
        <v>3102</v>
      </c>
      <c r="AU13" s="59">
        <f ca="1"/>
        <v>3102</v>
      </c>
      <c r="AV13" s="59">
        <f ca="1"/>
        <v>3102</v>
      </c>
      <c r="AW13" s="59">
        <f ca="1"/>
        <v>3102</v>
      </c>
      <c r="AX13" s="59">
        <f ca="1"/>
        <v>3102</v>
      </c>
      <c r="AY13" s="59">
        <f ca="1"/>
        <v>3102</v>
      </c>
      <c r="AZ13" s="59">
        <f ca="1"/>
        <v>3102</v>
      </c>
      <c r="BA13" s="59">
        <f ca="1"/>
        <v>3102</v>
      </c>
      <c r="BS13" s="5">
        <f t="shared" si="0"/>
        <v>0</v>
      </c>
      <c r="BT13" s="5" t="str">
        <f t="shared" si="1"/>
        <v>2029A_Allg4</v>
      </c>
      <c r="BU13">
        <v>2029</v>
      </c>
      <c r="BV13" t="s">
        <v>85</v>
      </c>
      <c r="BW13">
        <v>4</v>
      </c>
      <c r="BX13">
        <v>2</v>
      </c>
      <c r="BZ13">
        <f>8/12</f>
        <v>0.66666666666666663</v>
      </c>
      <c r="CD13" s="5" t="str">
        <f t="shared" ca="1" si="4"/>
        <v>Amy</v>
      </c>
      <c r="CE13" s="5" t="str">
        <f t="shared" ca="1" si="5"/>
        <v>Unterhaltskosten Leonard</v>
      </c>
      <c r="CF13" s="5" t="str">
        <f t="shared" ca="1" si="6"/>
        <v>Amy - Unterhaltskosten Leonard</v>
      </c>
      <c r="CG13" s="5"/>
    </row>
    <row r="14" spans="1:85" x14ac:dyDescent="0.25">
      <c r="A14" s="57" t="str">
        <f ca="1"/>
        <v>AHV-Ehepaarrente</v>
      </c>
      <c r="B14" s="57">
        <f ca="1"/>
        <v>7</v>
      </c>
      <c r="C14" s="53" t="str">
        <f ca="1"/>
        <v>-</v>
      </c>
      <c r="D14" s="54">
        <f ca="1"/>
        <v>0</v>
      </c>
      <c r="E14" s="54"/>
      <c r="F14" s="59">
        <f ca="1"/>
        <v>0</v>
      </c>
      <c r="G14" s="59">
        <f ca="1"/>
        <v>0</v>
      </c>
      <c r="H14" s="59">
        <f ca="1"/>
        <v>0</v>
      </c>
      <c r="I14" s="59">
        <f ca="1"/>
        <v>0</v>
      </c>
      <c r="J14" s="59">
        <f ca="1"/>
        <v>0</v>
      </c>
      <c r="K14" s="59">
        <f ca="1"/>
        <v>0</v>
      </c>
      <c r="L14" s="59">
        <f ca="1"/>
        <v>0</v>
      </c>
      <c r="M14" s="59">
        <f ca="1"/>
        <v>0</v>
      </c>
      <c r="N14" s="59">
        <f ca="1"/>
        <v>11025</v>
      </c>
      <c r="O14" s="59">
        <f ca="1"/>
        <v>44100</v>
      </c>
      <c r="P14" s="59">
        <f ca="1"/>
        <v>44100</v>
      </c>
      <c r="Q14" s="59">
        <f ca="1"/>
        <v>44100</v>
      </c>
      <c r="R14" s="59">
        <f ca="1"/>
        <v>44100</v>
      </c>
      <c r="S14" s="59">
        <f ca="1"/>
        <v>44100</v>
      </c>
      <c r="T14" s="59">
        <f ca="1"/>
        <v>44100</v>
      </c>
      <c r="U14" s="59">
        <f ca="1"/>
        <v>44100</v>
      </c>
      <c r="V14" s="59">
        <f ca="1"/>
        <v>44100</v>
      </c>
      <c r="W14" s="59">
        <f ca="1"/>
        <v>44100</v>
      </c>
      <c r="X14" s="59">
        <f ca="1"/>
        <v>44100</v>
      </c>
      <c r="Y14" s="59">
        <f ca="1"/>
        <v>44100</v>
      </c>
      <c r="Z14" s="59">
        <f ca="1"/>
        <v>44100</v>
      </c>
      <c r="AA14" s="59">
        <f ca="1"/>
        <v>44100</v>
      </c>
      <c r="AB14" s="59">
        <f ca="1"/>
        <v>44100</v>
      </c>
      <c r="AC14" s="59">
        <f ca="1"/>
        <v>44100</v>
      </c>
      <c r="AD14" s="59">
        <f ca="1"/>
        <v>44100</v>
      </c>
      <c r="AE14" s="59">
        <f ca="1"/>
        <v>44100</v>
      </c>
      <c r="AF14" s="59">
        <f ca="1"/>
        <v>44100</v>
      </c>
      <c r="AG14" s="59">
        <f ca="1"/>
        <v>44100</v>
      </c>
      <c r="AH14" s="59">
        <f ca="1"/>
        <v>44100</v>
      </c>
      <c r="AI14" s="59">
        <f ca="1"/>
        <v>44100</v>
      </c>
      <c r="AJ14" s="59">
        <f ca="1"/>
        <v>44100</v>
      </c>
      <c r="AK14" s="59">
        <f ca="1"/>
        <v>44100</v>
      </c>
      <c r="AL14" s="59">
        <f ca="1"/>
        <v>44100</v>
      </c>
      <c r="AM14" s="59">
        <f ca="1"/>
        <v>44100</v>
      </c>
      <c r="AN14" s="59">
        <f ca="1"/>
        <v>44100</v>
      </c>
      <c r="AO14" s="59">
        <f ca="1"/>
        <v>44100</v>
      </c>
      <c r="AP14" s="59">
        <f ca="1"/>
        <v>44100</v>
      </c>
      <c r="AQ14" s="59">
        <f ca="1"/>
        <v>44100</v>
      </c>
      <c r="AR14" s="59">
        <f ca="1"/>
        <v>44100</v>
      </c>
      <c r="AS14" s="59">
        <f ca="1"/>
        <v>44100</v>
      </c>
      <c r="AT14" s="59">
        <f ca="1"/>
        <v>44100</v>
      </c>
      <c r="AU14" s="59">
        <f ca="1"/>
        <v>44100</v>
      </c>
      <c r="AV14" s="59">
        <f ca="1"/>
        <v>44100</v>
      </c>
      <c r="AW14" s="59">
        <f ca="1"/>
        <v>44100</v>
      </c>
      <c r="AX14" s="59">
        <f ca="1"/>
        <v>44100</v>
      </c>
      <c r="AY14" s="59">
        <f ca="1"/>
        <v>44100</v>
      </c>
      <c r="AZ14" s="59">
        <f ca="1"/>
        <v>44100</v>
      </c>
      <c r="BA14" s="59">
        <f ca="1"/>
        <v>44100</v>
      </c>
      <c r="BS14" s="5">
        <f t="shared" si="0"/>
        <v>0</v>
      </c>
      <c r="BT14" s="5" t="str">
        <f t="shared" si="1"/>
        <v>2030A_Allg4</v>
      </c>
      <c r="BU14">
        <v>2030</v>
      </c>
      <c r="BV14" t="s">
        <v>85</v>
      </c>
      <c r="BW14">
        <v>4</v>
      </c>
      <c r="BX14">
        <v>1</v>
      </c>
      <c r="BY14" s="12">
        <v>0</v>
      </c>
      <c r="CD14" s="5" t="str">
        <f t="shared" ca="1" si="4"/>
        <v>Amy</v>
      </c>
      <c r="CE14" s="5" t="str">
        <f t="shared" ca="1" si="5"/>
        <v>Unterhaltskosten Leonard</v>
      </c>
      <c r="CF14" s="5" t="str">
        <f t="shared" ca="1" si="6"/>
        <v>Amy - Unterhaltskosten Leonard</v>
      </c>
      <c r="CG14" s="5"/>
    </row>
    <row r="15" spans="1:85" hidden="1" x14ac:dyDescent="0.25">
      <c r="A15" s="57"/>
      <c r="B15" s="57"/>
      <c r="C15" s="53"/>
      <c r="D15" s="54"/>
      <c r="E15" s="54"/>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S15" s="5">
        <f t="shared" si="0"/>
        <v>0</v>
      </c>
      <c r="BT15" s="5" t="str">
        <f t="shared" si="1"/>
        <v>2028V_Hypo1</v>
      </c>
      <c r="BU15">
        <v>2028</v>
      </c>
      <c r="BV15" t="s">
        <v>99</v>
      </c>
      <c r="BW15">
        <v>1</v>
      </c>
      <c r="BX15">
        <v>1</v>
      </c>
      <c r="BY15" s="12">
        <v>0</v>
      </c>
      <c r="CB15" t="s">
        <v>294</v>
      </c>
      <c r="CC15">
        <v>1</v>
      </c>
      <c r="CD15" s="5" t="str">
        <f t="shared" ca="1" si="4"/>
        <v>Amy</v>
      </c>
      <c r="CE15" s="5" t="str">
        <f t="shared" ca="1" si="5"/>
        <v>MigrosBank SARON</v>
      </c>
      <c r="CF15" s="5" t="str">
        <f t="shared" ca="1" si="6"/>
        <v>Amy - MigrosBank SARON - Erneuerung Hyporthek</v>
      </c>
      <c r="CG15" s="5"/>
    </row>
    <row r="16" spans="1:85" hidden="1" x14ac:dyDescent="0.25">
      <c r="A16" s="57"/>
      <c r="B16" s="57"/>
      <c r="C16" s="53"/>
      <c r="D16" s="54"/>
      <c r="E16" s="54"/>
      <c r="F16" s="59"/>
      <c r="G16" s="59"/>
      <c r="H16" s="59"/>
      <c r="I16" s="59"/>
      <c r="J16" s="59"/>
      <c r="K16" s="59"/>
      <c r="L16" s="59"/>
      <c r="M16" s="59"/>
      <c r="N16" s="59"/>
      <c r="O16" s="59"/>
      <c r="P16" s="59"/>
      <c r="Q16" s="59"/>
      <c r="R16" s="59"/>
      <c r="S16" s="59"/>
      <c r="T16" s="59"/>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S16" s="5">
        <f t="shared" si="0"/>
        <v>0</v>
      </c>
      <c r="BT16" s="5" t="str">
        <f t="shared" si="1"/>
        <v>2028V_Hypo5</v>
      </c>
      <c r="BU16">
        <v>2028</v>
      </c>
      <c r="BV16" t="s">
        <v>99</v>
      </c>
      <c r="BW16">
        <v>5</v>
      </c>
      <c r="BX16">
        <v>0</v>
      </c>
      <c r="CA16">
        <v>-180000</v>
      </c>
      <c r="CB16" t="s">
        <v>235</v>
      </c>
      <c r="CD16" s="5" t="str">
        <f t="shared" ca="1" si="4"/>
        <v>-</v>
      </c>
      <c r="CE16" s="5" t="str">
        <f t="shared" ca="1" si="5"/>
        <v>Nachfolgehypothek</v>
      </c>
      <c r="CF16" s="5" t="str">
        <f t="shared" ca="1" si="6"/>
        <v>- - Nachfolgehypothek - Erneuerung MigrosBank SARON</v>
      </c>
      <c r="CG16" s="5"/>
    </row>
    <row r="17" spans="1:85" hidden="1" x14ac:dyDescent="0.25">
      <c r="A17" s="57"/>
      <c r="B17" s="57"/>
      <c r="C17" s="53"/>
      <c r="D17" s="54"/>
      <c r="E17" s="54"/>
      <c r="F17" s="59"/>
      <c r="G17" s="59"/>
      <c r="H17" s="59"/>
      <c r="I17" s="59"/>
      <c r="J17" s="59"/>
      <c r="K17" s="59"/>
      <c r="L17" s="59"/>
      <c r="M17" s="59"/>
      <c r="N17" s="59"/>
      <c r="O17" s="59"/>
      <c r="P17" s="59"/>
      <c r="Q17" s="59"/>
      <c r="R17" s="59"/>
      <c r="S17" s="59"/>
      <c r="T17" s="59"/>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c r="BS17" s="5">
        <f t="shared" si="0"/>
        <v>0</v>
      </c>
      <c r="BT17" s="5" t="str">
        <f t="shared" si="1"/>
        <v>2027V_Hypo2</v>
      </c>
      <c r="BU17">
        <v>2027</v>
      </c>
      <c r="BV17" t="s">
        <v>99</v>
      </c>
      <c r="BW17">
        <v>2</v>
      </c>
      <c r="BX17">
        <v>1</v>
      </c>
      <c r="BY17" s="12">
        <v>0</v>
      </c>
      <c r="CB17" t="s">
        <v>294</v>
      </c>
      <c r="CC17">
        <v>1</v>
      </c>
      <c r="CD17" s="5" t="str">
        <f t="shared" ca="1" si="4"/>
        <v>Amy</v>
      </c>
      <c r="CE17" s="5" t="str">
        <f t="shared" ca="1" si="5"/>
        <v>MigrosBank Festhypo</v>
      </c>
      <c r="CF17" s="5" t="str">
        <f t="shared" ca="1" si="6"/>
        <v>Amy - MigrosBank Festhypo - Erneuerung Hyporthek</v>
      </c>
      <c r="CG17" s="5"/>
    </row>
    <row r="18" spans="1:85" hidden="1" x14ac:dyDescent="0.25">
      <c r="A18" s="34"/>
      <c r="B18" s="34"/>
      <c r="C18" s="34"/>
      <c r="D18" s="34"/>
      <c r="E18" s="34"/>
      <c r="F18" s="60"/>
      <c r="G18" s="60"/>
      <c r="H18" s="60"/>
      <c r="I18" s="60"/>
      <c r="J18" s="60"/>
      <c r="K18" s="60"/>
      <c r="L18" s="60"/>
      <c r="M18" s="60"/>
      <c r="N18" s="60"/>
      <c r="O18" s="60"/>
      <c r="P18" s="60"/>
      <c r="Q18" s="60"/>
      <c r="R18" s="60"/>
      <c r="S18" s="60"/>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S18" s="5">
        <f t="shared" si="0"/>
        <v>0</v>
      </c>
      <c r="BT18" s="5" t="str">
        <f t="shared" si="1"/>
        <v>2027V_Hypo5</v>
      </c>
      <c r="BU18">
        <v>2027</v>
      </c>
      <c r="BV18" t="s">
        <v>99</v>
      </c>
      <c r="BW18">
        <v>5</v>
      </c>
      <c r="BX18">
        <v>0</v>
      </c>
      <c r="CA18">
        <v>-200000</v>
      </c>
      <c r="CB18" t="s">
        <v>237</v>
      </c>
      <c r="CD18" s="5" t="str">
        <f t="shared" ca="1" si="4"/>
        <v>-</v>
      </c>
      <c r="CE18" s="5" t="str">
        <f t="shared" ca="1" si="5"/>
        <v>Nachfolgehypothek</v>
      </c>
      <c r="CF18" s="5" t="str">
        <f t="shared" ca="1" si="6"/>
        <v>- - Nachfolgehypothek - Erneuerung MigrosBank FestI</v>
      </c>
      <c r="CG18" s="5"/>
    </row>
    <row r="19" spans="1:85" hidden="1" x14ac:dyDescent="0.25">
      <c r="A19" s="57"/>
      <c r="B19" s="57"/>
      <c r="C19" s="53"/>
      <c r="D19" s="54"/>
      <c r="E19" s="54"/>
      <c r="F19" s="59"/>
      <c r="G19" s="59"/>
      <c r="H19" s="59"/>
      <c r="I19" s="59"/>
      <c r="J19" s="59"/>
      <c r="K19" s="59"/>
      <c r="L19" s="59"/>
      <c r="M19" s="59"/>
      <c r="N19" s="59"/>
      <c r="O19" s="59"/>
      <c r="P19" s="59"/>
      <c r="Q19" s="59"/>
      <c r="R19" s="59"/>
      <c r="S19" s="59"/>
      <c r="T19" s="59"/>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c r="AU19" s="59"/>
      <c r="AV19" s="59"/>
      <c r="AW19" s="59"/>
      <c r="AX19" s="59"/>
      <c r="AY19" s="59"/>
      <c r="AZ19" s="59"/>
      <c r="BA19" s="59"/>
      <c r="BS19" s="5">
        <f t="shared" si="0"/>
        <v>0</v>
      </c>
      <c r="BT19" s="5" t="str">
        <f t="shared" si="1"/>
        <v>2029V_Hypo3</v>
      </c>
      <c r="BU19">
        <v>2029</v>
      </c>
      <c r="BV19" t="s">
        <v>99</v>
      </c>
      <c r="BW19">
        <v>3</v>
      </c>
      <c r="BX19">
        <v>1</v>
      </c>
      <c r="BY19" s="12">
        <v>0</v>
      </c>
      <c r="CB19" t="s">
        <v>294</v>
      </c>
      <c r="CC19">
        <v>1</v>
      </c>
      <c r="CD19" s="5" t="str">
        <f t="shared" ca="1" si="4"/>
        <v>Amy</v>
      </c>
      <c r="CE19" s="5" t="str">
        <f t="shared" ca="1" si="5"/>
        <v>MigrosBank Festhypo II</v>
      </c>
      <c r="CF19" s="5" t="str">
        <f t="shared" ca="1" si="6"/>
        <v>Amy - MigrosBank Festhypo II - Erneuerung Hyporthek</v>
      </c>
      <c r="CG19" s="5"/>
    </row>
    <row r="20" spans="1:85" ht="27.75" customHeight="1" x14ac:dyDescent="0.25">
      <c r="A20" s="56" t="s">
        <v>84</v>
      </c>
      <c r="B20" s="57" t="s">
        <v>85</v>
      </c>
      <c r="C20" s="53"/>
      <c r="D20" s="54"/>
      <c r="E20" s="54"/>
      <c r="F20" s="58">
        <f ca="1">SUM(F21:F38)</f>
        <v>-140120</v>
      </c>
      <c r="G20" s="58">
        <f t="shared" ref="G20:BA20" ca="1" si="10">SUM(G21:G38)</f>
        <v>-160079.24838406133</v>
      </c>
      <c r="H20" s="58">
        <f t="shared" ca="1" si="10"/>
        <v>-161906.04463335837</v>
      </c>
      <c r="I20" s="58">
        <f t="shared" ca="1" si="10"/>
        <v>-165524.6674728847</v>
      </c>
      <c r="J20" s="58">
        <f t="shared" ca="1" si="10"/>
        <v>-166825.09103607514</v>
      </c>
      <c r="K20" s="58">
        <f t="shared" ca="1" si="10"/>
        <v>-180459.28579941057</v>
      </c>
      <c r="L20" s="58">
        <f t="shared" ca="1" si="10"/>
        <v>-183154.13162858275</v>
      </c>
      <c r="M20" s="58">
        <f t="shared" ca="1" si="10"/>
        <v>-157003.0924251476</v>
      </c>
      <c r="N20" s="58">
        <f t="shared" ca="1" si="10"/>
        <v>-136809.89611867128</v>
      </c>
      <c r="O20" s="58">
        <f t="shared" ca="1" si="10"/>
        <v>-136119.73950717226</v>
      </c>
      <c r="P20" s="58">
        <f t="shared" ca="1" si="10"/>
        <v>-139669.90087613778</v>
      </c>
      <c r="Q20" s="58">
        <f t="shared" ca="1" si="10"/>
        <v>-141026.09442370548</v>
      </c>
      <c r="R20" s="58">
        <f t="shared" ca="1" si="10"/>
        <v>-142380.18532228231</v>
      </c>
      <c r="S20" s="58">
        <f t="shared" ca="1" si="10"/>
        <v>-143746.26238151893</v>
      </c>
      <c r="T20" s="58">
        <f t="shared" ca="1" si="10"/>
        <v>-145113.84256337371</v>
      </c>
      <c r="U20" s="58">
        <f t="shared" ca="1" si="10"/>
        <v>-146487.83062865332</v>
      </c>
      <c r="V20" s="58">
        <f t="shared" ca="1" si="10"/>
        <v>-147862.87116156891</v>
      </c>
      <c r="W20" s="58">
        <f t="shared" ca="1" si="10"/>
        <v>-149248.97356052985</v>
      </c>
      <c r="X20" s="58">
        <f t="shared" ca="1" si="10"/>
        <v>-150636.11869753205</v>
      </c>
      <c r="Y20" s="58">
        <f t="shared" ca="1" si="10"/>
        <v>-152028.1399147984</v>
      </c>
      <c r="Z20" s="58">
        <f t="shared" ca="1" si="10"/>
        <v>-153420.17008060968</v>
      </c>
      <c r="AA20" s="58">
        <f t="shared" ca="1" si="10"/>
        <v>-154822.64443978143</v>
      </c>
      <c r="AB20" s="58">
        <f t="shared" ca="1" si="10"/>
        <v>-156218.93419932702</v>
      </c>
      <c r="AC20" s="58">
        <f t="shared" ca="1" si="10"/>
        <v>-157625.04923189379</v>
      </c>
      <c r="AD20" s="58">
        <f t="shared" ca="1" si="10"/>
        <v>-159029.46858573801</v>
      </c>
      <c r="AE20" s="58">
        <f t="shared" ca="1" si="10"/>
        <v>-160437.44769968151</v>
      </c>
      <c r="AF20" s="58">
        <f t="shared" ca="1" si="10"/>
        <v>-161848.62282564866</v>
      </c>
      <c r="AG20" s="58">
        <f t="shared" ca="1" si="10"/>
        <v>-163257.60373397623</v>
      </c>
      <c r="AH20" s="58">
        <f t="shared" ca="1" si="10"/>
        <v>-164668.565304238</v>
      </c>
      <c r="AI20" s="58">
        <f t="shared" ca="1" si="10"/>
        <v>-166082.10116190393</v>
      </c>
      <c r="AJ20" s="58">
        <f t="shared" ca="1" si="10"/>
        <v>-167491.35508606868</v>
      </c>
      <c r="AK20" s="58">
        <f t="shared" ca="1" si="10"/>
        <v>-168896.50670319295</v>
      </c>
      <c r="AL20" s="58">
        <f t="shared" ca="1" si="10"/>
        <v>-170307.96931731806</v>
      </c>
      <c r="AM20" s="58">
        <f t="shared" ca="1" si="10"/>
        <v>-171708.6618553318</v>
      </c>
      <c r="AN20" s="58">
        <f t="shared" ca="1" si="10"/>
        <v>-173114.26822358789</v>
      </c>
      <c r="AO20" s="58">
        <f t="shared" ca="1" si="10"/>
        <v>-174508.40207344742</v>
      </c>
      <c r="AP20" s="58">
        <f t="shared" ca="1" si="10"/>
        <v>-175938.45049077127</v>
      </c>
      <c r="AQ20" s="58">
        <f t="shared" ca="1" si="10"/>
        <v>-177377.82560488739</v>
      </c>
      <c r="AR20" s="58">
        <f t="shared" ca="1" si="10"/>
        <v>-178816.63124899479</v>
      </c>
      <c r="AS20" s="58">
        <f t="shared" ca="1" si="10"/>
        <v>-180259.70522776531</v>
      </c>
      <c r="AT20" s="58">
        <f t="shared" ca="1" si="10"/>
        <v>-181696.95622862154</v>
      </c>
      <c r="AU20" s="58">
        <f t="shared" ca="1" si="10"/>
        <v>-183127.66913155786</v>
      </c>
      <c r="AV20" s="58">
        <f t="shared" ca="1" si="10"/>
        <v>-184573.01551946468</v>
      </c>
      <c r="AW20" s="58">
        <f t="shared" ca="1" si="10"/>
        <v>-186069.73850087539</v>
      </c>
      <c r="AX20" s="58">
        <f t="shared" ca="1" si="10"/>
        <v>-187555.8550829679</v>
      </c>
      <c r="AY20" s="58">
        <f t="shared" ca="1" si="10"/>
        <v>-189053.34968726704</v>
      </c>
      <c r="AZ20" s="58">
        <f t="shared" ca="1" si="10"/>
        <v>-190587.57662647375</v>
      </c>
      <c r="BA20" s="58">
        <f t="shared" ca="1" si="10"/>
        <v>-192267.64589502328</v>
      </c>
      <c r="BS20" s="5">
        <f t="shared" si="0"/>
        <v>1</v>
      </c>
      <c r="BT20" s="5" t="str">
        <f t="shared" si="1"/>
        <v>2029V_Hypo5</v>
      </c>
      <c r="BU20">
        <v>2029</v>
      </c>
      <c r="BV20" t="s">
        <v>99</v>
      </c>
      <c r="BW20">
        <v>5</v>
      </c>
      <c r="BX20">
        <v>0</v>
      </c>
      <c r="CA20">
        <v>-200000</v>
      </c>
      <c r="CB20" t="s">
        <v>236</v>
      </c>
      <c r="CD20" s="5" t="str">
        <f t="shared" ca="1" si="4"/>
        <v>-</v>
      </c>
      <c r="CE20" s="5" t="str">
        <f t="shared" ca="1" si="5"/>
        <v>Nachfolgehypothek</v>
      </c>
      <c r="CF20" s="5" t="str">
        <f t="shared" ca="1" si="6"/>
        <v>- - Nachfolgehypothek - Erneuerung MigrosBank FestII</v>
      </c>
      <c r="CG20" s="5"/>
    </row>
    <row r="21" spans="1:85" x14ac:dyDescent="0.25">
      <c r="A21" s="57" t="str" cm="1">
        <f t="array" aca="1" ref="A21:A25" ca="1">INDIRECT($B20&amp;"[Titel]")</f>
        <v>Unterhaltskosten Leonard</v>
      </c>
      <c r="B21" s="57" cm="1">
        <f t="array" aca="1" ref="B21:B25" ca="1">INDIRECT($B20&amp;"[Id]")</f>
        <v>4</v>
      </c>
      <c r="C21" s="53" t="str" cm="1">
        <f t="array" aca="1" ref="C21:C25" ca="1">INDIRECT($B20&amp;"[Zugehörigkeit Bezeichnung]")</f>
        <v>Amy</v>
      </c>
      <c r="D21" s="54" cm="1">
        <f t="array" aca="1" ref="D21:D25" ca="1">INDIRECT($B20&amp;"[Rendite / Zins]")</f>
        <v>0</v>
      </c>
      <c r="E21" s="54"/>
      <c r="F21" s="59" cm="1">
        <f t="array" aca="1" ref="F21:F25" ca="1">INDIRECT($B20&amp;"[Betrag]")</f>
        <v>-12000</v>
      </c>
      <c r="G21" s="59" cm="1">
        <f t="array" aca="1" ref="G21:G25" ca="1">_xlfn.SWITCH(IFERROR(VLOOKUP(G$3&amp;$B$20&amp;_xlfn.ANCHORARRAY($B21),$BT:$CA,5,0),0),
0,_xlfn.ANCHORARRAY(F21)*(1+_xlfn.ANCHORARRAY($D21))+SUMIF($BT:$BT,G$3&amp;$B$20&amp;_xlfn.ANCHORARRAY($B21),$CA:$CA),
1,VLOOKUP(G$3&amp;$B$20&amp;_xlfn.ANCHORARRAY($B21),$BT:$CA,6,0),
2,_xlfn.ANCHORARRAY(F21)*(1+_xlfn.ANCHORARRAY($D21))*VLOOKUP(G$3&amp;$B$20&amp;_xlfn.ANCHORARRAY($B21),$BT:$CA,7,0))</f>
        <v>-12000</v>
      </c>
      <c r="H21" s="59" cm="1">
        <f t="array" aca="1" ref="H21:H25" ca="1">_xlfn.SWITCH(IFERROR(VLOOKUP(H$3&amp;$B$20&amp;_xlfn.ANCHORARRAY($B21),$BT:$CA,5,0),0),
0,_xlfn.ANCHORARRAY(G21)*(1+_xlfn.ANCHORARRAY($D21))+SUMIF($BT:$BT,H$3&amp;$B$20&amp;_xlfn.ANCHORARRAY($B21),$CA:$CA),
1,VLOOKUP(H$3&amp;$B$20&amp;_xlfn.ANCHORARRAY($B21),$BT:$CA,6,0),
2,_xlfn.ANCHORARRAY(G21)*(1+_xlfn.ANCHORARRAY($D21))*VLOOKUP(H$3&amp;$B$20&amp;_xlfn.ANCHORARRAY($B21),$BT:$CA,7,0))</f>
        <v>-12000</v>
      </c>
      <c r="I21" s="59" cm="1">
        <f t="array" aca="1" ref="I21:I25" ca="1">_xlfn.SWITCH(IFERROR(VLOOKUP(I$3&amp;$B$20&amp;_xlfn.ANCHORARRAY($B21),$BT:$CA,5,0),0),
0,_xlfn.ANCHORARRAY(H21)*(1+_xlfn.ANCHORARRAY($D21))+SUMIF($BT:$BT,I$3&amp;$B$20&amp;_xlfn.ANCHORARRAY($B21),$CA:$CA),
1,VLOOKUP(I$3&amp;$B$20&amp;_xlfn.ANCHORARRAY($B21),$BT:$CA,6,0),
2,_xlfn.ANCHORARRAY(H21)*(1+_xlfn.ANCHORARRAY($D21))*VLOOKUP(I$3&amp;$B$20&amp;_xlfn.ANCHORARRAY($B21),$BT:$CA,7,0))</f>
        <v>-12000</v>
      </c>
      <c r="J21" s="59" cm="1">
        <f t="array" aca="1" ref="J21:J25" ca="1">_xlfn.SWITCH(IFERROR(VLOOKUP(J$3&amp;$B$20&amp;_xlfn.ANCHORARRAY($B21),$BT:$CA,5,0),0),
0,_xlfn.ANCHORARRAY(I21)*(1+_xlfn.ANCHORARRAY($D21))+SUMIF($BT:$BT,J$3&amp;$B$20&amp;_xlfn.ANCHORARRAY($B21),$CA:$CA),
1,VLOOKUP(J$3&amp;$B$20&amp;_xlfn.ANCHORARRAY($B21),$BT:$CA,6,0),
2,_xlfn.ANCHORARRAY(I21)*(1+_xlfn.ANCHORARRAY($D21))*VLOOKUP(J$3&amp;$B$20&amp;_xlfn.ANCHORARRAY($B21),$BT:$CA,7,0))</f>
        <v>-12000</v>
      </c>
      <c r="K21" s="59" cm="1">
        <f t="array" aca="1" ref="K21:K25" ca="1">_xlfn.SWITCH(IFERROR(VLOOKUP(K$3&amp;$B$20&amp;_xlfn.ANCHORARRAY($B21),$BT:$CA,5,0),0),
0,_xlfn.ANCHORARRAY(J21)*(1+_xlfn.ANCHORARRAY($D21))+SUMIF($BT:$BT,K$3&amp;$B$20&amp;_xlfn.ANCHORARRAY($B21),$CA:$CA),
1,VLOOKUP(K$3&amp;$B$20&amp;_xlfn.ANCHORARRAY($B21),$BT:$CA,6,0),
2,_xlfn.ANCHORARRAY(J21)*(1+_xlfn.ANCHORARRAY($D21))*VLOOKUP(K$3&amp;$B$20&amp;_xlfn.ANCHORARRAY($B21),$BT:$CA,7,0))</f>
        <v>-8000</v>
      </c>
      <c r="L21" s="59" cm="1">
        <f t="array" aca="1" ref="L21:L25" ca="1">_xlfn.SWITCH(IFERROR(VLOOKUP(L$3&amp;$B$20&amp;_xlfn.ANCHORARRAY($B21),$BT:$CA,5,0),0),
0,_xlfn.ANCHORARRAY(K21)*(1+_xlfn.ANCHORARRAY($D21))+SUMIF($BT:$BT,L$3&amp;$B$20&amp;_xlfn.ANCHORARRAY($B21),$CA:$CA),
1,VLOOKUP(L$3&amp;$B$20&amp;_xlfn.ANCHORARRAY($B21),$BT:$CA,6,0),
2,_xlfn.ANCHORARRAY(K21)*(1+_xlfn.ANCHORARRAY($D21))*VLOOKUP(L$3&amp;$B$20&amp;_xlfn.ANCHORARRAY($B21),$BT:$CA,7,0))</f>
        <v>0</v>
      </c>
      <c r="M21" s="59" cm="1">
        <f t="array" aca="1" ref="M21:M25" ca="1">_xlfn.SWITCH(IFERROR(VLOOKUP(M$3&amp;$B$20&amp;_xlfn.ANCHORARRAY($B21),$BT:$CA,5,0),0),
0,_xlfn.ANCHORARRAY(L21)*(1+_xlfn.ANCHORARRAY($D21))+SUMIF($BT:$BT,M$3&amp;$B$20&amp;_xlfn.ANCHORARRAY($B21),$CA:$CA),
1,VLOOKUP(M$3&amp;$B$20&amp;_xlfn.ANCHORARRAY($B21),$BT:$CA,6,0),
2,_xlfn.ANCHORARRAY(L21)*(1+_xlfn.ANCHORARRAY($D21))*VLOOKUP(M$3&amp;$B$20&amp;_xlfn.ANCHORARRAY($B21),$BT:$CA,7,0))</f>
        <v>0</v>
      </c>
      <c r="N21" s="59" cm="1">
        <f t="array" aca="1" ref="N21:N25" ca="1">_xlfn.SWITCH(IFERROR(VLOOKUP(N$3&amp;$B$20&amp;_xlfn.ANCHORARRAY($B21),$BT:$CA,5,0),0),
0,_xlfn.ANCHORARRAY(M21)*(1+_xlfn.ANCHORARRAY($D21))+SUMIF($BT:$BT,N$3&amp;$B$20&amp;_xlfn.ANCHORARRAY($B21),$CA:$CA),
1,VLOOKUP(N$3&amp;$B$20&amp;_xlfn.ANCHORARRAY($B21),$BT:$CA,6,0),
2,_xlfn.ANCHORARRAY(M21)*(1+_xlfn.ANCHORARRAY($D21))*VLOOKUP(N$3&amp;$B$20&amp;_xlfn.ANCHORARRAY($B21),$BT:$CA,7,0))</f>
        <v>0</v>
      </c>
      <c r="O21" s="59" cm="1">
        <f t="array" aca="1" ref="O21:O25" ca="1">_xlfn.SWITCH(IFERROR(VLOOKUP(O$3&amp;$B$20&amp;_xlfn.ANCHORARRAY($B21),$BT:$CA,5,0),0),
0,_xlfn.ANCHORARRAY(N21)*(1+_xlfn.ANCHORARRAY($D21))+SUMIF($BT:$BT,O$3&amp;$B$20&amp;_xlfn.ANCHORARRAY($B21),$CA:$CA),
1,VLOOKUP(O$3&amp;$B$20&amp;_xlfn.ANCHORARRAY($B21),$BT:$CA,6,0),
2,_xlfn.ANCHORARRAY(N21)*(1+_xlfn.ANCHORARRAY($D21))*VLOOKUP(O$3&amp;$B$20&amp;_xlfn.ANCHORARRAY($B21),$BT:$CA,7,0))</f>
        <v>0</v>
      </c>
      <c r="P21" s="59" cm="1">
        <f t="array" aca="1" ref="P21:P25" ca="1">_xlfn.SWITCH(IFERROR(VLOOKUP(P$3&amp;$B$20&amp;_xlfn.ANCHORARRAY($B21),$BT:$CA,5,0),0),
0,_xlfn.ANCHORARRAY(O21)*(1+_xlfn.ANCHORARRAY($D21))+SUMIF($BT:$BT,P$3&amp;$B$20&amp;_xlfn.ANCHORARRAY($B21),$CA:$CA),
1,VLOOKUP(P$3&amp;$B$20&amp;_xlfn.ANCHORARRAY($B21),$BT:$CA,6,0),
2,_xlfn.ANCHORARRAY(O21)*(1+_xlfn.ANCHORARRAY($D21))*VLOOKUP(P$3&amp;$B$20&amp;_xlfn.ANCHORARRAY($B21),$BT:$CA,7,0))</f>
        <v>0</v>
      </c>
      <c r="Q21" s="59" cm="1">
        <f t="array" aca="1" ref="Q21:Q25" ca="1">_xlfn.SWITCH(IFERROR(VLOOKUP(Q$3&amp;$B$20&amp;_xlfn.ANCHORARRAY($B21),$BT:$CA,5,0),0),
0,_xlfn.ANCHORARRAY(P21)*(1+_xlfn.ANCHORARRAY($D21))+SUMIF($BT:$BT,Q$3&amp;$B$20&amp;_xlfn.ANCHORARRAY($B21),$CA:$CA),
1,VLOOKUP(Q$3&amp;$B$20&amp;_xlfn.ANCHORARRAY($B21),$BT:$CA,6,0),
2,_xlfn.ANCHORARRAY(P21)*(1+_xlfn.ANCHORARRAY($D21))*VLOOKUP(Q$3&amp;$B$20&amp;_xlfn.ANCHORARRAY($B21),$BT:$CA,7,0))</f>
        <v>0</v>
      </c>
      <c r="R21" s="59" cm="1">
        <f t="array" aca="1" ref="R21:R25" ca="1">_xlfn.SWITCH(IFERROR(VLOOKUP(R$3&amp;$B$20&amp;_xlfn.ANCHORARRAY($B21),$BT:$CA,5,0),0),
0,_xlfn.ANCHORARRAY(Q21)*(1+_xlfn.ANCHORARRAY($D21))+SUMIF($BT:$BT,R$3&amp;$B$20&amp;_xlfn.ANCHORARRAY($B21),$CA:$CA),
1,VLOOKUP(R$3&amp;$B$20&amp;_xlfn.ANCHORARRAY($B21),$BT:$CA,6,0),
2,_xlfn.ANCHORARRAY(Q21)*(1+_xlfn.ANCHORARRAY($D21))*VLOOKUP(R$3&amp;$B$20&amp;_xlfn.ANCHORARRAY($B21),$BT:$CA,7,0))</f>
        <v>0</v>
      </c>
      <c r="S21" s="59" cm="1">
        <f t="array" aca="1" ref="S21:S25" ca="1">_xlfn.SWITCH(IFERROR(VLOOKUP(S$3&amp;$B$20&amp;_xlfn.ANCHORARRAY($B21),$BT:$CA,5,0),0),
0,_xlfn.ANCHORARRAY(R21)*(1+_xlfn.ANCHORARRAY($D21))+SUMIF($BT:$BT,S$3&amp;$B$20&amp;_xlfn.ANCHORARRAY($B21),$CA:$CA),
1,VLOOKUP(S$3&amp;$B$20&amp;_xlfn.ANCHORARRAY($B21),$BT:$CA,6,0),
2,_xlfn.ANCHORARRAY(R21)*(1+_xlfn.ANCHORARRAY($D21))*VLOOKUP(S$3&amp;$B$20&amp;_xlfn.ANCHORARRAY($B21),$BT:$CA,7,0))</f>
        <v>0</v>
      </c>
      <c r="T21" s="59" cm="1">
        <f t="array" aca="1" ref="T21:T25" ca="1">_xlfn.SWITCH(IFERROR(VLOOKUP(T$3&amp;$B$20&amp;_xlfn.ANCHORARRAY($B21),$BT:$CA,5,0),0),
0,_xlfn.ANCHORARRAY(S21)*(1+_xlfn.ANCHORARRAY($D21))+SUMIF($BT:$BT,T$3&amp;$B$20&amp;_xlfn.ANCHORARRAY($B21),$CA:$CA),
1,VLOOKUP(T$3&amp;$B$20&amp;_xlfn.ANCHORARRAY($B21),$BT:$CA,6,0),
2,_xlfn.ANCHORARRAY(S21)*(1+_xlfn.ANCHORARRAY($D21))*VLOOKUP(T$3&amp;$B$20&amp;_xlfn.ANCHORARRAY($B21),$BT:$CA,7,0))</f>
        <v>0</v>
      </c>
      <c r="U21" s="59" cm="1">
        <f t="array" aca="1" ref="U21:U25" ca="1">_xlfn.SWITCH(IFERROR(VLOOKUP(U$3&amp;$B$20&amp;_xlfn.ANCHORARRAY($B21),$BT:$CA,5,0),0),
0,_xlfn.ANCHORARRAY(T21)*(1+_xlfn.ANCHORARRAY($D21))+SUMIF($BT:$BT,U$3&amp;$B$20&amp;_xlfn.ANCHORARRAY($B21),$CA:$CA),
1,VLOOKUP(U$3&amp;$B$20&amp;_xlfn.ANCHORARRAY($B21),$BT:$CA,6,0),
2,_xlfn.ANCHORARRAY(T21)*(1+_xlfn.ANCHORARRAY($D21))*VLOOKUP(U$3&amp;$B$20&amp;_xlfn.ANCHORARRAY($B21),$BT:$CA,7,0))</f>
        <v>0</v>
      </c>
      <c r="V21" s="59" cm="1">
        <f t="array" aca="1" ref="V21:V25" ca="1">_xlfn.SWITCH(IFERROR(VLOOKUP(V$3&amp;$B$20&amp;_xlfn.ANCHORARRAY($B21),$BT:$CA,5,0),0),
0,_xlfn.ANCHORARRAY(U21)*(1+_xlfn.ANCHORARRAY($D21))+SUMIF($BT:$BT,V$3&amp;$B$20&amp;_xlfn.ANCHORARRAY($B21),$CA:$CA),
1,VLOOKUP(V$3&amp;$B$20&amp;_xlfn.ANCHORARRAY($B21),$BT:$CA,6,0),
2,_xlfn.ANCHORARRAY(U21)*(1+_xlfn.ANCHORARRAY($D21))*VLOOKUP(V$3&amp;$B$20&amp;_xlfn.ANCHORARRAY($B21),$BT:$CA,7,0))</f>
        <v>0</v>
      </c>
      <c r="W21" s="59" cm="1">
        <f t="array" aca="1" ref="W21:W25" ca="1">_xlfn.SWITCH(IFERROR(VLOOKUP(W$3&amp;$B$20&amp;_xlfn.ANCHORARRAY($B21),$BT:$CA,5,0),0),
0,_xlfn.ANCHORARRAY(V21)*(1+_xlfn.ANCHORARRAY($D21))+SUMIF($BT:$BT,W$3&amp;$B$20&amp;_xlfn.ANCHORARRAY($B21),$CA:$CA),
1,VLOOKUP(W$3&amp;$B$20&amp;_xlfn.ANCHORARRAY($B21),$BT:$CA,6,0),
2,_xlfn.ANCHORARRAY(V21)*(1+_xlfn.ANCHORARRAY($D21))*VLOOKUP(W$3&amp;$B$20&amp;_xlfn.ANCHORARRAY($B21),$BT:$CA,7,0))</f>
        <v>0</v>
      </c>
      <c r="X21" s="59" cm="1">
        <f t="array" aca="1" ref="X21:X25" ca="1">_xlfn.SWITCH(IFERROR(VLOOKUP(X$3&amp;$B$20&amp;_xlfn.ANCHORARRAY($B21),$BT:$CA,5,0),0),
0,_xlfn.ANCHORARRAY(W21)*(1+_xlfn.ANCHORARRAY($D21))+SUMIF($BT:$BT,X$3&amp;$B$20&amp;_xlfn.ANCHORARRAY($B21),$CA:$CA),
1,VLOOKUP(X$3&amp;$B$20&amp;_xlfn.ANCHORARRAY($B21),$BT:$CA,6,0),
2,_xlfn.ANCHORARRAY(W21)*(1+_xlfn.ANCHORARRAY($D21))*VLOOKUP(X$3&amp;$B$20&amp;_xlfn.ANCHORARRAY($B21),$BT:$CA,7,0))</f>
        <v>0</v>
      </c>
      <c r="Y21" s="59" cm="1">
        <f t="array" aca="1" ref="Y21:Y25" ca="1">_xlfn.SWITCH(IFERROR(VLOOKUP(Y$3&amp;$B$20&amp;_xlfn.ANCHORARRAY($B21),$BT:$CA,5,0),0),
0,_xlfn.ANCHORARRAY(X21)*(1+_xlfn.ANCHORARRAY($D21))+SUMIF($BT:$BT,Y$3&amp;$B$20&amp;_xlfn.ANCHORARRAY($B21),$CA:$CA),
1,VLOOKUP(Y$3&amp;$B$20&amp;_xlfn.ANCHORARRAY($B21),$BT:$CA,6,0),
2,_xlfn.ANCHORARRAY(X21)*(1+_xlfn.ANCHORARRAY($D21))*VLOOKUP(Y$3&amp;$B$20&amp;_xlfn.ANCHORARRAY($B21),$BT:$CA,7,0))</f>
        <v>0</v>
      </c>
      <c r="Z21" s="59" cm="1">
        <f t="array" aca="1" ref="Z21:Z25" ca="1">_xlfn.SWITCH(IFERROR(VLOOKUP(Z$3&amp;$B$20&amp;_xlfn.ANCHORARRAY($B21),$BT:$CA,5,0),0),
0,_xlfn.ANCHORARRAY(Y21)*(1+_xlfn.ANCHORARRAY($D21))+SUMIF($BT:$BT,Z$3&amp;$B$20&amp;_xlfn.ANCHORARRAY($B21),$CA:$CA),
1,VLOOKUP(Z$3&amp;$B$20&amp;_xlfn.ANCHORARRAY($B21),$BT:$CA,6,0),
2,_xlfn.ANCHORARRAY(Y21)*(1+_xlfn.ANCHORARRAY($D21))*VLOOKUP(Z$3&amp;$B$20&amp;_xlfn.ANCHORARRAY($B21),$BT:$CA,7,0))</f>
        <v>0</v>
      </c>
      <c r="AA21" s="59" cm="1">
        <f t="array" aca="1" ref="AA21:AA25" ca="1">_xlfn.SWITCH(IFERROR(VLOOKUP(AA$3&amp;$B$20&amp;_xlfn.ANCHORARRAY($B21),$BT:$CA,5,0),0),
0,_xlfn.ANCHORARRAY(Z21)*(1+_xlfn.ANCHORARRAY($D21))+SUMIF($BT:$BT,AA$3&amp;$B$20&amp;_xlfn.ANCHORARRAY($B21),$CA:$CA),
1,VLOOKUP(AA$3&amp;$B$20&amp;_xlfn.ANCHORARRAY($B21),$BT:$CA,6,0),
2,_xlfn.ANCHORARRAY(Z21)*(1+_xlfn.ANCHORARRAY($D21))*VLOOKUP(AA$3&amp;$B$20&amp;_xlfn.ANCHORARRAY($B21),$BT:$CA,7,0))</f>
        <v>0</v>
      </c>
      <c r="AB21" s="59" cm="1">
        <f t="array" aca="1" ref="AB21:AB25" ca="1">_xlfn.SWITCH(IFERROR(VLOOKUP(AB$3&amp;$B$20&amp;_xlfn.ANCHORARRAY($B21),$BT:$CA,5,0),0),
0,_xlfn.ANCHORARRAY(AA21)*(1+_xlfn.ANCHORARRAY($D21))+SUMIF($BT:$BT,AB$3&amp;$B$20&amp;_xlfn.ANCHORARRAY($B21),$CA:$CA),
1,VLOOKUP(AB$3&amp;$B$20&amp;_xlfn.ANCHORARRAY($B21),$BT:$CA,6,0),
2,_xlfn.ANCHORARRAY(AA21)*(1+_xlfn.ANCHORARRAY($D21))*VLOOKUP(AB$3&amp;$B$20&amp;_xlfn.ANCHORARRAY($B21),$BT:$CA,7,0))</f>
        <v>0</v>
      </c>
      <c r="AC21" s="59" cm="1">
        <f t="array" aca="1" ref="AC21:AC25" ca="1">_xlfn.SWITCH(IFERROR(VLOOKUP(AC$3&amp;$B$20&amp;_xlfn.ANCHORARRAY($B21),$BT:$CA,5,0),0),
0,_xlfn.ANCHORARRAY(AB21)*(1+_xlfn.ANCHORARRAY($D21))+SUMIF($BT:$BT,AC$3&amp;$B$20&amp;_xlfn.ANCHORARRAY($B21),$CA:$CA),
1,VLOOKUP(AC$3&amp;$B$20&amp;_xlfn.ANCHORARRAY($B21),$BT:$CA,6,0),
2,_xlfn.ANCHORARRAY(AB21)*(1+_xlfn.ANCHORARRAY($D21))*VLOOKUP(AC$3&amp;$B$20&amp;_xlfn.ANCHORARRAY($B21),$BT:$CA,7,0))</f>
        <v>0</v>
      </c>
      <c r="AD21" s="59" cm="1">
        <f t="array" aca="1" ref="AD21:AD25" ca="1">_xlfn.SWITCH(IFERROR(VLOOKUP(AD$3&amp;$B$20&amp;_xlfn.ANCHORARRAY($B21),$BT:$CA,5,0),0),
0,_xlfn.ANCHORARRAY(AC21)*(1+_xlfn.ANCHORARRAY($D21))+SUMIF($BT:$BT,AD$3&amp;$B$20&amp;_xlfn.ANCHORARRAY($B21),$CA:$CA),
1,VLOOKUP(AD$3&amp;$B$20&amp;_xlfn.ANCHORARRAY($B21),$BT:$CA,6,0),
2,_xlfn.ANCHORARRAY(AC21)*(1+_xlfn.ANCHORARRAY($D21))*VLOOKUP(AD$3&amp;$B$20&amp;_xlfn.ANCHORARRAY($B21),$BT:$CA,7,0))</f>
        <v>0</v>
      </c>
      <c r="AE21" s="59" cm="1">
        <f t="array" aca="1" ref="AE21:AE25" ca="1">_xlfn.SWITCH(IFERROR(VLOOKUP(AE$3&amp;$B$20&amp;_xlfn.ANCHORARRAY($B21),$BT:$CA,5,0),0),
0,_xlfn.ANCHORARRAY(AD21)*(1+_xlfn.ANCHORARRAY($D21))+SUMIF($BT:$BT,AE$3&amp;$B$20&amp;_xlfn.ANCHORARRAY($B21),$CA:$CA),
1,VLOOKUP(AE$3&amp;$B$20&amp;_xlfn.ANCHORARRAY($B21),$BT:$CA,6,0),
2,_xlfn.ANCHORARRAY(AD21)*(1+_xlfn.ANCHORARRAY($D21))*VLOOKUP(AE$3&amp;$B$20&amp;_xlfn.ANCHORARRAY($B21),$BT:$CA,7,0))</f>
        <v>0</v>
      </c>
      <c r="AF21" s="59" cm="1">
        <f t="array" aca="1" ref="AF21:AF25" ca="1">_xlfn.SWITCH(IFERROR(VLOOKUP(AF$3&amp;$B$20&amp;_xlfn.ANCHORARRAY($B21),$BT:$CA,5,0),0),
0,_xlfn.ANCHORARRAY(AE21)*(1+_xlfn.ANCHORARRAY($D21))+SUMIF($BT:$BT,AF$3&amp;$B$20&amp;_xlfn.ANCHORARRAY($B21),$CA:$CA),
1,VLOOKUP(AF$3&amp;$B$20&amp;_xlfn.ANCHORARRAY($B21),$BT:$CA,6,0),
2,_xlfn.ANCHORARRAY(AE21)*(1+_xlfn.ANCHORARRAY($D21))*VLOOKUP(AF$3&amp;$B$20&amp;_xlfn.ANCHORARRAY($B21),$BT:$CA,7,0))</f>
        <v>0</v>
      </c>
      <c r="AG21" s="59" cm="1">
        <f t="array" aca="1" ref="AG21:AG25" ca="1">_xlfn.SWITCH(IFERROR(VLOOKUP(AG$3&amp;$B$20&amp;_xlfn.ANCHORARRAY($B21),$BT:$CA,5,0),0),
0,_xlfn.ANCHORARRAY(AF21)*(1+_xlfn.ANCHORARRAY($D21))+SUMIF($BT:$BT,AG$3&amp;$B$20&amp;_xlfn.ANCHORARRAY($B21),$CA:$CA),
1,VLOOKUP(AG$3&amp;$B$20&amp;_xlfn.ANCHORARRAY($B21),$BT:$CA,6,0),
2,_xlfn.ANCHORARRAY(AF21)*(1+_xlfn.ANCHORARRAY($D21))*VLOOKUP(AG$3&amp;$B$20&amp;_xlfn.ANCHORARRAY($B21),$BT:$CA,7,0))</f>
        <v>0</v>
      </c>
      <c r="AH21" s="59" cm="1">
        <f t="array" aca="1" ref="AH21:AH25" ca="1">_xlfn.SWITCH(IFERROR(VLOOKUP(AH$3&amp;$B$20&amp;_xlfn.ANCHORARRAY($B21),$BT:$CA,5,0),0),
0,_xlfn.ANCHORARRAY(AG21)*(1+_xlfn.ANCHORARRAY($D21))+SUMIF($BT:$BT,AH$3&amp;$B$20&amp;_xlfn.ANCHORARRAY($B21),$CA:$CA),
1,VLOOKUP(AH$3&amp;$B$20&amp;_xlfn.ANCHORARRAY($B21),$BT:$CA,6,0),
2,_xlfn.ANCHORARRAY(AG21)*(1+_xlfn.ANCHORARRAY($D21))*VLOOKUP(AH$3&amp;$B$20&amp;_xlfn.ANCHORARRAY($B21),$BT:$CA,7,0))</f>
        <v>0</v>
      </c>
      <c r="AI21" s="59" cm="1">
        <f t="array" aca="1" ref="AI21:AI25" ca="1">_xlfn.SWITCH(IFERROR(VLOOKUP(AI$3&amp;$B$20&amp;_xlfn.ANCHORARRAY($B21),$BT:$CA,5,0),0),
0,_xlfn.ANCHORARRAY(AH21)*(1+_xlfn.ANCHORARRAY($D21))+SUMIF($BT:$BT,AI$3&amp;$B$20&amp;_xlfn.ANCHORARRAY($B21),$CA:$CA),
1,VLOOKUP(AI$3&amp;$B$20&amp;_xlfn.ANCHORARRAY($B21),$BT:$CA,6,0),
2,_xlfn.ANCHORARRAY(AH21)*(1+_xlfn.ANCHORARRAY($D21))*VLOOKUP(AI$3&amp;$B$20&amp;_xlfn.ANCHORARRAY($B21),$BT:$CA,7,0))</f>
        <v>0</v>
      </c>
      <c r="AJ21" s="59" cm="1">
        <f t="array" aca="1" ref="AJ21:AJ25" ca="1">_xlfn.SWITCH(IFERROR(VLOOKUP(AJ$3&amp;$B$20&amp;_xlfn.ANCHORARRAY($B21),$BT:$CA,5,0),0),
0,_xlfn.ANCHORARRAY(AI21)*(1+_xlfn.ANCHORARRAY($D21))+SUMIF($BT:$BT,AJ$3&amp;$B$20&amp;_xlfn.ANCHORARRAY($B21),$CA:$CA),
1,VLOOKUP(AJ$3&amp;$B$20&amp;_xlfn.ANCHORARRAY($B21),$BT:$CA,6,0),
2,_xlfn.ANCHORARRAY(AI21)*(1+_xlfn.ANCHORARRAY($D21))*VLOOKUP(AJ$3&amp;$B$20&amp;_xlfn.ANCHORARRAY($B21),$BT:$CA,7,0))</f>
        <v>0</v>
      </c>
      <c r="AK21" s="59" cm="1">
        <f t="array" aca="1" ref="AK21:AK25" ca="1">_xlfn.SWITCH(IFERROR(VLOOKUP(AK$3&amp;$B$20&amp;_xlfn.ANCHORARRAY($B21),$BT:$CA,5,0),0),
0,_xlfn.ANCHORARRAY(AJ21)*(1+_xlfn.ANCHORARRAY($D21))+SUMIF($BT:$BT,AK$3&amp;$B$20&amp;_xlfn.ANCHORARRAY($B21),$CA:$CA),
1,VLOOKUP(AK$3&amp;$B$20&amp;_xlfn.ANCHORARRAY($B21),$BT:$CA,6,0),
2,_xlfn.ANCHORARRAY(AJ21)*(1+_xlfn.ANCHORARRAY($D21))*VLOOKUP(AK$3&amp;$B$20&amp;_xlfn.ANCHORARRAY($B21),$BT:$CA,7,0))</f>
        <v>0</v>
      </c>
      <c r="AL21" s="59" cm="1">
        <f t="array" aca="1" ref="AL21:AL25" ca="1">_xlfn.SWITCH(IFERROR(VLOOKUP(AL$3&amp;$B$20&amp;_xlfn.ANCHORARRAY($B21),$BT:$CA,5,0),0),
0,_xlfn.ANCHORARRAY(AK21)*(1+_xlfn.ANCHORARRAY($D21))+SUMIF($BT:$BT,AL$3&amp;$B$20&amp;_xlfn.ANCHORARRAY($B21),$CA:$CA),
1,VLOOKUP(AL$3&amp;$B$20&amp;_xlfn.ANCHORARRAY($B21),$BT:$CA,6,0),
2,_xlfn.ANCHORARRAY(AK21)*(1+_xlfn.ANCHORARRAY($D21))*VLOOKUP(AL$3&amp;$B$20&amp;_xlfn.ANCHORARRAY($B21),$BT:$CA,7,0))</f>
        <v>0</v>
      </c>
      <c r="AM21" s="59" cm="1">
        <f t="array" aca="1" ref="AM21:AM25" ca="1">_xlfn.SWITCH(IFERROR(VLOOKUP(AM$3&amp;$B$20&amp;_xlfn.ANCHORARRAY($B21),$BT:$CA,5,0),0),
0,_xlfn.ANCHORARRAY(AL21)*(1+_xlfn.ANCHORARRAY($D21))+SUMIF($BT:$BT,AM$3&amp;$B$20&amp;_xlfn.ANCHORARRAY($B21),$CA:$CA),
1,VLOOKUP(AM$3&amp;$B$20&amp;_xlfn.ANCHORARRAY($B21),$BT:$CA,6,0),
2,_xlfn.ANCHORARRAY(AL21)*(1+_xlfn.ANCHORARRAY($D21))*VLOOKUP(AM$3&amp;$B$20&amp;_xlfn.ANCHORARRAY($B21),$BT:$CA,7,0))</f>
        <v>0</v>
      </c>
      <c r="AN21" s="59" cm="1">
        <f t="array" aca="1" ref="AN21:AN25" ca="1">_xlfn.SWITCH(IFERROR(VLOOKUP(AN$3&amp;$B$20&amp;_xlfn.ANCHORARRAY($B21),$BT:$CA,5,0),0),
0,_xlfn.ANCHORARRAY(AM21)*(1+_xlfn.ANCHORARRAY($D21))+SUMIF($BT:$BT,AN$3&amp;$B$20&amp;_xlfn.ANCHORARRAY($B21),$CA:$CA),
1,VLOOKUP(AN$3&amp;$B$20&amp;_xlfn.ANCHORARRAY($B21),$BT:$CA,6,0),
2,_xlfn.ANCHORARRAY(AM21)*(1+_xlfn.ANCHORARRAY($D21))*VLOOKUP(AN$3&amp;$B$20&amp;_xlfn.ANCHORARRAY($B21),$BT:$CA,7,0))</f>
        <v>0</v>
      </c>
      <c r="AO21" s="59" cm="1">
        <f t="array" aca="1" ref="AO21:AO25" ca="1">_xlfn.SWITCH(IFERROR(VLOOKUP(AO$3&amp;$B$20&amp;_xlfn.ANCHORARRAY($B21),$BT:$CA,5,0),0),
0,_xlfn.ANCHORARRAY(AN21)*(1+_xlfn.ANCHORARRAY($D21))+SUMIF($BT:$BT,AO$3&amp;$B$20&amp;_xlfn.ANCHORARRAY($B21),$CA:$CA),
1,VLOOKUP(AO$3&amp;$B$20&amp;_xlfn.ANCHORARRAY($B21),$BT:$CA,6,0),
2,_xlfn.ANCHORARRAY(AN21)*(1+_xlfn.ANCHORARRAY($D21))*VLOOKUP(AO$3&amp;$B$20&amp;_xlfn.ANCHORARRAY($B21),$BT:$CA,7,0))</f>
        <v>0</v>
      </c>
      <c r="AP21" s="59" cm="1">
        <f t="array" aca="1" ref="AP21:AP25" ca="1">_xlfn.SWITCH(IFERROR(VLOOKUP(AP$3&amp;$B$20&amp;_xlfn.ANCHORARRAY($B21),$BT:$CA,5,0),0),
0,_xlfn.ANCHORARRAY(AO21)*(1+_xlfn.ANCHORARRAY($D21))+SUMIF($BT:$BT,AP$3&amp;$B$20&amp;_xlfn.ANCHORARRAY($B21),$CA:$CA),
1,VLOOKUP(AP$3&amp;$B$20&amp;_xlfn.ANCHORARRAY($B21),$BT:$CA,6,0),
2,_xlfn.ANCHORARRAY(AO21)*(1+_xlfn.ANCHORARRAY($D21))*VLOOKUP(AP$3&amp;$B$20&amp;_xlfn.ANCHORARRAY($B21),$BT:$CA,7,0))</f>
        <v>0</v>
      </c>
      <c r="AQ21" s="59" cm="1">
        <f t="array" aca="1" ref="AQ21:AQ25" ca="1">_xlfn.SWITCH(IFERROR(VLOOKUP(AQ$3&amp;$B$20&amp;_xlfn.ANCHORARRAY($B21),$BT:$CA,5,0),0),
0,_xlfn.ANCHORARRAY(AP21)*(1+_xlfn.ANCHORARRAY($D21))+SUMIF($BT:$BT,AQ$3&amp;$B$20&amp;_xlfn.ANCHORARRAY($B21),$CA:$CA),
1,VLOOKUP(AQ$3&amp;$B$20&amp;_xlfn.ANCHORARRAY($B21),$BT:$CA,6,0),
2,_xlfn.ANCHORARRAY(AP21)*(1+_xlfn.ANCHORARRAY($D21))*VLOOKUP(AQ$3&amp;$B$20&amp;_xlfn.ANCHORARRAY($B21),$BT:$CA,7,0))</f>
        <v>0</v>
      </c>
      <c r="AR21" s="59" cm="1">
        <f t="array" aca="1" ref="AR21:AR25" ca="1">_xlfn.SWITCH(IFERROR(VLOOKUP(AR$3&amp;$B$20&amp;_xlfn.ANCHORARRAY($B21),$BT:$CA,5,0),0),
0,_xlfn.ANCHORARRAY(AQ21)*(1+_xlfn.ANCHORARRAY($D21))+SUMIF($BT:$BT,AR$3&amp;$B$20&amp;_xlfn.ANCHORARRAY($B21),$CA:$CA),
1,VLOOKUP(AR$3&amp;$B$20&amp;_xlfn.ANCHORARRAY($B21),$BT:$CA,6,0),
2,_xlfn.ANCHORARRAY(AQ21)*(1+_xlfn.ANCHORARRAY($D21))*VLOOKUP(AR$3&amp;$B$20&amp;_xlfn.ANCHORARRAY($B21),$BT:$CA,7,0))</f>
        <v>0</v>
      </c>
      <c r="AS21" s="59" cm="1">
        <f t="array" aca="1" ref="AS21:AS25" ca="1">_xlfn.SWITCH(IFERROR(VLOOKUP(AS$3&amp;$B$20&amp;_xlfn.ANCHORARRAY($B21),$BT:$CA,5,0),0),
0,_xlfn.ANCHORARRAY(AR21)*(1+_xlfn.ANCHORARRAY($D21))+SUMIF($BT:$BT,AS$3&amp;$B$20&amp;_xlfn.ANCHORARRAY($B21),$CA:$CA),
1,VLOOKUP(AS$3&amp;$B$20&amp;_xlfn.ANCHORARRAY($B21),$BT:$CA,6,0),
2,_xlfn.ANCHORARRAY(AR21)*(1+_xlfn.ANCHORARRAY($D21))*VLOOKUP(AS$3&amp;$B$20&amp;_xlfn.ANCHORARRAY($B21),$BT:$CA,7,0))</f>
        <v>0</v>
      </c>
      <c r="AT21" s="59" cm="1">
        <f t="array" aca="1" ref="AT21:AT25" ca="1">_xlfn.SWITCH(IFERROR(VLOOKUP(AT$3&amp;$B$20&amp;_xlfn.ANCHORARRAY($B21),$BT:$CA,5,0),0),
0,_xlfn.ANCHORARRAY(AS21)*(1+_xlfn.ANCHORARRAY($D21))+SUMIF($BT:$BT,AT$3&amp;$B$20&amp;_xlfn.ANCHORARRAY($B21),$CA:$CA),
1,VLOOKUP(AT$3&amp;$B$20&amp;_xlfn.ANCHORARRAY($B21),$BT:$CA,6,0),
2,_xlfn.ANCHORARRAY(AS21)*(1+_xlfn.ANCHORARRAY($D21))*VLOOKUP(AT$3&amp;$B$20&amp;_xlfn.ANCHORARRAY($B21),$BT:$CA,7,0))</f>
        <v>0</v>
      </c>
      <c r="AU21" s="59" cm="1">
        <f t="array" aca="1" ref="AU21:AU25" ca="1">_xlfn.SWITCH(IFERROR(VLOOKUP(AU$3&amp;$B$20&amp;_xlfn.ANCHORARRAY($B21),$BT:$CA,5,0),0),
0,_xlfn.ANCHORARRAY(AT21)*(1+_xlfn.ANCHORARRAY($D21))+SUMIF($BT:$BT,AU$3&amp;$B$20&amp;_xlfn.ANCHORARRAY($B21),$CA:$CA),
1,VLOOKUP(AU$3&amp;$B$20&amp;_xlfn.ANCHORARRAY($B21),$BT:$CA,6,0),
2,_xlfn.ANCHORARRAY(AT21)*(1+_xlfn.ANCHORARRAY($D21))*VLOOKUP(AU$3&amp;$B$20&amp;_xlfn.ANCHORARRAY($B21),$BT:$CA,7,0))</f>
        <v>0</v>
      </c>
      <c r="AV21" s="59" cm="1">
        <f t="array" aca="1" ref="AV21:AV25" ca="1">_xlfn.SWITCH(IFERROR(VLOOKUP(AV$3&amp;$B$20&amp;_xlfn.ANCHORARRAY($B21),$BT:$CA,5,0),0),
0,_xlfn.ANCHORARRAY(AU21)*(1+_xlfn.ANCHORARRAY($D21))+SUMIF($BT:$BT,AV$3&amp;$B$20&amp;_xlfn.ANCHORARRAY($B21),$CA:$CA),
1,VLOOKUP(AV$3&amp;$B$20&amp;_xlfn.ANCHORARRAY($B21),$BT:$CA,6,0),
2,_xlfn.ANCHORARRAY(AU21)*(1+_xlfn.ANCHORARRAY($D21))*VLOOKUP(AV$3&amp;$B$20&amp;_xlfn.ANCHORARRAY($B21),$BT:$CA,7,0))</f>
        <v>0</v>
      </c>
      <c r="AW21" s="59" cm="1">
        <f t="array" aca="1" ref="AW21:AW25" ca="1">_xlfn.SWITCH(IFERROR(VLOOKUP(AW$3&amp;$B$20&amp;_xlfn.ANCHORARRAY($B21),$BT:$CA,5,0),0),
0,_xlfn.ANCHORARRAY(AV21)*(1+_xlfn.ANCHORARRAY($D21))+SUMIF($BT:$BT,AW$3&amp;$B$20&amp;_xlfn.ANCHORARRAY($B21),$CA:$CA),
1,VLOOKUP(AW$3&amp;$B$20&amp;_xlfn.ANCHORARRAY($B21),$BT:$CA,6,0),
2,_xlfn.ANCHORARRAY(AV21)*(1+_xlfn.ANCHORARRAY($D21))*VLOOKUP(AW$3&amp;$B$20&amp;_xlfn.ANCHORARRAY($B21),$BT:$CA,7,0))</f>
        <v>0</v>
      </c>
      <c r="AX21" s="59" cm="1">
        <f t="array" aca="1" ref="AX21:AX25" ca="1">_xlfn.SWITCH(IFERROR(VLOOKUP(AX$3&amp;$B$20&amp;_xlfn.ANCHORARRAY($B21),$BT:$CA,5,0),0),
0,_xlfn.ANCHORARRAY(AW21)*(1+_xlfn.ANCHORARRAY($D21))+SUMIF($BT:$BT,AX$3&amp;$B$20&amp;_xlfn.ANCHORARRAY($B21),$CA:$CA),
1,VLOOKUP(AX$3&amp;$B$20&amp;_xlfn.ANCHORARRAY($B21),$BT:$CA,6,0),
2,_xlfn.ANCHORARRAY(AW21)*(1+_xlfn.ANCHORARRAY($D21))*VLOOKUP(AX$3&amp;$B$20&amp;_xlfn.ANCHORARRAY($B21),$BT:$CA,7,0))</f>
        <v>0</v>
      </c>
      <c r="AY21" s="59" cm="1">
        <f t="array" aca="1" ref="AY21:AY25" ca="1">_xlfn.SWITCH(IFERROR(VLOOKUP(AY$3&amp;$B$20&amp;_xlfn.ANCHORARRAY($B21),$BT:$CA,5,0),0),
0,_xlfn.ANCHORARRAY(AX21)*(1+_xlfn.ANCHORARRAY($D21))+SUMIF($BT:$BT,AY$3&amp;$B$20&amp;_xlfn.ANCHORARRAY($B21),$CA:$CA),
1,VLOOKUP(AY$3&amp;$B$20&amp;_xlfn.ANCHORARRAY($B21),$BT:$CA,6,0),
2,_xlfn.ANCHORARRAY(AX21)*(1+_xlfn.ANCHORARRAY($D21))*VLOOKUP(AY$3&amp;$B$20&amp;_xlfn.ANCHORARRAY($B21),$BT:$CA,7,0))</f>
        <v>0</v>
      </c>
      <c r="AZ21" s="59" cm="1">
        <f t="array" aca="1" ref="AZ21:AZ25" ca="1">_xlfn.SWITCH(IFERROR(VLOOKUP(AZ$3&amp;$B$20&amp;_xlfn.ANCHORARRAY($B21),$BT:$CA,5,0),0),
0,_xlfn.ANCHORARRAY(AY21)*(1+_xlfn.ANCHORARRAY($D21))+SUMIF($BT:$BT,AZ$3&amp;$B$20&amp;_xlfn.ANCHORARRAY($B21),$CA:$CA),
1,VLOOKUP(AZ$3&amp;$B$20&amp;_xlfn.ANCHORARRAY($B21),$BT:$CA,6,0),
2,_xlfn.ANCHORARRAY(AY21)*(1+_xlfn.ANCHORARRAY($D21))*VLOOKUP(AZ$3&amp;$B$20&amp;_xlfn.ANCHORARRAY($B21),$BT:$CA,7,0))</f>
        <v>0</v>
      </c>
      <c r="BA21" s="59" cm="1">
        <f t="array" aca="1" ref="BA21:BA25" ca="1">_xlfn.SWITCH(IFERROR(VLOOKUP(BA$3&amp;$B$20&amp;_xlfn.ANCHORARRAY($B21),$BT:$CA,5,0),0),
0,_xlfn.ANCHORARRAY(AZ21)*(1+_xlfn.ANCHORARRAY($D21))+SUMIF($BT:$BT,BA$3&amp;$B$20&amp;_xlfn.ANCHORARRAY($B21),$CA:$CA),
1,VLOOKUP(BA$3&amp;$B$20&amp;_xlfn.ANCHORARRAY($B21),$BT:$CA,6,0),
2,_xlfn.ANCHORARRAY(AZ21)*(1+_xlfn.ANCHORARRAY($D21))*VLOOKUP(BA$3&amp;$B$20&amp;_xlfn.ANCHORARRAY($B21),$BT:$CA,7,0))</f>
        <v>0</v>
      </c>
      <c r="BS21" s="5">
        <f t="shared" si="0"/>
        <v>0</v>
      </c>
      <c r="BT21" s="5" t="str">
        <f t="shared" si="1"/>
        <v>2029V_Hypo4</v>
      </c>
      <c r="BU21">
        <v>2029</v>
      </c>
      <c r="BV21" t="s">
        <v>99</v>
      </c>
      <c r="BW21">
        <v>4</v>
      </c>
      <c r="BX21">
        <v>1</v>
      </c>
      <c r="BY21" s="12">
        <v>0</v>
      </c>
      <c r="CB21" t="s">
        <v>294</v>
      </c>
      <c r="CC21">
        <v>1</v>
      </c>
      <c r="CD21" s="5" t="str">
        <f t="shared" ca="1" si="4"/>
        <v>Sheldon</v>
      </c>
      <c r="CE21" s="5" t="str">
        <f t="shared" ca="1" si="5"/>
        <v>PostFinance Festhypo</v>
      </c>
      <c r="CF21" s="5" t="str">
        <f t="shared" ca="1" si="6"/>
        <v>Sheldon - PostFinance Festhypo - Erneuerung Hyporthek</v>
      </c>
      <c r="CG21" s="5"/>
    </row>
    <row r="22" spans="1:85" x14ac:dyDescent="0.25">
      <c r="A22" s="57" t="str">
        <f ca="1"/>
        <v>Säule 3a Beitrag</v>
      </c>
      <c r="B22" s="57">
        <f ca="1"/>
        <v>6</v>
      </c>
      <c r="C22" s="53" t="str">
        <f ca="1"/>
        <v>Amy</v>
      </c>
      <c r="D22" s="54">
        <f ca="1"/>
        <v>0</v>
      </c>
      <c r="E22" s="54"/>
      <c r="F22" s="59">
        <f ca="1"/>
        <v>-7056</v>
      </c>
      <c r="G22" s="59">
        <f ca="1"/>
        <v>-7056</v>
      </c>
      <c r="H22" s="59">
        <f ca="1"/>
        <v>-7056</v>
      </c>
      <c r="I22" s="59">
        <f ca="1"/>
        <v>-7056</v>
      </c>
      <c r="J22" s="59">
        <f ca="1"/>
        <v>-7056</v>
      </c>
      <c r="K22" s="59">
        <f ca="1"/>
        <v>-7056</v>
      </c>
      <c r="L22" s="59">
        <f ca="1"/>
        <v>-5600</v>
      </c>
      <c r="M22" s="59">
        <f ca="1"/>
        <v>-2800</v>
      </c>
      <c r="N22" s="59">
        <f ca="1"/>
        <v>0</v>
      </c>
      <c r="O22" s="59">
        <f ca="1"/>
        <v>0</v>
      </c>
      <c r="P22" s="59">
        <f ca="1"/>
        <v>0</v>
      </c>
      <c r="Q22" s="59">
        <f ca="1"/>
        <v>0</v>
      </c>
      <c r="R22" s="59">
        <f ca="1"/>
        <v>0</v>
      </c>
      <c r="S22" s="59">
        <f ca="1"/>
        <v>0</v>
      </c>
      <c r="T22" s="59">
        <f ca="1"/>
        <v>0</v>
      </c>
      <c r="U22" s="59">
        <f ca="1"/>
        <v>0</v>
      </c>
      <c r="V22" s="59">
        <f ca="1"/>
        <v>0</v>
      </c>
      <c r="W22" s="59">
        <f ca="1"/>
        <v>0</v>
      </c>
      <c r="X22" s="59">
        <f ca="1"/>
        <v>0</v>
      </c>
      <c r="Y22" s="59">
        <f ca="1"/>
        <v>0</v>
      </c>
      <c r="Z22" s="59">
        <f ca="1"/>
        <v>0</v>
      </c>
      <c r="AA22" s="59">
        <f ca="1"/>
        <v>0</v>
      </c>
      <c r="AB22" s="59">
        <f ca="1"/>
        <v>0</v>
      </c>
      <c r="AC22" s="59">
        <f ca="1"/>
        <v>0</v>
      </c>
      <c r="AD22" s="59">
        <f ca="1"/>
        <v>0</v>
      </c>
      <c r="AE22" s="59">
        <f ca="1"/>
        <v>0</v>
      </c>
      <c r="AF22" s="59">
        <f ca="1"/>
        <v>0</v>
      </c>
      <c r="AG22" s="59">
        <f ca="1"/>
        <v>0</v>
      </c>
      <c r="AH22" s="59">
        <f ca="1"/>
        <v>0</v>
      </c>
      <c r="AI22" s="59">
        <f ca="1"/>
        <v>0</v>
      </c>
      <c r="AJ22" s="59">
        <f ca="1"/>
        <v>0</v>
      </c>
      <c r="AK22" s="59">
        <f ca="1"/>
        <v>0</v>
      </c>
      <c r="AL22" s="59">
        <f ca="1"/>
        <v>0</v>
      </c>
      <c r="AM22" s="59">
        <f ca="1"/>
        <v>0</v>
      </c>
      <c r="AN22" s="59">
        <f ca="1"/>
        <v>0</v>
      </c>
      <c r="AO22" s="59">
        <f ca="1"/>
        <v>0</v>
      </c>
      <c r="AP22" s="59">
        <f ca="1"/>
        <v>0</v>
      </c>
      <c r="AQ22" s="59">
        <f ca="1"/>
        <v>0</v>
      </c>
      <c r="AR22" s="59">
        <f ca="1"/>
        <v>0</v>
      </c>
      <c r="AS22" s="59">
        <f ca="1"/>
        <v>0</v>
      </c>
      <c r="AT22" s="59">
        <f ca="1"/>
        <v>0</v>
      </c>
      <c r="AU22" s="59">
        <f ca="1"/>
        <v>0</v>
      </c>
      <c r="AV22" s="59">
        <f ca="1"/>
        <v>0</v>
      </c>
      <c r="AW22" s="59">
        <f ca="1"/>
        <v>0</v>
      </c>
      <c r="AX22" s="59">
        <f ca="1"/>
        <v>0</v>
      </c>
      <c r="AY22" s="59">
        <f ca="1"/>
        <v>0</v>
      </c>
      <c r="AZ22" s="59">
        <f ca="1"/>
        <v>0</v>
      </c>
      <c r="BA22" s="59">
        <f ca="1"/>
        <v>0</v>
      </c>
      <c r="BS22" s="5">
        <f t="shared" si="0"/>
        <v>1</v>
      </c>
      <c r="BT22" s="5" t="str">
        <f t="shared" si="1"/>
        <v>2029V_Hypo5</v>
      </c>
      <c r="BU22">
        <v>2029</v>
      </c>
      <c r="BV22" t="s">
        <v>99</v>
      </c>
      <c r="BW22">
        <v>5</v>
      </c>
      <c r="BX22">
        <v>0</v>
      </c>
      <c r="CA22">
        <v>-300000</v>
      </c>
      <c r="CB22" t="s">
        <v>238</v>
      </c>
      <c r="CD22" s="5" t="str">
        <f t="shared" ca="1" si="4"/>
        <v>-</v>
      </c>
      <c r="CE22" s="5" t="str">
        <f t="shared" ca="1" si="5"/>
        <v>Nachfolgehypothek</v>
      </c>
      <c r="CF22" s="5" t="str">
        <f t="shared" ca="1" si="6"/>
        <v>- - Nachfolgehypothek - Erneuerung Festhypo Raiffeisen</v>
      </c>
      <c r="CG22" s="5"/>
    </row>
    <row r="23" spans="1:85" x14ac:dyDescent="0.25">
      <c r="A23" s="57" t="str">
        <f ca="1"/>
        <v>Säule 3b Beitrag</v>
      </c>
      <c r="B23" s="57">
        <f ca="1"/>
        <v>7</v>
      </c>
      <c r="C23" s="53" t="str">
        <f ca="1"/>
        <v>Amy</v>
      </c>
      <c r="D23" s="54">
        <f ca="1"/>
        <v>0</v>
      </c>
      <c r="E23" s="54"/>
      <c r="F23" s="59">
        <f ca="1"/>
        <v>-2868</v>
      </c>
      <c r="G23" s="59">
        <f ca="1"/>
        <v>-2868</v>
      </c>
      <c r="H23" s="59">
        <f ca="1"/>
        <v>-2868</v>
      </c>
      <c r="I23" s="59">
        <f ca="1"/>
        <v>-2868</v>
      </c>
      <c r="J23" s="59">
        <f ca="1"/>
        <v>-2868</v>
      </c>
      <c r="K23" s="59">
        <f ca="1"/>
        <v>-1912</v>
      </c>
      <c r="L23" s="59">
        <f ca="1"/>
        <v>0</v>
      </c>
      <c r="M23" s="59">
        <f ca="1"/>
        <v>0</v>
      </c>
      <c r="N23" s="59">
        <f ca="1"/>
        <v>0</v>
      </c>
      <c r="O23" s="59">
        <f ca="1"/>
        <v>0</v>
      </c>
      <c r="P23" s="59">
        <f ca="1"/>
        <v>0</v>
      </c>
      <c r="Q23" s="59">
        <f ca="1"/>
        <v>0</v>
      </c>
      <c r="R23" s="59">
        <f ca="1"/>
        <v>0</v>
      </c>
      <c r="S23" s="59">
        <f ca="1"/>
        <v>0</v>
      </c>
      <c r="T23" s="59">
        <f ca="1"/>
        <v>0</v>
      </c>
      <c r="U23" s="59">
        <f ca="1"/>
        <v>0</v>
      </c>
      <c r="V23" s="59">
        <f ca="1"/>
        <v>0</v>
      </c>
      <c r="W23" s="59">
        <f ca="1"/>
        <v>0</v>
      </c>
      <c r="X23" s="59">
        <f ca="1"/>
        <v>0</v>
      </c>
      <c r="Y23" s="59">
        <f ca="1"/>
        <v>0</v>
      </c>
      <c r="Z23" s="59">
        <f ca="1"/>
        <v>0</v>
      </c>
      <c r="AA23" s="59">
        <f ca="1"/>
        <v>0</v>
      </c>
      <c r="AB23" s="59">
        <f ca="1"/>
        <v>0</v>
      </c>
      <c r="AC23" s="59">
        <f ca="1"/>
        <v>0</v>
      </c>
      <c r="AD23" s="59">
        <f ca="1"/>
        <v>0</v>
      </c>
      <c r="AE23" s="59">
        <f ca="1"/>
        <v>0</v>
      </c>
      <c r="AF23" s="59">
        <f ca="1"/>
        <v>0</v>
      </c>
      <c r="AG23" s="59">
        <f ca="1"/>
        <v>0</v>
      </c>
      <c r="AH23" s="59">
        <f ca="1"/>
        <v>0</v>
      </c>
      <c r="AI23" s="59">
        <f ca="1"/>
        <v>0</v>
      </c>
      <c r="AJ23" s="59">
        <f ca="1"/>
        <v>0</v>
      </c>
      <c r="AK23" s="59">
        <f ca="1"/>
        <v>0</v>
      </c>
      <c r="AL23" s="59">
        <f ca="1"/>
        <v>0</v>
      </c>
      <c r="AM23" s="59">
        <f ca="1"/>
        <v>0</v>
      </c>
      <c r="AN23" s="59">
        <f ca="1"/>
        <v>0</v>
      </c>
      <c r="AO23" s="59">
        <f ca="1"/>
        <v>0</v>
      </c>
      <c r="AP23" s="59">
        <f ca="1"/>
        <v>0</v>
      </c>
      <c r="AQ23" s="59">
        <f ca="1"/>
        <v>0</v>
      </c>
      <c r="AR23" s="59">
        <f ca="1"/>
        <v>0</v>
      </c>
      <c r="AS23" s="59">
        <f ca="1"/>
        <v>0</v>
      </c>
      <c r="AT23" s="59">
        <f ca="1"/>
        <v>0</v>
      </c>
      <c r="AU23" s="59">
        <f ca="1"/>
        <v>0</v>
      </c>
      <c r="AV23" s="59">
        <f ca="1"/>
        <v>0</v>
      </c>
      <c r="AW23" s="59">
        <f ca="1"/>
        <v>0</v>
      </c>
      <c r="AX23" s="59">
        <f ca="1"/>
        <v>0</v>
      </c>
      <c r="AY23" s="59">
        <f ca="1"/>
        <v>0</v>
      </c>
      <c r="AZ23" s="59">
        <f ca="1"/>
        <v>0</v>
      </c>
      <c r="BA23" s="59">
        <f ca="1"/>
        <v>0</v>
      </c>
      <c r="BS23" s="5">
        <f t="shared" si="0"/>
        <v>0</v>
      </c>
      <c r="BT23" s="5" t="str">
        <f t="shared" si="1"/>
        <v>2024V_Vorsorg5</v>
      </c>
      <c r="BU23">
        <v>2024</v>
      </c>
      <c r="BV23" t="s">
        <v>95</v>
      </c>
      <c r="BW23">
        <v>5</v>
      </c>
      <c r="BX23">
        <v>1</v>
      </c>
      <c r="BY23" s="12">
        <v>0</v>
      </c>
      <c r="CB23" t="s">
        <v>244</v>
      </c>
      <c r="CC23">
        <v>1</v>
      </c>
      <c r="CD23" s="5" t="str">
        <f t="shared" ca="1" si="4"/>
        <v>Amy</v>
      </c>
      <c r="CE23" s="5" t="str">
        <f t="shared" ca="1" si="5"/>
        <v>MigrosBank Säule 3a Depot</v>
      </c>
      <c r="CF23" s="5" t="str">
        <f t="shared" ca="1" si="6"/>
        <v>Amy - MigrosBank Säule 3a Depot - Bezug</v>
      </c>
      <c r="CG23" s="5"/>
    </row>
    <row r="24" spans="1:85" x14ac:dyDescent="0.25">
      <c r="A24" s="57" t="str">
        <f ca="1"/>
        <v>Säule 3a Beitrag</v>
      </c>
      <c r="B24" s="57">
        <f ca="1"/>
        <v>5</v>
      </c>
      <c r="C24" s="53" t="str">
        <f ca="1"/>
        <v>Sheldon</v>
      </c>
      <c r="D24" s="54">
        <f ca="1"/>
        <v>0</v>
      </c>
      <c r="E24" s="54"/>
      <c r="F24" s="59">
        <f ca="1"/>
        <v>-7056</v>
      </c>
      <c r="G24" s="59">
        <f ca="1"/>
        <v>-7056</v>
      </c>
      <c r="H24" s="59">
        <f ca="1"/>
        <v>-7056</v>
      </c>
      <c r="I24" s="59">
        <f ca="1"/>
        <v>-7056</v>
      </c>
      <c r="J24" s="59">
        <f ca="1"/>
        <v>-7056</v>
      </c>
      <c r="K24" s="59">
        <f ca="1"/>
        <v>-7056</v>
      </c>
      <c r="L24" s="59">
        <f ca="1"/>
        <v>-7056</v>
      </c>
      <c r="M24" s="59">
        <f ca="1"/>
        <v>0</v>
      </c>
      <c r="N24" s="59">
        <f ca="1"/>
        <v>0</v>
      </c>
      <c r="O24" s="59">
        <f ca="1"/>
        <v>0</v>
      </c>
      <c r="P24" s="59">
        <f ca="1"/>
        <v>0</v>
      </c>
      <c r="Q24" s="59">
        <f ca="1"/>
        <v>0</v>
      </c>
      <c r="R24" s="59">
        <f ca="1"/>
        <v>0</v>
      </c>
      <c r="S24" s="59">
        <f ca="1"/>
        <v>0</v>
      </c>
      <c r="T24" s="59">
        <f ca="1"/>
        <v>0</v>
      </c>
      <c r="U24" s="59">
        <f ca="1"/>
        <v>0</v>
      </c>
      <c r="V24" s="59">
        <f ca="1"/>
        <v>0</v>
      </c>
      <c r="W24" s="59">
        <f ca="1"/>
        <v>0</v>
      </c>
      <c r="X24" s="59">
        <f ca="1"/>
        <v>0</v>
      </c>
      <c r="Y24" s="59">
        <f ca="1"/>
        <v>0</v>
      </c>
      <c r="Z24" s="59">
        <f ca="1"/>
        <v>0</v>
      </c>
      <c r="AA24" s="59">
        <f ca="1"/>
        <v>0</v>
      </c>
      <c r="AB24" s="59">
        <f ca="1"/>
        <v>0</v>
      </c>
      <c r="AC24" s="59">
        <f ca="1"/>
        <v>0</v>
      </c>
      <c r="AD24" s="59">
        <f ca="1"/>
        <v>0</v>
      </c>
      <c r="AE24" s="59">
        <f ca="1"/>
        <v>0</v>
      </c>
      <c r="AF24" s="59">
        <f ca="1"/>
        <v>0</v>
      </c>
      <c r="AG24" s="59">
        <f ca="1"/>
        <v>0</v>
      </c>
      <c r="AH24" s="59">
        <f ca="1"/>
        <v>0</v>
      </c>
      <c r="AI24" s="59">
        <f ca="1"/>
        <v>0</v>
      </c>
      <c r="AJ24" s="59">
        <f ca="1"/>
        <v>0</v>
      </c>
      <c r="AK24" s="59">
        <f ca="1"/>
        <v>0</v>
      </c>
      <c r="AL24" s="59">
        <f ca="1"/>
        <v>0</v>
      </c>
      <c r="AM24" s="59">
        <f ca="1"/>
        <v>0</v>
      </c>
      <c r="AN24" s="59">
        <f ca="1"/>
        <v>0</v>
      </c>
      <c r="AO24" s="59">
        <f ca="1"/>
        <v>0</v>
      </c>
      <c r="AP24" s="59">
        <f ca="1"/>
        <v>0</v>
      </c>
      <c r="AQ24" s="59">
        <f ca="1"/>
        <v>0</v>
      </c>
      <c r="AR24" s="59">
        <f ca="1"/>
        <v>0</v>
      </c>
      <c r="AS24" s="59">
        <f ca="1"/>
        <v>0</v>
      </c>
      <c r="AT24" s="59">
        <f ca="1"/>
        <v>0</v>
      </c>
      <c r="AU24" s="59">
        <f ca="1"/>
        <v>0</v>
      </c>
      <c r="AV24" s="59">
        <f ca="1"/>
        <v>0</v>
      </c>
      <c r="AW24" s="59">
        <f ca="1"/>
        <v>0</v>
      </c>
      <c r="AX24" s="59">
        <f ca="1"/>
        <v>0</v>
      </c>
      <c r="AY24" s="59">
        <f ca="1"/>
        <v>0</v>
      </c>
      <c r="AZ24" s="59">
        <f ca="1"/>
        <v>0</v>
      </c>
      <c r="BA24" s="59">
        <f ca="1"/>
        <v>0</v>
      </c>
      <c r="BS24" s="5">
        <f t="shared" si="0"/>
        <v>0</v>
      </c>
      <c r="BT24" s="5" t="str">
        <f t="shared" si="1"/>
        <v>2024V_Vorsorg2</v>
      </c>
      <c r="BU24">
        <v>2024</v>
      </c>
      <c r="BV24" t="s">
        <v>95</v>
      </c>
      <c r="BW24">
        <v>2</v>
      </c>
      <c r="BX24">
        <v>0</v>
      </c>
      <c r="CA24">
        <v>43128.600000000006</v>
      </c>
      <c r="CD24" s="5" t="str">
        <f t="shared" ca="1" si="4"/>
        <v>Amy</v>
      </c>
      <c r="CE24" s="5" t="str">
        <f t="shared" ca="1" si="5"/>
        <v>Pensionskasse McDonalds</v>
      </c>
      <c r="CF24" s="5" t="str">
        <f t="shared" ca="1" si="6"/>
        <v>Amy - Pensionskasse McDonalds</v>
      </c>
      <c r="CG24" s="5"/>
    </row>
    <row r="25" spans="1:85" x14ac:dyDescent="0.25">
      <c r="A25" s="57" t="str">
        <f ca="1"/>
        <v>Lebenshaltungskosten</v>
      </c>
      <c r="B25" s="57">
        <f ca="1"/>
        <v>1</v>
      </c>
      <c r="C25" s="53" t="str">
        <f ca="1"/>
        <v>-</v>
      </c>
      <c r="D25" s="54">
        <f ca="1"/>
        <v>1.4999999999999999E-2</v>
      </c>
      <c r="E25" s="54"/>
      <c r="F25" s="59">
        <f ca="1"/>
        <v>-75000</v>
      </c>
      <c r="G25" s="59">
        <f ca="1"/>
        <v>-76124.999999999985</v>
      </c>
      <c r="H25" s="59">
        <f ca="1"/>
        <v>-77266.874999999971</v>
      </c>
      <c r="I25" s="59">
        <f ca="1"/>
        <v>-78425.878124999959</v>
      </c>
      <c r="J25" s="59">
        <f ca="1"/>
        <v>-79602.26629687495</v>
      </c>
      <c r="K25" s="59">
        <f ca="1"/>
        <v>-80796.300291328065</v>
      </c>
      <c r="L25" s="59">
        <f ca="1"/>
        <v>-82008.244795697974</v>
      </c>
      <c r="M25" s="59">
        <f ca="1"/>
        <v>-83238.368467633438</v>
      </c>
      <c r="N25" s="59">
        <f ca="1"/>
        <v>-84486.943994647925</v>
      </c>
      <c r="O25" s="59">
        <f ca="1"/>
        <v>-85754.248154567642</v>
      </c>
      <c r="P25" s="59">
        <f ca="1"/>
        <v>-87040.561876886146</v>
      </c>
      <c r="Q25" s="59">
        <f ca="1"/>
        <v>-88346.170305039428</v>
      </c>
      <c r="R25" s="59">
        <f ca="1"/>
        <v>-89671.362859615008</v>
      </c>
      <c r="S25" s="59">
        <f ca="1"/>
        <v>-91016.43330250922</v>
      </c>
      <c r="T25" s="59">
        <f ca="1"/>
        <v>-92381.679802046856</v>
      </c>
      <c r="U25" s="59">
        <f ca="1"/>
        <v>-93767.404999077553</v>
      </c>
      <c r="V25" s="59">
        <f ca="1"/>
        <v>-95173.916074063702</v>
      </c>
      <c r="W25" s="59">
        <f ca="1"/>
        <v>-96601.524815174649</v>
      </c>
      <c r="X25" s="59">
        <f ca="1"/>
        <v>-98050.547687402257</v>
      </c>
      <c r="Y25" s="59">
        <f ca="1"/>
        <v>-99521.305902713284</v>
      </c>
      <c r="Z25" s="59">
        <f ca="1"/>
        <v>-101014.12549125397</v>
      </c>
      <c r="AA25" s="59">
        <f ca="1"/>
        <v>-102529.33737362278</v>
      </c>
      <c r="AB25" s="59">
        <f ca="1"/>
        <v>-104067.27743422712</v>
      </c>
      <c r="AC25" s="59">
        <f ca="1"/>
        <v>-105628.28659574052</v>
      </c>
      <c r="AD25" s="59">
        <f ca="1"/>
        <v>-107212.71089467661</v>
      </c>
      <c r="AE25" s="59">
        <f ca="1"/>
        <v>-108820.90155809675</v>
      </c>
      <c r="AF25" s="59">
        <f ca="1"/>
        <v>-110453.2150814682</v>
      </c>
      <c r="AG25" s="59">
        <f ca="1"/>
        <v>-112110.01330769021</v>
      </c>
      <c r="AH25" s="59">
        <f ca="1"/>
        <v>-113791.66350730555</v>
      </c>
      <c r="AI25" s="59">
        <f ca="1"/>
        <v>-115498.53845991513</v>
      </c>
      <c r="AJ25" s="59">
        <f ca="1"/>
        <v>-117231.01653681384</v>
      </c>
      <c r="AK25" s="59">
        <f ca="1"/>
        <v>-118989.48178486603</v>
      </c>
      <c r="AL25" s="59">
        <f ca="1"/>
        <v>-120774.32401163901</v>
      </c>
      <c r="AM25" s="59">
        <f ca="1"/>
        <v>-122585.93887181357</v>
      </c>
      <c r="AN25" s="59">
        <f ca="1"/>
        <v>-124424.72795489077</v>
      </c>
      <c r="AO25" s="59">
        <f ca="1"/>
        <v>-126291.09887421412</v>
      </c>
      <c r="AP25" s="59">
        <f ca="1"/>
        <v>-128185.46535732732</v>
      </c>
      <c r="AQ25" s="59">
        <f ca="1"/>
        <v>-130108.24733768722</v>
      </c>
      <c r="AR25" s="59">
        <f ca="1"/>
        <v>-132059.87104775253</v>
      </c>
      <c r="AS25" s="59">
        <f ca="1"/>
        <v>-134040.76911346879</v>
      </c>
      <c r="AT25" s="59">
        <f ca="1"/>
        <v>-136051.38065017082</v>
      </c>
      <c r="AU25" s="59">
        <f ca="1"/>
        <v>-138092.15135992336</v>
      </c>
      <c r="AV25" s="59">
        <f ca="1"/>
        <v>-140163.5336303222</v>
      </c>
      <c r="AW25" s="59">
        <f ca="1"/>
        <v>-142265.98663477701</v>
      </c>
      <c r="AX25" s="59">
        <f ca="1"/>
        <v>-144399.97643429865</v>
      </c>
      <c r="AY25" s="59">
        <f ca="1"/>
        <v>-146565.97608081313</v>
      </c>
      <c r="AZ25" s="59">
        <f ca="1"/>
        <v>-148764.46572202531</v>
      </c>
      <c r="BA25" s="59">
        <f ca="1"/>
        <v>-150995.93270785568</v>
      </c>
      <c r="BS25" s="5">
        <f t="shared" si="0"/>
        <v>0</v>
      </c>
      <c r="BT25" s="5" t="str">
        <f t="shared" si="1"/>
        <v>2025V_Vorsorg2</v>
      </c>
      <c r="BU25">
        <v>2025</v>
      </c>
      <c r="BV25" t="s">
        <v>95</v>
      </c>
      <c r="BW25">
        <v>2</v>
      </c>
      <c r="BX25">
        <v>0</v>
      </c>
      <c r="CA25">
        <v>43128.600000000006</v>
      </c>
      <c r="CD25" s="5" t="str">
        <f t="shared" ca="1" si="4"/>
        <v>Amy</v>
      </c>
      <c r="CE25" s="5" t="str">
        <f t="shared" ca="1" si="5"/>
        <v>Pensionskasse McDonalds</v>
      </c>
      <c r="CF25" s="5" t="str">
        <f t="shared" ca="1" si="6"/>
        <v>Amy - Pensionskasse McDonalds</v>
      </c>
      <c r="CG25" s="5"/>
    </row>
    <row r="26" spans="1:85" hidden="1" x14ac:dyDescent="0.25">
      <c r="A26" s="57"/>
      <c r="B26" s="57"/>
      <c r="C26" s="53"/>
      <c r="D26" s="54"/>
      <c r="E26" s="54"/>
      <c r="F26" s="59"/>
      <c r="G26" s="59"/>
      <c r="H26" s="59"/>
      <c r="I26" s="59"/>
      <c r="J26" s="59"/>
      <c r="K26" s="59"/>
      <c r="L26" s="59"/>
      <c r="M26" s="59"/>
      <c r="N26" s="59"/>
      <c r="O26" s="59"/>
      <c r="P26" s="59"/>
      <c r="Q26" s="59"/>
      <c r="R26" s="59"/>
      <c r="S26" s="59"/>
      <c r="T26" s="59"/>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S26" s="5">
        <f t="shared" si="0"/>
        <v>0</v>
      </c>
      <c r="BT26" s="5" t="str">
        <f t="shared" si="1"/>
        <v>2026V_Vorsorg2</v>
      </c>
      <c r="BU26">
        <v>2026</v>
      </c>
      <c r="BV26" t="s">
        <v>95</v>
      </c>
      <c r="BW26">
        <v>2</v>
      </c>
      <c r="BX26">
        <v>0</v>
      </c>
      <c r="CA26">
        <v>43128.600000000006</v>
      </c>
      <c r="CD26" s="5" t="str">
        <f t="shared" ca="1" si="4"/>
        <v>Amy</v>
      </c>
      <c r="CE26" s="5" t="str">
        <f t="shared" ca="1" si="5"/>
        <v>Pensionskasse McDonalds</v>
      </c>
      <c r="CF26" s="5" t="str">
        <f t="shared" ca="1" si="6"/>
        <v>Amy - Pensionskasse McDonalds</v>
      </c>
      <c r="CG26" s="5"/>
    </row>
    <row r="27" spans="1:85" hidden="1" x14ac:dyDescent="0.25">
      <c r="A27" s="57"/>
      <c r="B27" s="57"/>
      <c r="C27" s="53"/>
      <c r="D27" s="54"/>
      <c r="E27" s="63"/>
      <c r="F27" s="59"/>
      <c r="G27" s="59"/>
      <c r="H27" s="59"/>
      <c r="I27" s="59"/>
      <c r="J27" s="59"/>
      <c r="K27" s="59"/>
      <c r="L27" s="59"/>
      <c r="M27" s="59"/>
      <c r="N27" s="59"/>
      <c r="O27" s="59"/>
      <c r="P27" s="59"/>
      <c r="Q27" s="59"/>
      <c r="R27" s="59"/>
      <c r="S27" s="59"/>
      <c r="T27" s="59"/>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c r="AY27" s="59"/>
      <c r="AZ27" s="59"/>
      <c r="BA27" s="59"/>
      <c r="BS27" s="5">
        <f t="shared" si="0"/>
        <v>0</v>
      </c>
      <c r="BT27" s="5" t="str">
        <f t="shared" si="1"/>
        <v>2027V_Vorsorg2</v>
      </c>
      <c r="BU27">
        <v>2027</v>
      </c>
      <c r="BV27" t="s">
        <v>95</v>
      </c>
      <c r="BW27">
        <v>2</v>
      </c>
      <c r="BX27">
        <v>0</v>
      </c>
      <c r="CA27">
        <v>43128.600000000006</v>
      </c>
      <c r="CD27" s="5" t="str">
        <f t="shared" ca="1" si="4"/>
        <v>Amy</v>
      </c>
      <c r="CE27" s="5" t="str">
        <f t="shared" ca="1" si="5"/>
        <v>Pensionskasse McDonalds</v>
      </c>
      <c r="CF27" s="5" t="str">
        <f t="shared" ca="1" si="6"/>
        <v>Amy - Pensionskasse McDonalds</v>
      </c>
      <c r="CG27" s="5"/>
    </row>
    <row r="28" spans="1:85" hidden="1" x14ac:dyDescent="0.25">
      <c r="A28" s="57"/>
      <c r="B28" s="57"/>
      <c r="C28" s="53"/>
      <c r="D28" s="54"/>
      <c r="E28" s="63"/>
      <c r="F28" s="59"/>
      <c r="G28" s="59"/>
      <c r="H28" s="59"/>
      <c r="I28" s="59"/>
      <c r="J28" s="59"/>
      <c r="K28" s="59"/>
      <c r="L28" s="59"/>
      <c r="M28" s="59"/>
      <c r="N28" s="59"/>
      <c r="O28" s="59"/>
      <c r="P28" s="59"/>
      <c r="Q28" s="59"/>
      <c r="R28" s="59"/>
      <c r="S28" s="59"/>
      <c r="T28" s="59"/>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c r="AY28" s="59"/>
      <c r="AZ28" s="59"/>
      <c r="BA28" s="59"/>
      <c r="BS28" s="5">
        <f t="shared" si="0"/>
        <v>0</v>
      </c>
      <c r="BT28" s="5" t="str">
        <f t="shared" si="1"/>
        <v>2028V_Vorsorg2</v>
      </c>
      <c r="BU28">
        <v>2028</v>
      </c>
      <c r="BV28" t="s">
        <v>95</v>
      </c>
      <c r="BW28">
        <v>2</v>
      </c>
      <c r="BX28">
        <v>0</v>
      </c>
      <c r="BZ28">
        <v>0.8</v>
      </c>
      <c r="CA28">
        <v>43128.600000000006</v>
      </c>
      <c r="CB28" t="s">
        <v>314</v>
      </c>
      <c r="CC28">
        <v>1</v>
      </c>
      <c r="CD28" s="5" t="str">
        <f t="shared" ca="1" si="4"/>
        <v>Amy</v>
      </c>
      <c r="CE28" s="5" t="str">
        <f t="shared" ca="1" si="5"/>
        <v>Pensionskasse McDonalds</v>
      </c>
      <c r="CF28" s="5" t="str">
        <f t="shared" ca="1" si="6"/>
        <v>Amy - Pensionskasse McDonalds - Teilpensionierung 20%, 100% Kapitalbezug (ca. 249 TCHF)</v>
      </c>
      <c r="CG28" s="5"/>
    </row>
    <row r="29" spans="1:85" hidden="1" x14ac:dyDescent="0.25">
      <c r="A29" s="57"/>
      <c r="B29" s="57"/>
      <c r="C29" s="53"/>
      <c r="D29" s="54"/>
      <c r="E29" s="63"/>
      <c r="F29" s="59"/>
      <c r="G29" s="59"/>
      <c r="H29" s="59"/>
      <c r="I29" s="59"/>
      <c r="J29" s="59"/>
      <c r="K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S29" s="5">
        <f t="shared" si="0"/>
        <v>0</v>
      </c>
      <c r="BT29" s="5" t="str">
        <f t="shared" si="1"/>
        <v>2029V_Vorsorg2</v>
      </c>
      <c r="BU29">
        <v>2029</v>
      </c>
      <c r="BV29" t="s">
        <v>95</v>
      </c>
      <c r="BW29">
        <v>2</v>
      </c>
      <c r="BX29">
        <v>1</v>
      </c>
      <c r="CA29">
        <v>28752.400000000001</v>
      </c>
      <c r="CB29" t="s">
        <v>315</v>
      </c>
      <c r="CC29">
        <v>1</v>
      </c>
      <c r="CD29" s="5" t="str">
        <f t="shared" ca="1" si="4"/>
        <v>Amy</v>
      </c>
      <c r="CE29" s="5" t="str">
        <f t="shared" ca="1" si="5"/>
        <v>Pensionskasse McDonalds</v>
      </c>
      <c r="CF29" s="5" t="str">
        <f t="shared" ca="1" si="6"/>
        <v>Amy - Pensionskasse McDonalds - Pensionierung, Kapitalbezug 251 TCHF</v>
      </c>
      <c r="CG29" s="5"/>
    </row>
    <row r="30" spans="1:85" hidden="1" x14ac:dyDescent="0.25">
      <c r="A30" s="57"/>
      <c r="B30" s="57"/>
      <c r="C30" s="53"/>
      <c r="D30" s="54"/>
      <c r="E30" s="63"/>
      <c r="F30" s="59"/>
      <c r="G30" s="59"/>
      <c r="H30" s="59"/>
      <c r="I30" s="59"/>
      <c r="J30" s="59"/>
      <c r="K30" s="59"/>
      <c r="L30" s="59"/>
      <c r="M30" s="59"/>
      <c r="N30" s="59"/>
      <c r="O30" s="59"/>
      <c r="P30" s="59"/>
      <c r="Q30" s="59"/>
      <c r="R30" s="59"/>
      <c r="S30" s="59"/>
      <c r="T30" s="59"/>
      <c r="U30" s="59"/>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W30" s="59"/>
      <c r="AX30" s="59"/>
      <c r="AY30" s="59"/>
      <c r="AZ30" s="59"/>
      <c r="BA30" s="59"/>
      <c r="BS30" s="5">
        <f t="shared" si="0"/>
        <v>0</v>
      </c>
      <c r="BT30" s="5" t="str">
        <f t="shared" si="1"/>
        <v>2028E_Erwerb5</v>
      </c>
      <c r="BU30">
        <v>2028</v>
      </c>
      <c r="BV30" t="s">
        <v>74</v>
      </c>
      <c r="BW30">
        <v>5</v>
      </c>
      <c r="BX30">
        <v>1</v>
      </c>
      <c r="BY30" s="12">
        <v>0</v>
      </c>
      <c r="CD30" s="5" t="str">
        <f t="shared" ca="1" si="4"/>
        <v>Amy</v>
      </c>
      <c r="CE30" s="5" t="str">
        <f t="shared" ca="1" si="5"/>
        <v>Rente aus Pensionskasse</v>
      </c>
      <c r="CF30" s="5" t="str">
        <f t="shared" ca="1" si="6"/>
        <v>Amy - Rente aus Pensionskasse</v>
      </c>
      <c r="CG30" s="5"/>
    </row>
    <row r="31" spans="1:85" hidden="1" x14ac:dyDescent="0.25">
      <c r="A31" s="57"/>
      <c r="B31" s="57"/>
      <c r="C31" s="53"/>
      <c r="D31" s="54"/>
      <c r="E31" s="63"/>
      <c r="F31" s="59"/>
      <c r="G31" s="59"/>
      <c r="H31" s="59"/>
      <c r="I31" s="59"/>
      <c r="J31" s="59"/>
      <c r="K31" s="59"/>
      <c r="L31" s="59"/>
      <c r="M31" s="59"/>
      <c r="N31" s="59"/>
      <c r="O31" s="59"/>
      <c r="P31" s="59"/>
      <c r="Q31" s="59"/>
      <c r="R31" s="59"/>
      <c r="S31" s="59"/>
      <c r="T31" s="59"/>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c r="BS31" s="5">
        <f t="shared" si="0"/>
        <v>0</v>
      </c>
      <c r="BT31" s="5" t="str">
        <f t="shared" si="1"/>
        <v>2029E_Erwerb5</v>
      </c>
      <c r="BU31">
        <v>2029</v>
      </c>
      <c r="BV31" t="s">
        <v>74</v>
      </c>
      <c r="BW31">
        <v>5</v>
      </c>
      <c r="BX31">
        <v>1</v>
      </c>
      <c r="BY31" s="12">
        <f>38560/12*5</f>
        <v>16066.666666666668</v>
      </c>
      <c r="CD31" s="5" t="str">
        <f t="shared" ca="1" si="4"/>
        <v>Amy</v>
      </c>
      <c r="CE31" s="5" t="str">
        <f t="shared" ca="1" si="5"/>
        <v>Rente aus Pensionskasse</v>
      </c>
      <c r="CF31" s="5" t="str">
        <f t="shared" ca="1" si="6"/>
        <v>Amy - Rente aus Pensionskasse</v>
      </c>
      <c r="CG31" s="5"/>
    </row>
    <row r="32" spans="1:85" hidden="1" x14ac:dyDescent="0.25">
      <c r="A32" s="57"/>
      <c r="B32" s="57"/>
      <c r="C32" s="53"/>
      <c r="D32" s="54"/>
      <c r="E32" s="63"/>
      <c r="F32" s="59"/>
      <c r="G32" s="59"/>
      <c r="H32" s="59"/>
      <c r="I32" s="59"/>
      <c r="J32" s="59"/>
      <c r="K32" s="59"/>
      <c r="L32" s="59"/>
      <c r="M32" s="59"/>
      <c r="N32" s="59"/>
      <c r="O32" s="59"/>
      <c r="P32" s="59"/>
      <c r="Q32" s="59"/>
      <c r="R32" s="59"/>
      <c r="S32" s="59"/>
      <c r="T32" s="59"/>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c r="AY32" s="59"/>
      <c r="AZ32" s="59"/>
      <c r="BA32" s="59"/>
      <c r="BS32" s="5">
        <f t="shared" si="0"/>
        <v>0</v>
      </c>
      <c r="BT32" s="5" t="str">
        <f t="shared" si="1"/>
        <v>2030E_Erwerb5</v>
      </c>
      <c r="BU32">
        <v>2030</v>
      </c>
      <c r="BV32" t="s">
        <v>74</v>
      </c>
      <c r="BW32">
        <v>5</v>
      </c>
      <c r="BX32">
        <v>1</v>
      </c>
      <c r="BY32" s="12">
        <v>38560</v>
      </c>
      <c r="CD32" s="5" t="str">
        <f t="shared" ca="1" si="4"/>
        <v>Amy</v>
      </c>
      <c r="CE32" s="5" t="str">
        <f t="shared" ca="1" si="5"/>
        <v>Rente aus Pensionskasse</v>
      </c>
      <c r="CF32" s="5" t="str">
        <f t="shared" ca="1" si="6"/>
        <v>Amy - Rente aus Pensionskasse</v>
      </c>
      <c r="CG32" s="5"/>
    </row>
    <row r="33" spans="1:85" hidden="1" x14ac:dyDescent="0.25">
      <c r="A33" s="57"/>
      <c r="B33" s="57"/>
      <c r="C33" s="53"/>
      <c r="D33" s="54"/>
      <c r="E33" s="63"/>
      <c r="F33" s="59"/>
      <c r="G33" s="59"/>
      <c r="H33" s="59"/>
      <c r="I33" s="59"/>
      <c r="J33" s="59"/>
      <c r="K33" s="59"/>
      <c r="L33" s="59"/>
      <c r="M33" s="59"/>
      <c r="N33" s="59"/>
      <c r="O33" s="59"/>
      <c r="P33" s="59"/>
      <c r="Q33" s="59"/>
      <c r="R33" s="59"/>
      <c r="S33" s="59"/>
      <c r="T33" s="59"/>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S33" s="5">
        <f t="shared" si="0"/>
        <v>0</v>
      </c>
      <c r="BT33" s="5" t="str">
        <f t="shared" si="1"/>
        <v>2024V_Vorsorg7</v>
      </c>
      <c r="BU33">
        <v>2024</v>
      </c>
      <c r="BV33" t="s">
        <v>95</v>
      </c>
      <c r="BW33">
        <v>7</v>
      </c>
      <c r="BX33">
        <v>0</v>
      </c>
      <c r="CA33">
        <v>7056</v>
      </c>
      <c r="CB33" t="s">
        <v>243</v>
      </c>
      <c r="CC33">
        <v>1</v>
      </c>
      <c r="CD33" s="5" t="str">
        <f t="shared" ca="1" si="4"/>
        <v>Amy</v>
      </c>
      <c r="CE33" s="5" t="str">
        <f t="shared" ca="1" si="5"/>
        <v>SLM Säule 3a Konto</v>
      </c>
      <c r="CF33" s="5" t="str">
        <f t="shared" ca="1" si="6"/>
        <v>Amy - SLM Säule 3a Konto - Einzahlung Maximalbetrag</v>
      </c>
      <c r="CG33" s="5"/>
    </row>
    <row r="34" spans="1:85" hidden="1" x14ac:dyDescent="0.25">
      <c r="A34" s="57"/>
      <c r="B34" s="57"/>
      <c r="C34" s="53"/>
      <c r="D34" s="54"/>
      <c r="E34" s="63"/>
      <c r="F34" s="59"/>
      <c r="G34" s="59"/>
      <c r="H34" s="59"/>
      <c r="I34" s="59"/>
      <c r="J34" s="59"/>
      <c r="K34" s="59"/>
      <c r="L34" s="59"/>
      <c r="M34" s="59"/>
      <c r="N34" s="59"/>
      <c r="O34" s="59"/>
      <c r="P34" s="59"/>
      <c r="Q34" s="59"/>
      <c r="R34" s="59"/>
      <c r="S34" s="59"/>
      <c r="T34" s="59"/>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S34" s="5">
        <f t="shared" si="0"/>
        <v>0</v>
      </c>
      <c r="BT34" s="5" t="str">
        <f t="shared" si="1"/>
        <v>2025V_Vorsorg7</v>
      </c>
      <c r="BU34">
        <v>2025</v>
      </c>
      <c r="BV34" t="s">
        <v>95</v>
      </c>
      <c r="BW34">
        <v>7</v>
      </c>
      <c r="BX34">
        <v>1</v>
      </c>
      <c r="BY34" s="12">
        <v>0</v>
      </c>
      <c r="CB34" t="s">
        <v>245</v>
      </c>
      <c r="CC34">
        <v>1</v>
      </c>
      <c r="CD34" s="5" t="str">
        <f t="shared" ca="1" si="4"/>
        <v>Amy</v>
      </c>
      <c r="CE34" s="5" t="str">
        <f t="shared" ca="1" si="5"/>
        <v>SLM Säule 3a Konto</v>
      </c>
      <c r="CF34" s="5" t="str">
        <f t="shared" ca="1" si="6"/>
        <v>Amy - SLM Säule 3a Konto - Einzahlung Maximalbetrag und Bezug</v>
      </c>
      <c r="CG34" s="5"/>
    </row>
    <row r="35" spans="1:85" hidden="1" x14ac:dyDescent="0.25">
      <c r="A35" s="57"/>
      <c r="B35" s="57"/>
      <c r="C35" s="53"/>
      <c r="D35" s="54"/>
      <c r="E35" s="63"/>
      <c r="F35" s="59"/>
      <c r="G35" s="59"/>
      <c r="H35" s="59"/>
      <c r="I35" s="59"/>
      <c r="J35" s="59"/>
      <c r="K35" s="59"/>
      <c r="L35" s="59"/>
      <c r="M35" s="59"/>
      <c r="N35" s="59"/>
      <c r="O35" s="59"/>
      <c r="P35" s="59"/>
      <c r="Q35" s="59"/>
      <c r="R35" s="59"/>
      <c r="S35" s="59"/>
      <c r="T35" s="59"/>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S35" s="5">
        <f t="shared" si="0"/>
        <v>0</v>
      </c>
      <c r="BT35" s="5" t="str">
        <f t="shared" si="1"/>
        <v>2026V_Vorsorg6</v>
      </c>
      <c r="BU35">
        <v>2026</v>
      </c>
      <c r="BV35" t="s">
        <v>95</v>
      </c>
      <c r="BW35">
        <v>6</v>
      </c>
      <c r="BX35">
        <v>0</v>
      </c>
      <c r="CA35">
        <v>7056</v>
      </c>
      <c r="CB35" t="s">
        <v>243</v>
      </c>
      <c r="CC35">
        <v>1</v>
      </c>
      <c r="CD35" s="5" t="str">
        <f t="shared" ca="1" si="4"/>
        <v>Amy</v>
      </c>
      <c r="CE35" s="5" t="str">
        <f t="shared" ca="1" si="5"/>
        <v>Pictet Säule 3a Depot</v>
      </c>
      <c r="CF35" s="5" t="str">
        <f t="shared" ca="1" si="6"/>
        <v>Amy - Pictet Säule 3a Depot - Einzahlung Maximalbetrag</v>
      </c>
      <c r="CG35" s="5"/>
    </row>
    <row r="36" spans="1:85" x14ac:dyDescent="0.25">
      <c r="A36" s="57" t="s">
        <v>89</v>
      </c>
      <c r="B36" s="57"/>
      <c r="C36" s="53" t="s">
        <v>67</v>
      </c>
      <c r="D36" s="54"/>
      <c r="E36" s="63"/>
      <c r="F36" s="59">
        <f>BP4</f>
        <v>-15000</v>
      </c>
      <c r="G36" s="59">
        <f ca="1">F148</f>
        <v>-33834.248384061349</v>
      </c>
      <c r="H36" s="59">
        <f t="shared" ref="H36:BA36" ca="1" si="11">G148</f>
        <v>-34519.169633358382</v>
      </c>
      <c r="I36" s="59">
        <f t="shared" ca="1" si="11"/>
        <v>-35478.789347884755</v>
      </c>
      <c r="J36" s="59">
        <f t="shared" ca="1" si="11"/>
        <v>-35602.824739200187</v>
      </c>
      <c r="K36" s="59">
        <f t="shared" ca="1" si="11"/>
        <v>-51288.985508082507</v>
      </c>
      <c r="L36" s="59">
        <f t="shared" ca="1" si="11"/>
        <v>-64139.886832884782</v>
      </c>
      <c r="M36" s="59">
        <f t="shared" ca="1" si="11"/>
        <v>-46614.723957514158</v>
      </c>
      <c r="N36" s="59">
        <f t="shared" ca="1" si="11"/>
        <v>-27972.952124023344</v>
      </c>
      <c r="O36" s="59">
        <f t="shared" ca="1" si="11"/>
        <v>-26015.491352604618</v>
      </c>
      <c r="P36" s="59">
        <f t="shared" ca="1" si="11"/>
        <v>-28279.338999251642</v>
      </c>
      <c r="Q36" s="59">
        <f t="shared" ca="1" si="11"/>
        <v>-28329.92411866604</v>
      </c>
      <c r="R36" s="59">
        <f t="shared" ca="1" si="11"/>
        <v>-28358.822462667285</v>
      </c>
      <c r="S36" s="59">
        <f t="shared" ca="1" si="11"/>
        <v>-28379.829079009705</v>
      </c>
      <c r="T36" s="59">
        <f t="shared" ca="1" si="11"/>
        <v>-28382.162761326843</v>
      </c>
      <c r="U36" s="59">
        <f t="shared" ca="1" si="11"/>
        <v>-28370.425629575762</v>
      </c>
      <c r="V36" s="59">
        <f t="shared" ca="1" si="11"/>
        <v>-28338.955087505197</v>
      </c>
      <c r="W36" s="59">
        <f t="shared" ca="1" si="11"/>
        <v>-28297.448745355206</v>
      </c>
      <c r="X36" s="59">
        <f t="shared" ca="1" si="11"/>
        <v>-28235.571010129799</v>
      </c>
      <c r="Y36" s="59">
        <f t="shared" ca="1" si="11"/>
        <v>-28156.834012085124</v>
      </c>
      <c r="Z36" s="59">
        <f t="shared" ca="1" si="11"/>
        <v>-28056.044589355723</v>
      </c>
      <c r="AA36" s="59">
        <f t="shared" ca="1" si="11"/>
        <v>-27943.307066158664</v>
      </c>
      <c r="AB36" s="59">
        <f t="shared" ca="1" si="11"/>
        <v>-27801.656765099895</v>
      </c>
      <c r="AC36" s="59">
        <f t="shared" ca="1" si="11"/>
        <v>-27646.762636153264</v>
      </c>
      <c r="AD36" s="59">
        <f t="shared" ca="1" si="11"/>
        <v>-27466.757691061397</v>
      </c>
      <c r="AE36" s="59">
        <f t="shared" ca="1" si="11"/>
        <v>-27266.546141584768</v>
      </c>
      <c r="AF36" s="59">
        <f t="shared" ca="1" si="11"/>
        <v>-27045.407744180469</v>
      </c>
      <c r="AG36" s="59">
        <f t="shared" ca="1" si="11"/>
        <v>-26797.59042628602</v>
      </c>
      <c r="AH36" s="59">
        <f t="shared" ca="1" si="11"/>
        <v>-26526.901796932452</v>
      </c>
      <c r="AI36" s="59">
        <f t="shared" ca="1" si="11"/>
        <v>-26233.56270198882</v>
      </c>
      <c r="AJ36" s="59">
        <f t="shared" ca="1" si="11"/>
        <v>-25910.338549254851</v>
      </c>
      <c r="AK36" s="59">
        <f t="shared" ca="1" si="11"/>
        <v>-25557.024918326912</v>
      </c>
      <c r="AL36" s="59">
        <f t="shared" ca="1" si="11"/>
        <v>-25183.64530567906</v>
      </c>
      <c r="AM36" s="59">
        <f t="shared" ca="1" si="11"/>
        <v>-24772.722983518215</v>
      </c>
      <c r="AN36" s="59">
        <f t="shared" ca="1" si="11"/>
        <v>-24339.540268697132</v>
      </c>
      <c r="AO36" s="59">
        <f t="shared" ca="1" si="11"/>
        <v>-23867.303199233302</v>
      </c>
      <c r="AP36" s="59">
        <f t="shared" ca="1" si="11"/>
        <v>-23402.985133443934</v>
      </c>
      <c r="AQ36" s="59">
        <f t="shared" ca="1" si="11"/>
        <v>-22919.578267200151</v>
      </c>
      <c r="AR36" s="59">
        <f t="shared" ca="1" si="11"/>
        <v>-22406.760201242269</v>
      </c>
      <c r="AS36" s="59">
        <f t="shared" ca="1" si="11"/>
        <v>-21868.936114296532</v>
      </c>
      <c r="AT36" s="59">
        <f t="shared" ca="1" si="11"/>
        <v>-21295.575578450706</v>
      </c>
      <c r="AU36" s="59">
        <f t="shared" ca="1" si="11"/>
        <v>-20685.517771634492</v>
      </c>
      <c r="AV36" s="59">
        <f t="shared" ca="1" si="11"/>
        <v>-20059.481889142487</v>
      </c>
      <c r="AW36" s="59">
        <f t="shared" ca="1" si="11"/>
        <v>-19453.751866098377</v>
      </c>
      <c r="AX36" s="59">
        <f t="shared" ca="1" si="11"/>
        <v>-18805.878648669241</v>
      </c>
      <c r="AY36" s="59">
        <f t="shared" ca="1" si="11"/>
        <v>-18137.373606453919</v>
      </c>
      <c r="AZ36" s="59">
        <f t="shared" ca="1" si="11"/>
        <v>-17473.110904448433</v>
      </c>
      <c r="BA36" s="59">
        <f t="shared" ca="1" si="11"/>
        <v>-16921.713187167603</v>
      </c>
      <c r="BS36" s="5">
        <f t="shared" si="0"/>
        <v>0</v>
      </c>
      <c r="BT36" s="5" t="str">
        <f t="shared" si="1"/>
        <v>2027V_Vorsorg6</v>
      </c>
      <c r="BU36">
        <v>2027</v>
      </c>
      <c r="BV36" t="s">
        <v>95</v>
      </c>
      <c r="BW36">
        <v>6</v>
      </c>
      <c r="BX36">
        <v>1</v>
      </c>
      <c r="BY36" s="12">
        <v>0</v>
      </c>
      <c r="CB36" t="s">
        <v>245</v>
      </c>
      <c r="CC36">
        <v>1</v>
      </c>
      <c r="CD36" s="5" t="str">
        <f t="shared" ca="1" si="4"/>
        <v>Amy</v>
      </c>
      <c r="CE36" s="5" t="str">
        <f t="shared" ca="1" si="5"/>
        <v>Pictet Säule 3a Depot</v>
      </c>
      <c r="CF36" s="5" t="str">
        <f t="shared" ca="1" si="6"/>
        <v>Amy - Pictet Säule 3a Depot - Einzahlung Maximalbetrag und Bezug</v>
      </c>
      <c r="CG36" s="5"/>
    </row>
    <row r="37" spans="1:85" x14ac:dyDescent="0.25">
      <c r="A37" s="57" t="s">
        <v>100</v>
      </c>
      <c r="B37" s="57"/>
      <c r="C37" s="53"/>
      <c r="D37" s="54"/>
      <c r="E37" s="63"/>
      <c r="F37" s="59">
        <f t="shared" ref="F37:BA37" ca="1" si="12">SUMPRODUCT(_xlfn.ANCHORARRAY(F71),_xlfn.ANCHORARRAY($D71))</f>
        <v>-14390</v>
      </c>
      <c r="G37" s="59">
        <f t="shared" ca="1" si="12"/>
        <v>-14390</v>
      </c>
      <c r="H37" s="59">
        <f t="shared" ca="1" si="12"/>
        <v>-14390</v>
      </c>
      <c r="I37" s="59">
        <f t="shared" ca="1" si="12"/>
        <v>-15890</v>
      </c>
      <c r="J37" s="59">
        <f t="shared" ca="1" si="12"/>
        <v>-15890</v>
      </c>
      <c r="K37" s="59">
        <f t="shared" ca="1" si="12"/>
        <v>-17600</v>
      </c>
      <c r="L37" s="59">
        <f t="shared" ca="1" si="12"/>
        <v>-17600</v>
      </c>
      <c r="M37" s="59">
        <f t="shared" ca="1" si="12"/>
        <v>-17600</v>
      </c>
      <c r="N37" s="59">
        <f t="shared" ca="1" si="12"/>
        <v>-17600</v>
      </c>
      <c r="O37" s="59">
        <f t="shared" ca="1" si="12"/>
        <v>-17600</v>
      </c>
      <c r="P37" s="59">
        <f t="shared" ca="1" si="12"/>
        <v>-17600</v>
      </c>
      <c r="Q37" s="59">
        <f t="shared" ca="1" si="12"/>
        <v>-17600</v>
      </c>
      <c r="R37" s="59">
        <f t="shared" ca="1" si="12"/>
        <v>-17600</v>
      </c>
      <c r="S37" s="59">
        <f t="shared" ca="1" si="12"/>
        <v>-17600</v>
      </c>
      <c r="T37" s="59">
        <f t="shared" ca="1" si="12"/>
        <v>-17600</v>
      </c>
      <c r="U37" s="59">
        <f t="shared" ca="1" si="12"/>
        <v>-17600</v>
      </c>
      <c r="V37" s="59">
        <f t="shared" ca="1" si="12"/>
        <v>-17600</v>
      </c>
      <c r="W37" s="59">
        <f t="shared" ca="1" si="12"/>
        <v>-17600</v>
      </c>
      <c r="X37" s="59">
        <f t="shared" ca="1" si="12"/>
        <v>-17600</v>
      </c>
      <c r="Y37" s="59">
        <f t="shared" ca="1" si="12"/>
        <v>-17600</v>
      </c>
      <c r="Z37" s="59">
        <f t="shared" ca="1" si="12"/>
        <v>-17600</v>
      </c>
      <c r="AA37" s="59">
        <f t="shared" ca="1" si="12"/>
        <v>-17600</v>
      </c>
      <c r="AB37" s="59">
        <f t="shared" ca="1" si="12"/>
        <v>-17600</v>
      </c>
      <c r="AC37" s="59">
        <f t="shared" ca="1" si="12"/>
        <v>-17600</v>
      </c>
      <c r="AD37" s="59">
        <f t="shared" ca="1" si="12"/>
        <v>-17600</v>
      </c>
      <c r="AE37" s="59">
        <f t="shared" ca="1" si="12"/>
        <v>-17600</v>
      </c>
      <c r="AF37" s="59">
        <f t="shared" ca="1" si="12"/>
        <v>-17600</v>
      </c>
      <c r="AG37" s="59">
        <f t="shared" ca="1" si="12"/>
        <v>-17600</v>
      </c>
      <c r="AH37" s="59">
        <f t="shared" ca="1" si="12"/>
        <v>-17600</v>
      </c>
      <c r="AI37" s="59">
        <f t="shared" ca="1" si="12"/>
        <v>-17600</v>
      </c>
      <c r="AJ37" s="59">
        <f t="shared" ca="1" si="12"/>
        <v>-17600</v>
      </c>
      <c r="AK37" s="59">
        <f t="shared" ca="1" si="12"/>
        <v>-17600</v>
      </c>
      <c r="AL37" s="59">
        <f t="shared" ca="1" si="12"/>
        <v>-17600</v>
      </c>
      <c r="AM37" s="59">
        <f t="shared" ca="1" si="12"/>
        <v>-17600</v>
      </c>
      <c r="AN37" s="59">
        <f t="shared" ca="1" si="12"/>
        <v>-17600</v>
      </c>
      <c r="AO37" s="59">
        <f t="shared" ca="1" si="12"/>
        <v>-17600</v>
      </c>
      <c r="AP37" s="59">
        <f t="shared" ca="1" si="12"/>
        <v>-17600</v>
      </c>
      <c r="AQ37" s="59">
        <f t="shared" ca="1" si="12"/>
        <v>-17600</v>
      </c>
      <c r="AR37" s="59">
        <f t="shared" ca="1" si="12"/>
        <v>-17600</v>
      </c>
      <c r="AS37" s="59">
        <f t="shared" ca="1" si="12"/>
        <v>-17600</v>
      </c>
      <c r="AT37" s="59">
        <f t="shared" ca="1" si="12"/>
        <v>-17600</v>
      </c>
      <c r="AU37" s="59">
        <f t="shared" ca="1" si="12"/>
        <v>-17600</v>
      </c>
      <c r="AV37" s="59">
        <f t="shared" ca="1" si="12"/>
        <v>-17600</v>
      </c>
      <c r="AW37" s="59">
        <f t="shared" ca="1" si="12"/>
        <v>-17600</v>
      </c>
      <c r="AX37" s="59">
        <f t="shared" ca="1" si="12"/>
        <v>-17600</v>
      </c>
      <c r="AY37" s="59">
        <f t="shared" ca="1" si="12"/>
        <v>-17600</v>
      </c>
      <c r="AZ37" s="59">
        <f t="shared" ca="1" si="12"/>
        <v>-17600</v>
      </c>
      <c r="BA37" s="59">
        <f t="shared" ca="1" si="12"/>
        <v>-17600</v>
      </c>
      <c r="BS37" s="5">
        <f t="shared" si="0"/>
        <v>0</v>
      </c>
      <c r="BT37" s="5" t="str">
        <f t="shared" si="1"/>
        <v>2028V_Vorsorg9</v>
      </c>
      <c r="BU37">
        <v>2028</v>
      </c>
      <c r="BV37" t="s">
        <v>95</v>
      </c>
      <c r="BW37">
        <v>9</v>
      </c>
      <c r="BX37">
        <v>0</v>
      </c>
      <c r="BY37" s="12">
        <v>0</v>
      </c>
      <c r="CA37">
        <v>7056</v>
      </c>
      <c r="CB37" t="s">
        <v>243</v>
      </c>
      <c r="CC37">
        <v>1</v>
      </c>
      <c r="CD37" s="5" t="str">
        <f t="shared" ca="1" si="4"/>
        <v>Amy</v>
      </c>
      <c r="CE37" s="5" t="str">
        <f t="shared" ca="1" si="5"/>
        <v>Neues Säule 3a Gefäss</v>
      </c>
      <c r="CF37" s="5" t="str">
        <f t="shared" ca="1" si="6"/>
        <v>Amy - Neues Säule 3a Gefäss - Einzahlung Maximalbetrag</v>
      </c>
      <c r="CG37" s="5"/>
    </row>
    <row r="38" spans="1:85" x14ac:dyDescent="0.25">
      <c r="A38" s="57" t="s">
        <v>109</v>
      </c>
      <c r="B38" s="57"/>
      <c r="C38" s="53"/>
      <c r="D38" s="54">
        <v>5.0000000000000001E-3</v>
      </c>
      <c r="E38" s="63"/>
      <c r="F38" s="59">
        <f t="shared" ref="F38:BA38" ca="1" si="13">-F65*$D38</f>
        <v>-6750</v>
      </c>
      <c r="G38" s="59">
        <f ca="1">-G65*$D38</f>
        <v>-6750</v>
      </c>
      <c r="H38" s="59">
        <f t="shared" ca="1" si="13"/>
        <v>-6750</v>
      </c>
      <c r="I38" s="59">
        <f t="shared" ca="1" si="13"/>
        <v>-6750</v>
      </c>
      <c r="J38" s="59">
        <f t="shared" ca="1" si="13"/>
        <v>-6750</v>
      </c>
      <c r="K38" s="59">
        <f t="shared" ca="1" si="13"/>
        <v>-6750</v>
      </c>
      <c r="L38" s="59">
        <f t="shared" ca="1" si="13"/>
        <v>-6750</v>
      </c>
      <c r="M38" s="59">
        <f t="shared" ca="1" si="13"/>
        <v>-6750</v>
      </c>
      <c r="N38" s="59">
        <f t="shared" ca="1" si="13"/>
        <v>-6750</v>
      </c>
      <c r="O38" s="59">
        <f t="shared" ca="1" si="13"/>
        <v>-6750</v>
      </c>
      <c r="P38" s="59">
        <f t="shared" ca="1" si="13"/>
        <v>-6750</v>
      </c>
      <c r="Q38" s="59">
        <f t="shared" ca="1" si="13"/>
        <v>-6750</v>
      </c>
      <c r="R38" s="59">
        <f t="shared" ca="1" si="13"/>
        <v>-6750</v>
      </c>
      <c r="S38" s="59">
        <f t="shared" ca="1" si="13"/>
        <v>-6750</v>
      </c>
      <c r="T38" s="59">
        <f t="shared" ca="1" si="13"/>
        <v>-6750</v>
      </c>
      <c r="U38" s="59">
        <f t="shared" ca="1" si="13"/>
        <v>-6750</v>
      </c>
      <c r="V38" s="59">
        <f t="shared" ca="1" si="13"/>
        <v>-6750</v>
      </c>
      <c r="W38" s="59">
        <f t="shared" ca="1" si="13"/>
        <v>-6750</v>
      </c>
      <c r="X38" s="59">
        <f t="shared" ca="1" si="13"/>
        <v>-6750</v>
      </c>
      <c r="Y38" s="59">
        <f t="shared" ca="1" si="13"/>
        <v>-6750</v>
      </c>
      <c r="Z38" s="59">
        <f t="shared" ca="1" si="13"/>
        <v>-6750</v>
      </c>
      <c r="AA38" s="59">
        <f t="shared" ca="1" si="13"/>
        <v>-6750</v>
      </c>
      <c r="AB38" s="59">
        <f t="shared" ca="1" si="13"/>
        <v>-6750</v>
      </c>
      <c r="AC38" s="59">
        <f t="shared" ca="1" si="13"/>
        <v>-6750</v>
      </c>
      <c r="AD38" s="59">
        <f t="shared" ca="1" si="13"/>
        <v>-6750</v>
      </c>
      <c r="AE38" s="59">
        <f t="shared" ca="1" si="13"/>
        <v>-6750</v>
      </c>
      <c r="AF38" s="59">
        <f t="shared" ca="1" si="13"/>
        <v>-6750</v>
      </c>
      <c r="AG38" s="59">
        <f t="shared" ca="1" si="13"/>
        <v>-6750</v>
      </c>
      <c r="AH38" s="59">
        <f t="shared" ca="1" si="13"/>
        <v>-6750</v>
      </c>
      <c r="AI38" s="59">
        <f t="shared" ca="1" si="13"/>
        <v>-6750</v>
      </c>
      <c r="AJ38" s="59">
        <f t="shared" ca="1" si="13"/>
        <v>-6750</v>
      </c>
      <c r="AK38" s="59">
        <f t="shared" ca="1" si="13"/>
        <v>-6750</v>
      </c>
      <c r="AL38" s="59">
        <f t="shared" ca="1" si="13"/>
        <v>-6750</v>
      </c>
      <c r="AM38" s="59">
        <f t="shared" ca="1" si="13"/>
        <v>-6750</v>
      </c>
      <c r="AN38" s="59">
        <f t="shared" ca="1" si="13"/>
        <v>-6750</v>
      </c>
      <c r="AO38" s="59">
        <f t="shared" ca="1" si="13"/>
        <v>-6750</v>
      </c>
      <c r="AP38" s="59">
        <f t="shared" ca="1" si="13"/>
        <v>-6750</v>
      </c>
      <c r="AQ38" s="59">
        <f t="shared" ca="1" si="13"/>
        <v>-6750</v>
      </c>
      <c r="AR38" s="59">
        <f t="shared" ca="1" si="13"/>
        <v>-6750</v>
      </c>
      <c r="AS38" s="59">
        <f t="shared" ca="1" si="13"/>
        <v>-6750</v>
      </c>
      <c r="AT38" s="59">
        <f t="shared" ca="1" si="13"/>
        <v>-6750</v>
      </c>
      <c r="AU38" s="59">
        <f t="shared" ca="1" si="13"/>
        <v>-6750</v>
      </c>
      <c r="AV38" s="59">
        <f t="shared" ca="1" si="13"/>
        <v>-6750</v>
      </c>
      <c r="AW38" s="59">
        <f t="shared" ca="1" si="13"/>
        <v>-6750</v>
      </c>
      <c r="AX38" s="59">
        <f t="shared" ca="1" si="13"/>
        <v>-6750</v>
      </c>
      <c r="AY38" s="59">
        <f t="shared" ca="1" si="13"/>
        <v>-6750</v>
      </c>
      <c r="AZ38" s="59">
        <f t="shared" ca="1" si="13"/>
        <v>-6750</v>
      </c>
      <c r="BA38" s="59">
        <f t="shared" ca="1" si="13"/>
        <v>-6750</v>
      </c>
      <c r="BS38" s="5">
        <f t="shared" si="0"/>
        <v>0</v>
      </c>
      <c r="BT38" s="5" t="str">
        <f t="shared" si="1"/>
        <v>2029V_Vorsorg9</v>
      </c>
      <c r="BU38">
        <v>2029</v>
      </c>
      <c r="BV38" t="s">
        <v>95</v>
      </c>
      <c r="BW38">
        <v>9</v>
      </c>
      <c r="BX38">
        <v>0</v>
      </c>
      <c r="CA38">
        <v>7056</v>
      </c>
      <c r="CB38" t="s">
        <v>243</v>
      </c>
      <c r="CC38">
        <v>1</v>
      </c>
      <c r="CD38" s="5" t="str">
        <f t="shared" ca="1" si="4"/>
        <v>Amy</v>
      </c>
      <c r="CE38" s="5" t="str">
        <f t="shared" ca="1" si="5"/>
        <v>Neues Säule 3a Gefäss</v>
      </c>
      <c r="CF38" s="5" t="str">
        <f t="shared" ca="1" si="6"/>
        <v>Amy - Neues Säule 3a Gefäss - Einzahlung Maximalbetrag</v>
      </c>
      <c r="CG38" s="5"/>
    </row>
    <row r="39" spans="1:85" ht="27.75" customHeight="1" x14ac:dyDescent="0.25">
      <c r="A39" s="56" t="s">
        <v>86</v>
      </c>
      <c r="B39" s="57"/>
      <c r="C39" s="53"/>
      <c r="D39" s="54"/>
      <c r="E39" s="63"/>
      <c r="F39" s="58"/>
      <c r="G39" s="58"/>
      <c r="H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c r="BA39" s="58"/>
      <c r="BS39" s="5">
        <f t="shared" si="0"/>
        <v>0</v>
      </c>
      <c r="BT39" s="5" t="str">
        <f t="shared" si="1"/>
        <v>2030V_Vorsorg9</v>
      </c>
      <c r="BU39">
        <v>2030</v>
      </c>
      <c r="BV39" t="s">
        <v>95</v>
      </c>
      <c r="BW39">
        <v>9</v>
      </c>
      <c r="BX39">
        <v>0</v>
      </c>
      <c r="CA39">
        <f>28000*0.2</f>
        <v>5600</v>
      </c>
      <c r="CB39" t="s">
        <v>249</v>
      </c>
      <c r="CC39">
        <v>1</v>
      </c>
      <c r="CD39" s="5" t="str">
        <f t="shared" ca="1" si="4"/>
        <v>Amy</v>
      </c>
      <c r="CE39" s="5" t="str">
        <f t="shared" ca="1" si="5"/>
        <v>Neues Säule 3a Gefäss</v>
      </c>
      <c r="CF39" s="5" t="str">
        <f t="shared" ca="1" si="6"/>
        <v>Amy - Neues Säule 3a Gefäss - Einzahlung Maximalbetrag (20% Erwerbeinkommen</v>
      </c>
      <c r="CG39" s="5"/>
    </row>
    <row r="40" spans="1:85" x14ac:dyDescent="0.25">
      <c r="A40" s="57" t="s">
        <v>262</v>
      </c>
      <c r="B40" s="57"/>
      <c r="C40" s="53"/>
      <c r="D40" s="54"/>
      <c r="E40" s="63"/>
      <c r="F40" s="59">
        <f ca="1">IF(F$20+F$6&lt;0,0,F$20+F$6)</f>
        <v>59880</v>
      </c>
      <c r="G40" s="59">
        <f t="shared" ref="G40:BA40" ca="1" si="14">IF(G$20+G$6&lt;0,0,G$20+G$6)</f>
        <v>39920.751615938672</v>
      </c>
      <c r="H40" s="59">
        <f t="shared" ca="1" si="14"/>
        <v>38093.955366641632</v>
      </c>
      <c r="I40" s="59">
        <f t="shared" ca="1" si="14"/>
        <v>34475.332527115301</v>
      </c>
      <c r="J40" s="59">
        <f t="shared" ca="1" si="14"/>
        <v>25841.575630591542</v>
      </c>
      <c r="K40" s="59">
        <f t="shared" ca="1" si="14"/>
        <v>9296.2697561449895</v>
      </c>
      <c r="L40" s="59">
        <f t="shared" ca="1" si="14"/>
        <v>0</v>
      </c>
      <c r="M40" s="59">
        <f t="shared" ca="1" si="14"/>
        <v>0</v>
      </c>
      <c r="N40" s="59">
        <f t="shared" ca="1" si="14"/>
        <v>0</v>
      </c>
      <c r="O40" s="59">
        <f t="shared" ca="1" si="14"/>
        <v>0</v>
      </c>
      <c r="P40" s="59">
        <f t="shared" ca="1" si="14"/>
        <v>0</v>
      </c>
      <c r="Q40" s="59">
        <f t="shared" ca="1" si="14"/>
        <v>0</v>
      </c>
      <c r="R40" s="59">
        <f t="shared" ca="1" si="14"/>
        <v>0</v>
      </c>
      <c r="S40" s="59">
        <f t="shared" ca="1" si="14"/>
        <v>0</v>
      </c>
      <c r="T40" s="59">
        <f t="shared" ca="1" si="14"/>
        <v>0</v>
      </c>
      <c r="U40" s="59">
        <f t="shared" ca="1" si="14"/>
        <v>0</v>
      </c>
      <c r="V40" s="59">
        <f t="shared" ca="1" si="14"/>
        <v>0</v>
      </c>
      <c r="W40" s="59">
        <f t="shared" ca="1" si="14"/>
        <v>0</v>
      </c>
      <c r="X40" s="59">
        <f t="shared" ca="1" si="14"/>
        <v>0</v>
      </c>
      <c r="Y40" s="59">
        <f t="shared" ca="1" si="14"/>
        <v>0</v>
      </c>
      <c r="Z40" s="59">
        <f t="shared" ca="1" si="14"/>
        <v>0</v>
      </c>
      <c r="AA40" s="59">
        <f t="shared" ca="1" si="14"/>
        <v>0</v>
      </c>
      <c r="AB40" s="59">
        <f t="shared" ca="1" si="14"/>
        <v>0</v>
      </c>
      <c r="AC40" s="59">
        <f t="shared" ca="1" si="14"/>
        <v>0</v>
      </c>
      <c r="AD40" s="59">
        <f t="shared" ca="1" si="14"/>
        <v>0</v>
      </c>
      <c r="AE40" s="59">
        <f t="shared" ca="1" si="14"/>
        <v>0</v>
      </c>
      <c r="AF40" s="59">
        <f t="shared" ca="1" si="14"/>
        <v>0</v>
      </c>
      <c r="AG40" s="59">
        <f ca="1">IF(AG$20+AG$6&lt;0,0,AG$20+AG$6)</f>
        <v>0</v>
      </c>
      <c r="AH40" s="59">
        <f t="shared" ca="1" si="14"/>
        <v>0</v>
      </c>
      <c r="AI40" s="59">
        <f t="shared" ca="1" si="14"/>
        <v>0</v>
      </c>
      <c r="AJ40" s="59">
        <f t="shared" ca="1" si="14"/>
        <v>0</v>
      </c>
      <c r="AK40" s="59">
        <f t="shared" ca="1" si="14"/>
        <v>0</v>
      </c>
      <c r="AL40" s="59">
        <f t="shared" ca="1" si="14"/>
        <v>0</v>
      </c>
      <c r="AM40" s="59">
        <f t="shared" ca="1" si="14"/>
        <v>0</v>
      </c>
      <c r="AN40" s="59">
        <f t="shared" ca="1" si="14"/>
        <v>0</v>
      </c>
      <c r="AO40" s="59">
        <f t="shared" ca="1" si="14"/>
        <v>0</v>
      </c>
      <c r="AP40" s="59">
        <f t="shared" ca="1" si="14"/>
        <v>0</v>
      </c>
      <c r="AQ40" s="59">
        <f t="shared" ca="1" si="14"/>
        <v>0</v>
      </c>
      <c r="AR40" s="59">
        <f t="shared" ca="1" si="14"/>
        <v>0</v>
      </c>
      <c r="AS40" s="59">
        <f t="shared" ca="1" si="14"/>
        <v>0</v>
      </c>
      <c r="AT40" s="59">
        <f t="shared" ca="1" si="14"/>
        <v>0</v>
      </c>
      <c r="AU40" s="59">
        <f t="shared" ca="1" si="14"/>
        <v>0</v>
      </c>
      <c r="AV40" s="59">
        <f t="shared" ca="1" si="14"/>
        <v>0</v>
      </c>
      <c r="AW40" s="59">
        <f t="shared" ca="1" si="14"/>
        <v>0</v>
      </c>
      <c r="AX40" s="59">
        <f t="shared" ca="1" si="14"/>
        <v>0</v>
      </c>
      <c r="AY40" s="59">
        <f t="shared" ca="1" si="14"/>
        <v>0</v>
      </c>
      <c r="AZ40" s="59">
        <f t="shared" ca="1" si="14"/>
        <v>0</v>
      </c>
      <c r="BA40" s="59">
        <f t="shared" ca="1" si="14"/>
        <v>0</v>
      </c>
      <c r="BS40" s="5">
        <f t="shared" si="0"/>
        <v>0</v>
      </c>
      <c r="BT40" s="5" t="str">
        <f t="shared" si="1"/>
        <v>2031V_Vorsorg9</v>
      </c>
      <c r="BU40">
        <v>2031</v>
      </c>
      <c r="BV40" t="s">
        <v>95</v>
      </c>
      <c r="BW40">
        <v>9</v>
      </c>
      <c r="BX40">
        <v>1</v>
      </c>
      <c r="BY40" s="12">
        <v>0</v>
      </c>
      <c r="CB40" t="s">
        <v>250</v>
      </c>
      <c r="CC40">
        <v>1</v>
      </c>
      <c r="CD40" s="5" t="str">
        <f t="shared" ca="1" si="4"/>
        <v>Amy</v>
      </c>
      <c r="CE40" s="5" t="str">
        <f t="shared" ca="1" si="5"/>
        <v>Neues Säule 3a Gefäss</v>
      </c>
      <c r="CF40" s="5" t="str">
        <f t="shared" ca="1" si="6"/>
        <v>Amy - Neues Säule 3a Gefäss - Einzahlung Maximalbetrag (20% Erwerbseinkommen) und Bezug</v>
      </c>
      <c r="CG40" s="5"/>
    </row>
    <row r="41" spans="1:85" x14ac:dyDescent="0.25">
      <c r="A41" s="66" t="s">
        <v>112</v>
      </c>
      <c r="B41" s="66"/>
      <c r="C41" s="67"/>
      <c r="D41" s="68"/>
      <c r="E41" s="69"/>
      <c r="F41" s="70">
        <f ca="1">IF(F$20+F$6&gt;0,0,F$20+F$6)</f>
        <v>0</v>
      </c>
      <c r="G41" s="70">
        <f t="shared" ref="G41:BA41" ca="1" si="15">IF(G$20+G$6&gt;0,0,G$20+G$6)</f>
        <v>0</v>
      </c>
      <c r="H41" s="70">
        <f t="shared" ca="1" si="15"/>
        <v>0</v>
      </c>
      <c r="I41" s="70">
        <f t="shared" ca="1" si="15"/>
        <v>0</v>
      </c>
      <c r="J41" s="70">
        <f t="shared" ca="1" si="15"/>
        <v>0</v>
      </c>
      <c r="K41" s="70">
        <f t="shared" ca="1" si="15"/>
        <v>0</v>
      </c>
      <c r="L41" s="70">
        <f t="shared" ca="1" si="15"/>
        <v>-12842.131628582749</v>
      </c>
      <c r="M41" s="70">
        <f t="shared" ca="1" si="15"/>
        <v>-56941.092425147595</v>
      </c>
      <c r="N41" s="70">
        <f t="shared" ca="1" si="15"/>
        <v>-47072.896118671284</v>
      </c>
      <c r="O41" s="70">
        <f t="shared" ca="1" si="15"/>
        <v>-35357.739507172257</v>
      </c>
      <c r="P41" s="70">
        <f t="shared" ca="1" si="15"/>
        <v>-38907.900876137777</v>
      </c>
      <c r="Q41" s="70">
        <f t="shared" ca="1" si="15"/>
        <v>-40264.094423705479</v>
      </c>
      <c r="R41" s="70">
        <f t="shared" ca="1" si="15"/>
        <v>-41618.185322282312</v>
      </c>
      <c r="S41" s="70">
        <f t="shared" ca="1" si="15"/>
        <v>-42984.262381518929</v>
      </c>
      <c r="T41" s="70">
        <f t="shared" ca="1" si="15"/>
        <v>-44351.842563373706</v>
      </c>
      <c r="U41" s="70">
        <f t="shared" ca="1" si="15"/>
        <v>-45725.830628653319</v>
      </c>
      <c r="V41" s="70">
        <f t="shared" ca="1" si="15"/>
        <v>-47100.87116156891</v>
      </c>
      <c r="W41" s="70">
        <f t="shared" ca="1" si="15"/>
        <v>-48486.973560529848</v>
      </c>
      <c r="X41" s="70">
        <f t="shared" ca="1" si="15"/>
        <v>-49874.118697532045</v>
      </c>
      <c r="Y41" s="70">
        <f t="shared" ca="1" si="15"/>
        <v>-51266.139914798405</v>
      </c>
      <c r="Z41" s="70">
        <f t="shared" ca="1" si="15"/>
        <v>-52658.170080609678</v>
      </c>
      <c r="AA41" s="70">
        <f t="shared" ca="1" si="15"/>
        <v>-54060.644439781434</v>
      </c>
      <c r="AB41" s="70">
        <f t="shared" ca="1" si="15"/>
        <v>-55456.934199327021</v>
      </c>
      <c r="AC41" s="70">
        <f t="shared" ca="1" si="15"/>
        <v>-56863.04923189379</v>
      </c>
      <c r="AD41" s="70">
        <f t="shared" ca="1" si="15"/>
        <v>-58267.46858573801</v>
      </c>
      <c r="AE41" s="70">
        <f t="shared" ca="1" si="15"/>
        <v>-59675.447699681506</v>
      </c>
      <c r="AF41" s="70">
        <f t="shared" ca="1" si="15"/>
        <v>-61086.622825648665</v>
      </c>
      <c r="AG41" s="70">
        <f t="shared" ca="1" si="15"/>
        <v>-62495.603733976226</v>
      </c>
      <c r="AH41" s="70">
        <f t="shared" ca="1" si="15"/>
        <v>-63906.565304238</v>
      </c>
      <c r="AI41" s="70">
        <f t="shared" ca="1" si="15"/>
        <v>-65320.101161903935</v>
      </c>
      <c r="AJ41" s="70">
        <f t="shared" ca="1" si="15"/>
        <v>-66729.355086068681</v>
      </c>
      <c r="AK41" s="70">
        <f t="shared" ca="1" si="15"/>
        <v>-68134.50670319295</v>
      </c>
      <c r="AL41" s="70">
        <f t="shared" ca="1" si="15"/>
        <v>-69545.969317318057</v>
      </c>
      <c r="AM41" s="70">
        <f t="shared" ca="1" si="15"/>
        <v>-70946.661855331797</v>
      </c>
      <c r="AN41" s="70">
        <f t="shared" ca="1" si="15"/>
        <v>-72352.268223587889</v>
      </c>
      <c r="AO41" s="70">
        <f t="shared" ca="1" si="15"/>
        <v>-73746.402073447418</v>
      </c>
      <c r="AP41" s="70">
        <f t="shared" ca="1" si="15"/>
        <v>-75176.450490771269</v>
      </c>
      <c r="AQ41" s="70">
        <f t="shared" ca="1" si="15"/>
        <v>-76615.825604887388</v>
      </c>
      <c r="AR41" s="70">
        <f t="shared" ca="1" si="15"/>
        <v>-78054.631248994789</v>
      </c>
      <c r="AS41" s="70">
        <f t="shared" ca="1" si="15"/>
        <v>-79497.705227765313</v>
      </c>
      <c r="AT41" s="70">
        <f t="shared" ca="1" si="15"/>
        <v>-80934.956228621537</v>
      </c>
      <c r="AU41" s="70">
        <f t="shared" ca="1" si="15"/>
        <v>-82365.669131557865</v>
      </c>
      <c r="AV41" s="70">
        <f t="shared" ca="1" si="15"/>
        <v>-83811.01551946468</v>
      </c>
      <c r="AW41" s="70">
        <f t="shared" ca="1" si="15"/>
        <v>-85307.738500875392</v>
      </c>
      <c r="AX41" s="70">
        <f t="shared" ca="1" si="15"/>
        <v>-86793.855082967901</v>
      </c>
      <c r="AY41" s="70">
        <f t="shared" ca="1" si="15"/>
        <v>-88291.349687267037</v>
      </c>
      <c r="AZ41" s="70">
        <f t="shared" ca="1" si="15"/>
        <v>-89825.576626473747</v>
      </c>
      <c r="BA41" s="70">
        <f t="shared" ca="1" si="15"/>
        <v>-91505.645895023277</v>
      </c>
      <c r="BS41" s="5">
        <f t="shared" si="0"/>
        <v>0</v>
      </c>
      <c r="BT41" s="5" t="str">
        <f t="shared" si="1"/>
        <v>2030A_Allg6</v>
      </c>
      <c r="BU41">
        <v>2030</v>
      </c>
      <c r="BV41" t="s">
        <v>85</v>
      </c>
      <c r="BW41">
        <v>6</v>
      </c>
      <c r="BX41">
        <v>1</v>
      </c>
      <c r="BY41" s="12">
        <v>-5600</v>
      </c>
      <c r="CD41" s="5" t="str">
        <f t="shared" ca="1" si="4"/>
        <v>Amy</v>
      </c>
      <c r="CE41" s="5" t="str">
        <f t="shared" ca="1" si="5"/>
        <v>Säule 3a Beitrag</v>
      </c>
      <c r="CF41" s="5" t="str">
        <f t="shared" ca="1" si="6"/>
        <v>Amy - Säule 3a Beitrag</v>
      </c>
      <c r="CG41" s="5"/>
    </row>
    <row r="42" spans="1:85" ht="27.75" customHeight="1" x14ac:dyDescent="0.25">
      <c r="A42" s="71" t="s">
        <v>68</v>
      </c>
      <c r="B42" s="72"/>
      <c r="C42" s="73"/>
      <c r="D42" s="74"/>
      <c r="E42" s="77">
        <f t="shared" ref="E42:BA42" ca="1" si="16">E$43+E$46+E$65+E$70</f>
        <v>2004700</v>
      </c>
      <c r="F42" s="76">
        <f ca="1">F$43+F$46+F$65+F$70</f>
        <v>2152072.7000000002</v>
      </c>
      <c r="G42" s="76">
        <f t="shared" ca="1" si="16"/>
        <v>1775182.0402692175</v>
      </c>
      <c r="H42" s="76">
        <f t="shared" ca="1" si="16"/>
        <v>1936609.9640031978</v>
      </c>
      <c r="I42" s="76">
        <f t="shared" ca="1" si="16"/>
        <v>2068776.5932358624</v>
      </c>
      <c r="J42" s="76">
        <f t="shared" ca="1" si="16"/>
        <v>2424000.6035414124</v>
      </c>
      <c r="K42" s="76">
        <f t="shared" ca="1" si="16"/>
        <v>1702872.2038225033</v>
      </c>
      <c r="L42" s="76">
        <f t="shared" ca="1" si="16"/>
        <v>1766067.1612583613</v>
      </c>
      <c r="M42" s="76">
        <f t="shared" ca="1" si="16"/>
        <v>1779772.3359598164</v>
      </c>
      <c r="N42" s="76">
        <f t="shared" ca="1" si="16"/>
        <v>1803372.4885817273</v>
      </c>
      <c r="O42" s="76">
        <f t="shared" ca="1" si="16"/>
        <v>1810564.0257335403</v>
      </c>
      <c r="P42" s="76">
        <f t="shared" ca="1" si="16"/>
        <v>1814394.9774927441</v>
      </c>
      <c r="Q42" s="76">
        <f t="shared" ca="1" si="16"/>
        <v>1816980.0856288695</v>
      </c>
      <c r="R42" s="76">
        <f t="shared" ca="1" si="16"/>
        <v>1818277.8850604575</v>
      </c>
      <c r="S42" s="76">
        <f t="shared" ca="1" si="16"/>
        <v>1818231.124064378</v>
      </c>
      <c r="T42" s="76">
        <f t="shared" ca="1" si="16"/>
        <v>1816791.2135983985</v>
      </c>
      <c r="U42" s="76">
        <f t="shared" ca="1" si="16"/>
        <v>1813902.8734096875</v>
      </c>
      <c r="V42" s="76">
        <f t="shared" ca="1" si="16"/>
        <v>1809514.3375721304</v>
      </c>
      <c r="W42" s="76">
        <f t="shared" ca="1" si="16"/>
        <v>1803561.8437893158</v>
      </c>
      <c r="X42" s="76">
        <f t="shared" ca="1" si="16"/>
        <v>1795989.5925472034</v>
      </c>
      <c r="Y42" s="76">
        <f t="shared" ca="1" si="16"/>
        <v>1786735.9309230479</v>
      </c>
      <c r="Z42" s="76">
        <f t="shared" ca="1" si="16"/>
        <v>1775742.000448334</v>
      </c>
      <c r="AA42" s="76">
        <f t="shared" ca="1" si="16"/>
        <v>1762936.2647465486</v>
      </c>
      <c r="AB42" s="76">
        <f t="shared" ca="1" si="16"/>
        <v>1748261.6034648623</v>
      </c>
      <c r="AC42" s="76">
        <f t="shared" ca="1" si="16"/>
        <v>1731642.6069926806</v>
      </c>
      <c r="AD42" s="76">
        <f t="shared" ca="1" si="16"/>
        <v>1713012.9489514362</v>
      </c>
      <c r="AE42" s="76">
        <f t="shared" ca="1" si="16"/>
        <v>1692298.6341303103</v>
      </c>
      <c r="AF42" s="76">
        <f t="shared" ca="1" si="16"/>
        <v>1669423.4475997738</v>
      </c>
      <c r="AG42" s="76">
        <f t="shared" ca="1" si="16"/>
        <v>1644313.9914664449</v>
      </c>
      <c r="AH42" s="76">
        <f t="shared" ca="1" si="16"/>
        <v>1616890.0509707085</v>
      </c>
      <c r="AI42" s="76">
        <f t="shared" ca="1" si="16"/>
        <v>1587067.9998224461</v>
      </c>
      <c r="AJ42" s="76">
        <f t="shared" ca="1" si="16"/>
        <v>1554768.2610161565</v>
      </c>
      <c r="AK42" s="76">
        <f t="shared" ca="1" si="16"/>
        <v>1519908.2895812234</v>
      </c>
      <c r="AL42" s="76">
        <f t="shared" ca="1" si="16"/>
        <v>1482392.055936195</v>
      </c>
      <c r="AM42" s="76">
        <f t="shared" ca="1" si="16"/>
        <v>1442137.5494561619</v>
      </c>
      <c r="AN42" s="76">
        <f t="shared" ca="1" si="16"/>
        <v>1399043.930769627</v>
      </c>
      <c r="AO42" s="76">
        <f t="shared" ca="1" si="16"/>
        <v>1353023.5042368309</v>
      </c>
      <c r="AP42" s="76">
        <f t="shared" ca="1" si="16"/>
        <v>1303937.2885107603</v>
      </c>
      <c r="AQ42" s="76">
        <f t="shared" ca="1" si="16"/>
        <v>1251668.4910556641</v>
      </c>
      <c r="AR42" s="76">
        <f t="shared" ca="1" si="16"/>
        <v>1196106.3009467602</v>
      </c>
      <c r="AS42" s="76">
        <f t="shared" ca="1" si="16"/>
        <v>1137131.1064106456</v>
      </c>
      <c r="AT42" s="76">
        <f t="shared" ca="1" si="16"/>
        <v>1074629.3771723958</v>
      </c>
      <c r="AU42" s="76">
        <f t="shared" ca="1" si="16"/>
        <v>1008484.3370320695</v>
      </c>
      <c r="AV42" s="76">
        <f t="shared" ca="1" si="16"/>
        <v>938553.58053713664</v>
      </c>
      <c r="AW42" s="76">
        <f t="shared" ca="1" si="16"/>
        <v>864652.3319312958</v>
      </c>
      <c r="AX42" s="76">
        <f t="shared" ca="1" si="16"/>
        <v>786652.41600197135</v>
      </c>
      <c r="AY42" s="76">
        <f t="shared" ca="1" si="16"/>
        <v>704398.80225524609</v>
      </c>
      <c r="AZ42" s="76">
        <f t="shared" ca="1" si="16"/>
        <v>617705.23611674272</v>
      </c>
      <c r="BA42" s="76">
        <f t="shared" ca="1" si="16"/>
        <v>526267.92468264257</v>
      </c>
      <c r="BS42" s="5">
        <f t="shared" si="0"/>
        <v>0</v>
      </c>
      <c r="BT42" s="5" t="str">
        <f t="shared" si="1"/>
        <v>2031A_Allg6</v>
      </c>
      <c r="BU42">
        <v>2031</v>
      </c>
      <c r="BV42" t="s">
        <v>85</v>
      </c>
      <c r="BW42">
        <v>6</v>
      </c>
      <c r="BX42">
        <v>2</v>
      </c>
      <c r="BZ42">
        <v>0.5</v>
      </c>
      <c r="CD42" s="5" t="str">
        <f t="shared" ca="1" si="4"/>
        <v>Amy</v>
      </c>
      <c r="CE42" s="5" t="str">
        <f t="shared" ca="1" si="5"/>
        <v>Säule 3a Beitrag</v>
      </c>
      <c r="CF42" s="5" t="str">
        <f t="shared" ca="1" si="6"/>
        <v>Amy - Säule 3a Beitrag</v>
      </c>
      <c r="CG42" s="5"/>
    </row>
    <row r="43" spans="1:85" ht="27.75" customHeight="1" x14ac:dyDescent="0.25">
      <c r="A43" s="56" t="s">
        <v>59</v>
      </c>
      <c r="B43" s="57"/>
      <c r="C43" s="53"/>
      <c r="D43" s="54"/>
      <c r="E43" s="64">
        <f t="shared" ref="E43:AJ43" si="17">SUM(E44:E45)</f>
        <v>174700</v>
      </c>
      <c r="F43" s="58">
        <f ca="1">SUM(F44:F45)</f>
        <v>288099.40000000002</v>
      </c>
      <c r="G43" s="58">
        <f t="shared" ca="1" si="17"/>
        <v>377708.08076921757</v>
      </c>
      <c r="H43" s="58">
        <f t="shared" ca="1" si="17"/>
        <v>470281.41250069806</v>
      </c>
      <c r="I43" s="58">
        <f t="shared" ca="1" si="17"/>
        <v>555071.68244706234</v>
      </c>
      <c r="J43" s="58">
        <f t="shared" ca="1" si="17"/>
        <v>846292.9945368364</v>
      </c>
      <c r="K43" s="58">
        <f t="shared" ca="1" si="17"/>
        <v>1232872.2038225033</v>
      </c>
      <c r="L43" s="58">
        <f t="shared" ca="1" si="17"/>
        <v>1296067.1612583613</v>
      </c>
      <c r="M43" s="58">
        <f t="shared" ca="1" si="17"/>
        <v>1309772.3359598164</v>
      </c>
      <c r="N43" s="58">
        <f t="shared" ca="1" si="17"/>
        <v>1333372.4885817275</v>
      </c>
      <c r="O43" s="58">
        <f t="shared" ca="1" si="17"/>
        <v>1340564.0257335403</v>
      </c>
      <c r="P43" s="58">
        <f t="shared" ca="1" si="17"/>
        <v>1344394.9774927439</v>
      </c>
      <c r="Q43" s="58">
        <f t="shared" ca="1" si="17"/>
        <v>1346980.0856288695</v>
      </c>
      <c r="R43" s="58">
        <f t="shared" ca="1" si="17"/>
        <v>1348277.8850604575</v>
      </c>
      <c r="S43" s="58">
        <f t="shared" ca="1" si="17"/>
        <v>1348231.124064378</v>
      </c>
      <c r="T43" s="58">
        <f t="shared" ca="1" si="17"/>
        <v>1346791.2135983985</v>
      </c>
      <c r="U43" s="58">
        <f t="shared" ca="1" si="17"/>
        <v>1343902.8734096878</v>
      </c>
      <c r="V43" s="58">
        <f t="shared" ca="1" si="17"/>
        <v>1339514.3375721304</v>
      </c>
      <c r="W43" s="58">
        <f t="shared" ca="1" si="17"/>
        <v>1333561.843789316</v>
      </c>
      <c r="X43" s="58">
        <f t="shared" ca="1" si="17"/>
        <v>1325989.5925472032</v>
      </c>
      <c r="Y43" s="58">
        <f t="shared" ca="1" si="17"/>
        <v>1316735.9309230479</v>
      </c>
      <c r="Z43" s="58">
        <f t="shared" ca="1" si="17"/>
        <v>1305742.0004483343</v>
      </c>
      <c r="AA43" s="58">
        <f t="shared" ca="1" si="17"/>
        <v>1292936.2647465484</v>
      </c>
      <c r="AB43" s="58">
        <f t="shared" ca="1" si="17"/>
        <v>1278261.6034648623</v>
      </c>
      <c r="AC43" s="58">
        <f t="shared" ca="1" si="17"/>
        <v>1261642.6069926806</v>
      </c>
      <c r="AD43" s="58">
        <f t="shared" ca="1" si="17"/>
        <v>1243012.948951436</v>
      </c>
      <c r="AE43" s="58">
        <f t="shared" ca="1" si="17"/>
        <v>1222298.6341303103</v>
      </c>
      <c r="AF43" s="58">
        <f t="shared" ca="1" si="17"/>
        <v>1199423.4475997738</v>
      </c>
      <c r="AG43" s="58">
        <f t="shared" ca="1" si="17"/>
        <v>1174313.9914664449</v>
      </c>
      <c r="AH43" s="58">
        <f t="shared" ca="1" si="17"/>
        <v>1146890.0509707085</v>
      </c>
      <c r="AI43" s="58">
        <f t="shared" ca="1" si="17"/>
        <v>1117067.9998224459</v>
      </c>
      <c r="AJ43" s="58">
        <f t="shared" ca="1" si="17"/>
        <v>1084768.2610161568</v>
      </c>
      <c r="AK43" s="58">
        <f t="shared" ref="AK43:BA43" ca="1" si="18">SUM(AK44:AK45)</f>
        <v>1049908.2895812234</v>
      </c>
      <c r="AL43" s="58">
        <f t="shared" ca="1" si="18"/>
        <v>1012392.0559361951</v>
      </c>
      <c r="AM43" s="58">
        <f t="shared" ca="1" si="18"/>
        <v>972137.54945616191</v>
      </c>
      <c r="AN43" s="58">
        <f t="shared" ca="1" si="18"/>
        <v>929043.93076962687</v>
      </c>
      <c r="AO43" s="58">
        <f t="shared" ca="1" si="18"/>
        <v>883023.50423683098</v>
      </c>
      <c r="AP43" s="58">
        <f t="shared" ca="1" si="18"/>
        <v>833937.28851076041</v>
      </c>
      <c r="AQ43" s="58">
        <f t="shared" ca="1" si="18"/>
        <v>781668.49105566414</v>
      </c>
      <c r="AR43" s="58">
        <f t="shared" ca="1" si="18"/>
        <v>726106.30094676022</v>
      </c>
      <c r="AS43" s="58">
        <f t="shared" ca="1" si="18"/>
        <v>667131.10641064565</v>
      </c>
      <c r="AT43" s="58">
        <f t="shared" ca="1" si="18"/>
        <v>604629.37717239582</v>
      </c>
      <c r="AU43" s="58">
        <f t="shared" ca="1" si="18"/>
        <v>538484.33703206957</v>
      </c>
      <c r="AV43" s="58">
        <f t="shared" ca="1" si="18"/>
        <v>468553.5805371367</v>
      </c>
      <c r="AW43" s="58">
        <f t="shared" ca="1" si="18"/>
        <v>394652.3319312958</v>
      </c>
      <c r="AX43" s="58">
        <f t="shared" ca="1" si="18"/>
        <v>316652.41600197135</v>
      </c>
      <c r="AY43" s="58">
        <f t="shared" ca="1" si="18"/>
        <v>234398.80225524609</v>
      </c>
      <c r="AZ43" s="58">
        <f t="shared" ca="1" si="18"/>
        <v>147705.23611674266</v>
      </c>
      <c r="BA43" s="58">
        <f t="shared" ca="1" si="18"/>
        <v>56267.924682642471</v>
      </c>
      <c r="BS43" s="5">
        <f t="shared" si="0"/>
        <v>0</v>
      </c>
      <c r="BT43" s="5" t="str">
        <f t="shared" si="1"/>
        <v>2032A_Allg6</v>
      </c>
      <c r="BU43">
        <v>2032</v>
      </c>
      <c r="BV43" t="s">
        <v>85</v>
      </c>
      <c r="BW43">
        <v>6</v>
      </c>
      <c r="BX43">
        <v>1</v>
      </c>
      <c r="BY43" s="12">
        <v>0</v>
      </c>
      <c r="CD43" s="5" t="str">
        <f t="shared" ca="1" si="4"/>
        <v>Amy</v>
      </c>
      <c r="CE43" s="5" t="str">
        <f t="shared" ca="1" si="5"/>
        <v>Säule 3a Beitrag</v>
      </c>
      <c r="CF43" s="5" t="str">
        <f t="shared" ca="1" si="6"/>
        <v>Amy - Säule 3a Beitrag</v>
      </c>
      <c r="CG43" s="5"/>
    </row>
    <row r="44" spans="1:85" x14ac:dyDescent="0.25">
      <c r="A44" s="57" t="s">
        <v>82</v>
      </c>
      <c r="B44" s="57"/>
      <c r="C44" s="53"/>
      <c r="D44" s="54"/>
      <c r="E44" s="62">
        <f>MIN($BP$3,SUM(V_Frei[Betrag]))</f>
        <v>100000</v>
      </c>
      <c r="F44" s="59">
        <f>E44</f>
        <v>100000</v>
      </c>
      <c r="G44" s="59">
        <f>F44</f>
        <v>100000</v>
      </c>
      <c r="H44" s="59">
        <f t="shared" ref="H44:BA44" si="19">G44</f>
        <v>100000</v>
      </c>
      <c r="I44" s="59">
        <f t="shared" si="19"/>
        <v>100000</v>
      </c>
      <c r="J44" s="59">
        <f t="shared" si="19"/>
        <v>100000</v>
      </c>
      <c r="K44" s="59">
        <f t="shared" si="19"/>
        <v>100000</v>
      </c>
      <c r="L44" s="59">
        <f t="shared" si="19"/>
        <v>100000</v>
      </c>
      <c r="M44" s="59">
        <f t="shared" si="19"/>
        <v>100000</v>
      </c>
      <c r="N44" s="59">
        <f t="shared" si="19"/>
        <v>100000</v>
      </c>
      <c r="O44" s="59">
        <f t="shared" si="19"/>
        <v>100000</v>
      </c>
      <c r="P44" s="59">
        <f t="shared" si="19"/>
        <v>100000</v>
      </c>
      <c r="Q44" s="59">
        <f t="shared" si="19"/>
        <v>100000</v>
      </c>
      <c r="R44" s="59">
        <f t="shared" si="19"/>
        <v>100000</v>
      </c>
      <c r="S44" s="59">
        <f t="shared" si="19"/>
        <v>100000</v>
      </c>
      <c r="T44" s="59">
        <f t="shared" si="19"/>
        <v>100000</v>
      </c>
      <c r="U44" s="59">
        <f t="shared" si="19"/>
        <v>100000</v>
      </c>
      <c r="V44" s="59">
        <f t="shared" si="19"/>
        <v>100000</v>
      </c>
      <c r="W44" s="59">
        <f t="shared" si="19"/>
        <v>100000</v>
      </c>
      <c r="X44" s="59">
        <f t="shared" si="19"/>
        <v>100000</v>
      </c>
      <c r="Y44" s="59">
        <f t="shared" si="19"/>
        <v>100000</v>
      </c>
      <c r="Z44" s="59">
        <f t="shared" si="19"/>
        <v>100000</v>
      </c>
      <c r="AA44" s="59">
        <f t="shared" si="19"/>
        <v>100000</v>
      </c>
      <c r="AB44" s="59">
        <f t="shared" si="19"/>
        <v>100000</v>
      </c>
      <c r="AC44" s="59">
        <f t="shared" si="19"/>
        <v>100000</v>
      </c>
      <c r="AD44" s="59">
        <f t="shared" si="19"/>
        <v>100000</v>
      </c>
      <c r="AE44" s="59">
        <f t="shared" si="19"/>
        <v>100000</v>
      </c>
      <c r="AF44" s="59">
        <f t="shared" si="19"/>
        <v>100000</v>
      </c>
      <c r="AG44" s="59">
        <f t="shared" si="19"/>
        <v>100000</v>
      </c>
      <c r="AH44" s="59">
        <f t="shared" si="19"/>
        <v>100000</v>
      </c>
      <c r="AI44" s="59">
        <f t="shared" si="19"/>
        <v>100000</v>
      </c>
      <c r="AJ44" s="59">
        <f t="shared" si="19"/>
        <v>100000</v>
      </c>
      <c r="AK44" s="59">
        <f t="shared" si="19"/>
        <v>100000</v>
      </c>
      <c r="AL44" s="59">
        <f t="shared" si="19"/>
        <v>100000</v>
      </c>
      <c r="AM44" s="59">
        <f t="shared" si="19"/>
        <v>100000</v>
      </c>
      <c r="AN44" s="59">
        <f t="shared" si="19"/>
        <v>100000</v>
      </c>
      <c r="AO44" s="59">
        <f t="shared" si="19"/>
        <v>100000</v>
      </c>
      <c r="AP44" s="59">
        <f t="shared" si="19"/>
        <v>100000</v>
      </c>
      <c r="AQ44" s="59">
        <f t="shared" si="19"/>
        <v>100000</v>
      </c>
      <c r="AR44" s="59">
        <f t="shared" si="19"/>
        <v>100000</v>
      </c>
      <c r="AS44" s="59">
        <f t="shared" si="19"/>
        <v>100000</v>
      </c>
      <c r="AT44" s="59">
        <f t="shared" si="19"/>
        <v>100000</v>
      </c>
      <c r="AU44" s="59">
        <f t="shared" si="19"/>
        <v>100000</v>
      </c>
      <c r="AV44" s="59">
        <f t="shared" si="19"/>
        <v>100000</v>
      </c>
      <c r="AW44" s="59">
        <f t="shared" si="19"/>
        <v>100000</v>
      </c>
      <c r="AX44" s="59">
        <f t="shared" si="19"/>
        <v>100000</v>
      </c>
      <c r="AY44" s="59">
        <f t="shared" si="19"/>
        <v>100000</v>
      </c>
      <c r="AZ44" s="59">
        <f t="shared" si="19"/>
        <v>100000</v>
      </c>
      <c r="BA44" s="59">
        <f t="shared" si="19"/>
        <v>100000</v>
      </c>
      <c r="BS44" s="5">
        <f t="shared" si="0"/>
        <v>0</v>
      </c>
      <c r="BT44" s="5" t="str">
        <f t="shared" si="1"/>
        <v>2029V_Vorsorg8</v>
      </c>
      <c r="BU44">
        <v>2029</v>
      </c>
      <c r="BV44" t="s">
        <v>95</v>
      </c>
      <c r="BW44">
        <v>8</v>
      </c>
      <c r="BX44">
        <v>1</v>
      </c>
      <c r="BY44" s="12">
        <v>0</v>
      </c>
      <c r="CB44" t="s">
        <v>242</v>
      </c>
      <c r="CD44" s="5" t="str">
        <f t="shared" ca="1" si="4"/>
        <v>Amy</v>
      </c>
      <c r="CE44" s="5" t="str">
        <f t="shared" ca="1" si="5"/>
        <v>AXA Säule 3b</v>
      </c>
      <c r="CF44" s="5" t="str">
        <f t="shared" ca="1" si="6"/>
        <v>Amy - AXA Säule 3b - Auszahlung</v>
      </c>
      <c r="CG44" s="5"/>
    </row>
    <row r="45" spans="1:85" x14ac:dyDescent="0.25">
      <c r="A45" s="57" t="s">
        <v>111</v>
      </c>
      <c r="B45" s="57"/>
      <c r="C45" s="53"/>
      <c r="D45" s="54"/>
      <c r="E45" s="62">
        <f>MAX(SUM(V_Frei[Betrag])-E44,0)</f>
        <v>74700</v>
      </c>
      <c r="F45" s="59">
        <f t="shared" ref="F45:BA45" ca="1" si="20">F$82</f>
        <v>188099.4</v>
      </c>
      <c r="G45" s="59">
        <f t="shared" ca="1" si="20"/>
        <v>277708.08076921757</v>
      </c>
      <c r="H45" s="59">
        <f t="shared" ca="1" si="20"/>
        <v>370281.41250069806</v>
      </c>
      <c r="I45" s="59">
        <f t="shared" ca="1" si="20"/>
        <v>455071.68244706228</v>
      </c>
      <c r="J45" s="59">
        <f t="shared" ca="1" si="20"/>
        <v>746292.9945368364</v>
      </c>
      <c r="K45" s="59">
        <f t="shared" ca="1" si="20"/>
        <v>1132872.2038225033</v>
      </c>
      <c r="L45" s="59">
        <f t="shared" ca="1" si="20"/>
        <v>1196067.1612583613</v>
      </c>
      <c r="M45" s="59">
        <f t="shared" ca="1" si="20"/>
        <v>1209772.3359598164</v>
      </c>
      <c r="N45" s="59">
        <f t="shared" ca="1" si="20"/>
        <v>1233372.4885817275</v>
      </c>
      <c r="O45" s="59">
        <f t="shared" ca="1" si="20"/>
        <v>1240564.0257335403</v>
      </c>
      <c r="P45" s="59">
        <f t="shared" ca="1" si="20"/>
        <v>1244394.9774927439</v>
      </c>
      <c r="Q45" s="59">
        <f t="shared" ca="1" si="20"/>
        <v>1246980.0856288695</v>
      </c>
      <c r="R45" s="59">
        <f t="shared" ca="1" si="20"/>
        <v>1248277.8850604575</v>
      </c>
      <c r="S45" s="59">
        <f t="shared" ca="1" si="20"/>
        <v>1248231.124064378</v>
      </c>
      <c r="T45" s="59">
        <f t="shared" ca="1" si="20"/>
        <v>1246791.2135983985</v>
      </c>
      <c r="U45" s="59">
        <f t="shared" ca="1" si="20"/>
        <v>1243902.8734096878</v>
      </c>
      <c r="V45" s="59">
        <f t="shared" ca="1" si="20"/>
        <v>1239514.3375721304</v>
      </c>
      <c r="W45" s="59">
        <f t="shared" ca="1" si="20"/>
        <v>1233561.843789316</v>
      </c>
      <c r="X45" s="59">
        <f t="shared" ca="1" si="20"/>
        <v>1225989.5925472032</v>
      </c>
      <c r="Y45" s="59">
        <f t="shared" ca="1" si="20"/>
        <v>1216735.9309230479</v>
      </c>
      <c r="Z45" s="59">
        <f t="shared" ca="1" si="20"/>
        <v>1205742.0004483343</v>
      </c>
      <c r="AA45" s="59">
        <f t="shared" ca="1" si="20"/>
        <v>1192936.2647465484</v>
      </c>
      <c r="AB45" s="59">
        <f t="shared" ca="1" si="20"/>
        <v>1178261.6034648623</v>
      </c>
      <c r="AC45" s="59">
        <f t="shared" ca="1" si="20"/>
        <v>1161642.6069926806</v>
      </c>
      <c r="AD45" s="59">
        <f t="shared" ca="1" si="20"/>
        <v>1143012.948951436</v>
      </c>
      <c r="AE45" s="59">
        <f t="shared" ca="1" si="20"/>
        <v>1122298.6341303103</v>
      </c>
      <c r="AF45" s="59">
        <f t="shared" ca="1" si="20"/>
        <v>1099423.4475997738</v>
      </c>
      <c r="AG45" s="59">
        <f t="shared" ca="1" si="20"/>
        <v>1074313.9914664449</v>
      </c>
      <c r="AH45" s="59">
        <f t="shared" ca="1" si="20"/>
        <v>1046890.0509707084</v>
      </c>
      <c r="AI45" s="59">
        <f t="shared" ca="1" si="20"/>
        <v>1017067.9998224459</v>
      </c>
      <c r="AJ45" s="59">
        <f t="shared" ca="1" si="20"/>
        <v>984768.26101615676</v>
      </c>
      <c r="AK45" s="59">
        <f t="shared" ca="1" si="20"/>
        <v>949908.28958122339</v>
      </c>
      <c r="AL45" s="59">
        <f t="shared" ca="1" si="20"/>
        <v>912392.05593619507</v>
      </c>
      <c r="AM45" s="59">
        <f t="shared" ca="1" si="20"/>
        <v>872137.54945616191</v>
      </c>
      <c r="AN45" s="59">
        <f t="shared" ca="1" si="20"/>
        <v>829043.93076962687</v>
      </c>
      <c r="AO45" s="59">
        <f t="shared" ca="1" si="20"/>
        <v>783023.50423683098</v>
      </c>
      <c r="AP45" s="59">
        <f t="shared" ca="1" si="20"/>
        <v>733937.28851076041</v>
      </c>
      <c r="AQ45" s="59">
        <f t="shared" ca="1" si="20"/>
        <v>681668.49105566414</v>
      </c>
      <c r="AR45" s="59">
        <f t="shared" ca="1" si="20"/>
        <v>626106.30094676022</v>
      </c>
      <c r="AS45" s="59">
        <f t="shared" ca="1" si="20"/>
        <v>567131.10641064565</v>
      </c>
      <c r="AT45" s="59">
        <f t="shared" ca="1" si="20"/>
        <v>504629.37717239582</v>
      </c>
      <c r="AU45" s="59">
        <f t="shared" ca="1" si="20"/>
        <v>438484.33703206957</v>
      </c>
      <c r="AV45" s="59">
        <f t="shared" ca="1" si="20"/>
        <v>368553.5805371367</v>
      </c>
      <c r="AW45" s="59">
        <f t="shared" ca="1" si="20"/>
        <v>294652.3319312958</v>
      </c>
      <c r="AX45" s="59">
        <f t="shared" ca="1" si="20"/>
        <v>216652.41600197132</v>
      </c>
      <c r="AY45" s="59">
        <f t="shared" ca="1" si="20"/>
        <v>134398.80225524609</v>
      </c>
      <c r="AZ45" s="59">
        <f t="shared" ca="1" si="20"/>
        <v>47705.236116742664</v>
      </c>
      <c r="BA45" s="59">
        <f t="shared" ca="1" si="20"/>
        <v>-43732.075317357529</v>
      </c>
      <c r="BS45" s="5">
        <f t="shared" si="0"/>
        <v>0</v>
      </c>
      <c r="BT45" s="5" t="str">
        <f t="shared" si="1"/>
        <v>2029E_Erwerb6</v>
      </c>
      <c r="BU45">
        <v>2029</v>
      </c>
      <c r="BV45" t="s">
        <v>74</v>
      </c>
      <c r="BW45">
        <v>6</v>
      </c>
      <c r="BX45">
        <v>1</v>
      </c>
      <c r="BY45" s="12">
        <f>2450*4</f>
        <v>9800</v>
      </c>
      <c r="CD45" s="5" t="str">
        <f t="shared" ca="1" si="4"/>
        <v>Amy</v>
      </c>
      <c r="CE45" s="5" t="str">
        <f t="shared" ca="1" si="5"/>
        <v>AHV-Einzelrente</v>
      </c>
      <c r="CF45" s="5" t="str">
        <f t="shared" ca="1" si="6"/>
        <v>Amy - AHV-Einzelrente</v>
      </c>
      <c r="CG45" s="5"/>
    </row>
    <row r="46" spans="1:85" ht="27.75" customHeight="1" x14ac:dyDescent="0.25">
      <c r="A46" s="56" t="s">
        <v>91</v>
      </c>
      <c r="B46" s="57" t="s">
        <v>95</v>
      </c>
      <c r="C46" s="53"/>
      <c r="D46" s="54"/>
      <c r="E46" s="64">
        <f ca="1">SUM(E47:E64)</f>
        <v>1360000</v>
      </c>
      <c r="F46" s="58">
        <f ca="1">SUM(F47:F64)</f>
        <v>1393973.3</v>
      </c>
      <c r="G46" s="58">
        <f t="shared" ref="G46:BA46" ca="1" si="21">SUM(G47:G50)</f>
        <v>927473.9595</v>
      </c>
      <c r="H46" s="58">
        <f t="shared" ca="1" si="21"/>
        <v>996328.55150249996</v>
      </c>
      <c r="I46" s="58">
        <f t="shared" ca="1" si="21"/>
        <v>1043704.9107888</v>
      </c>
      <c r="J46" s="58">
        <f t="shared" ca="1" si="21"/>
        <v>1107707.609004576</v>
      </c>
      <c r="K46" s="58">
        <f t="shared" ca="1" si="21"/>
        <v>0</v>
      </c>
      <c r="L46" s="58">
        <f t="shared" ca="1" si="21"/>
        <v>0</v>
      </c>
      <c r="M46" s="58">
        <f t="shared" ca="1" si="21"/>
        <v>0</v>
      </c>
      <c r="N46" s="58">
        <f t="shared" ca="1" si="21"/>
        <v>0</v>
      </c>
      <c r="O46" s="58">
        <f t="shared" ca="1" si="21"/>
        <v>0</v>
      </c>
      <c r="P46" s="58">
        <f t="shared" ca="1" si="21"/>
        <v>0</v>
      </c>
      <c r="Q46" s="58">
        <f t="shared" ca="1" si="21"/>
        <v>0</v>
      </c>
      <c r="R46" s="58">
        <f t="shared" ca="1" si="21"/>
        <v>0</v>
      </c>
      <c r="S46" s="58">
        <f t="shared" ca="1" si="21"/>
        <v>0</v>
      </c>
      <c r="T46" s="58">
        <f t="shared" ca="1" si="21"/>
        <v>0</v>
      </c>
      <c r="U46" s="58">
        <f t="shared" ca="1" si="21"/>
        <v>0</v>
      </c>
      <c r="V46" s="58">
        <f t="shared" ca="1" si="21"/>
        <v>0</v>
      </c>
      <c r="W46" s="58">
        <f t="shared" ca="1" si="21"/>
        <v>0</v>
      </c>
      <c r="X46" s="58">
        <f t="shared" ca="1" si="21"/>
        <v>0</v>
      </c>
      <c r="Y46" s="58">
        <f t="shared" ca="1" si="21"/>
        <v>0</v>
      </c>
      <c r="Z46" s="58">
        <f t="shared" ca="1" si="21"/>
        <v>0</v>
      </c>
      <c r="AA46" s="58">
        <f t="shared" ca="1" si="21"/>
        <v>0</v>
      </c>
      <c r="AB46" s="58">
        <f t="shared" ca="1" si="21"/>
        <v>0</v>
      </c>
      <c r="AC46" s="58">
        <f t="shared" ca="1" si="21"/>
        <v>0</v>
      </c>
      <c r="AD46" s="58">
        <f t="shared" ca="1" si="21"/>
        <v>0</v>
      </c>
      <c r="AE46" s="58">
        <f t="shared" ca="1" si="21"/>
        <v>0</v>
      </c>
      <c r="AF46" s="58">
        <f t="shared" ca="1" si="21"/>
        <v>0</v>
      </c>
      <c r="AG46" s="58">
        <f t="shared" ca="1" si="21"/>
        <v>0</v>
      </c>
      <c r="AH46" s="58">
        <f t="shared" ca="1" si="21"/>
        <v>0</v>
      </c>
      <c r="AI46" s="58">
        <f t="shared" ca="1" si="21"/>
        <v>0</v>
      </c>
      <c r="AJ46" s="58">
        <f t="shared" ca="1" si="21"/>
        <v>0</v>
      </c>
      <c r="AK46" s="58">
        <f t="shared" ca="1" si="21"/>
        <v>0</v>
      </c>
      <c r="AL46" s="58">
        <f t="shared" ca="1" si="21"/>
        <v>0</v>
      </c>
      <c r="AM46" s="58">
        <f t="shared" ca="1" si="21"/>
        <v>0</v>
      </c>
      <c r="AN46" s="58">
        <f t="shared" ca="1" si="21"/>
        <v>0</v>
      </c>
      <c r="AO46" s="58">
        <f t="shared" ca="1" si="21"/>
        <v>0</v>
      </c>
      <c r="AP46" s="58">
        <f t="shared" ca="1" si="21"/>
        <v>0</v>
      </c>
      <c r="AQ46" s="58">
        <f t="shared" ca="1" si="21"/>
        <v>0</v>
      </c>
      <c r="AR46" s="58">
        <f t="shared" ca="1" si="21"/>
        <v>0</v>
      </c>
      <c r="AS46" s="58">
        <f t="shared" ca="1" si="21"/>
        <v>0</v>
      </c>
      <c r="AT46" s="58">
        <f t="shared" ca="1" si="21"/>
        <v>0</v>
      </c>
      <c r="AU46" s="58">
        <f t="shared" ca="1" si="21"/>
        <v>0</v>
      </c>
      <c r="AV46" s="58">
        <f t="shared" ca="1" si="21"/>
        <v>0</v>
      </c>
      <c r="AW46" s="58">
        <f t="shared" ca="1" si="21"/>
        <v>0</v>
      </c>
      <c r="AX46" s="58">
        <f t="shared" ca="1" si="21"/>
        <v>0</v>
      </c>
      <c r="AY46" s="58">
        <f t="shared" ca="1" si="21"/>
        <v>0</v>
      </c>
      <c r="AZ46" s="58">
        <f t="shared" ca="1" si="21"/>
        <v>0</v>
      </c>
      <c r="BA46" s="58">
        <f t="shared" si="21"/>
        <v>0</v>
      </c>
      <c r="BS46" s="5">
        <f t="shared" si="0"/>
        <v>0</v>
      </c>
      <c r="BT46" s="5" t="str">
        <f t="shared" si="1"/>
        <v>2030E_Erwerb6</v>
      </c>
      <c r="BU46">
        <v>2030</v>
      </c>
      <c r="BV46" t="s">
        <v>74</v>
      </c>
      <c r="BW46">
        <v>6</v>
      </c>
      <c r="BX46">
        <v>1</v>
      </c>
      <c r="BY46" s="12">
        <f>2450*12</f>
        <v>29400</v>
      </c>
      <c r="CD46" s="5" t="str">
        <f t="shared" ca="1" si="4"/>
        <v>Amy</v>
      </c>
      <c r="CE46" s="5" t="str">
        <f t="shared" ca="1" si="5"/>
        <v>AHV-Einzelrente</v>
      </c>
      <c r="CF46" s="5" t="str">
        <f t="shared" ca="1" si="6"/>
        <v>Amy - AHV-Einzelrente</v>
      </c>
      <c r="CG46" s="5"/>
    </row>
    <row r="47" spans="1:85" x14ac:dyDescent="0.25">
      <c r="A47" s="57" t="str" cm="1">
        <f t="array" aca="1" ref="A47:A59" ca="1">INDIRECT($B46&amp;"[Titel]")</f>
        <v>Pensionskasse McDonalds</v>
      </c>
      <c r="B47" s="57" cm="1">
        <f t="array" aca="1" ref="B47:B59" ca="1">INDIRECT($B46&amp;"[Id]")</f>
        <v>2</v>
      </c>
      <c r="C47" s="53" t="str" cm="1">
        <f t="array" aca="1" ref="C47:C59" ca="1">INDIRECT($B46&amp;"[Zugehörigkeit Bezeichnung]")</f>
        <v>Amy</v>
      </c>
      <c r="D47" s="54" cm="1">
        <f t="array" aca="1" ref="D47:D59" ca="1">INDIRECT($B46&amp;"[Rendite / Zins]")</f>
        <v>0.02</v>
      </c>
      <c r="E47" s="62" cm="1">
        <f t="array" aca="1" ref="E47:E59" ca="1">INDIRECT($B46&amp;"[Betrag]")</f>
        <v>800000</v>
      </c>
      <c r="F47" s="59" cm="1">
        <f t="array" aca="1" ref="F47:F59" ca="1">_xlfn.SWITCH(IFERROR(VLOOKUP(F$3&amp;$B$46&amp;_xlfn.ANCHORARRAY($B47),$BT:$CA,5,0),0),
0,_xlfn.ANCHORARRAY(E47)*(1+_xlfn.ANCHORARRAY($D47))+SUMIF($BT:$BT,F$3&amp;$B$46&amp;_xlfn.ANCHORARRAY($B47),$CA:$CA),
1,VLOOKUP(F$3&amp;$B$46&amp;_xlfn.ANCHORARRAY($B47),$BT:$CA,6,0),
2,_xlfn.ANCHORARRAY(E47)*(1+_xlfn.ANCHORARRAY($D47))*VLOOKUP(F$3&amp;$B$46&amp;_xlfn.ANCHORARRAY($B47),$BT:$CA,7,0))</f>
        <v>859128.6</v>
      </c>
      <c r="G47" s="59" cm="1">
        <f t="array" aca="1" ref="G47:G59" ca="1">_xlfn.SWITCH(IFERROR(VLOOKUP(G$3&amp;$B$46&amp;_xlfn.ANCHORARRAY($B47),$BT:$CA,5,0),0),
0,_xlfn.ANCHORARRAY(F47)*(1+_xlfn.ANCHORARRAY($D47))+SUMIF($BT:$BT,G$3&amp;$B$46&amp;_xlfn.ANCHORARRAY($B47),$CA:$CA),
1,VLOOKUP(G$3&amp;$B$46&amp;_xlfn.ANCHORARRAY($B47),$BT:$CA,6,0),
2,_xlfn.ANCHORARRAY(F47)*(1+_xlfn.ANCHORARRAY($D47))*VLOOKUP(G$3&amp;$B$46&amp;_xlfn.ANCHORARRAY($B47),$BT:$CA,7,0))</f>
        <v>919439.772</v>
      </c>
      <c r="H47" s="59" cm="1">
        <f t="array" aca="1" ref="H47:H59" ca="1">_xlfn.SWITCH(IFERROR(VLOOKUP(H$3&amp;$B$46&amp;_xlfn.ANCHORARRAY($B47),$BT:$CA,5,0),0),
0,_xlfn.ANCHORARRAY(G47)*(1+_xlfn.ANCHORARRAY($D47))+SUMIF($BT:$BT,H$3&amp;$B$46&amp;_xlfn.ANCHORARRAY($B47),$CA:$CA),
1,VLOOKUP(H$3&amp;$B$46&amp;_xlfn.ANCHORARRAY($B47),$BT:$CA,6,0),
2,_xlfn.ANCHORARRAY(G47)*(1+_xlfn.ANCHORARRAY($D47))*VLOOKUP(H$3&amp;$B$46&amp;_xlfn.ANCHORARRAY($B47),$BT:$CA,7,0))</f>
        <v>980957.16743999999</v>
      </c>
      <c r="I47" s="59" cm="1">
        <f t="array" aca="1" ref="I47:I59" ca="1">_xlfn.SWITCH(IFERROR(VLOOKUP(I$3&amp;$B$46&amp;_xlfn.ANCHORARRAY($B47),$BT:$CA,5,0),0),
0,_xlfn.ANCHORARRAY(H47)*(1+_xlfn.ANCHORARRAY($D47))+SUMIF($BT:$BT,I$3&amp;$B$46&amp;_xlfn.ANCHORARRAY($B47),$CA:$CA),
1,VLOOKUP(I$3&amp;$B$46&amp;_xlfn.ANCHORARRAY($B47),$BT:$CA,6,0),
2,_xlfn.ANCHORARRAY(H47)*(1+_xlfn.ANCHORARRAY($D47))*VLOOKUP(I$3&amp;$B$46&amp;_xlfn.ANCHORARRAY($B47),$BT:$CA,7,0))</f>
        <v>1043704.9107888</v>
      </c>
      <c r="J47" s="59" cm="1">
        <f t="array" aca="1" ref="J47:J59" ca="1">_xlfn.SWITCH(IFERROR(VLOOKUP(J$3&amp;$B$46&amp;_xlfn.ANCHORARRAY($B47),$BT:$CA,5,0),0),
0,_xlfn.ANCHORARRAY(I47)*(1+_xlfn.ANCHORARRAY($D47))+SUMIF($BT:$BT,J$3&amp;$B$46&amp;_xlfn.ANCHORARRAY($B47),$CA:$CA),
1,VLOOKUP(J$3&amp;$B$46&amp;_xlfn.ANCHORARRAY($B47),$BT:$CA,6,0),
2,_xlfn.ANCHORARRAY(I47)*(1+_xlfn.ANCHORARRAY($D47))*VLOOKUP(J$3&amp;$B$46&amp;_xlfn.ANCHORARRAY($B47),$BT:$CA,7,0))</f>
        <v>1107707.609004576</v>
      </c>
      <c r="K47" s="59" cm="1">
        <f t="array" aca="1" ref="K47:K59" ca="1">_xlfn.SWITCH(IFERROR(VLOOKUP(K$3&amp;$B$46&amp;_xlfn.ANCHORARRAY($B47),$BT:$CA,5,0),0),
0,_xlfn.ANCHORARRAY(J47)*(1+_xlfn.ANCHORARRAY($D47))+SUMIF($BT:$BT,K$3&amp;$B$46&amp;_xlfn.ANCHORARRAY($B47),$CA:$CA),
1,VLOOKUP(K$3&amp;$B$46&amp;_xlfn.ANCHORARRAY($B47),$BT:$CA,6,0),
2,_xlfn.ANCHORARRAY(J47)*(1+_xlfn.ANCHORARRAY($D47))*VLOOKUP(K$3&amp;$B$46&amp;_xlfn.ANCHORARRAY($B47),$BT:$CA,7,0))</f>
        <v>0</v>
      </c>
      <c r="L47" s="59" cm="1">
        <f t="array" aca="1" ref="L47:L59" ca="1">_xlfn.SWITCH(IFERROR(VLOOKUP(L$3&amp;$B$46&amp;_xlfn.ANCHORARRAY($B47),$BT:$CA,5,0),0),
0,_xlfn.ANCHORARRAY(K47)*(1+_xlfn.ANCHORARRAY($D47))+SUMIF($BT:$BT,L$3&amp;$B$46&amp;_xlfn.ANCHORARRAY($B47),$CA:$CA),
1,VLOOKUP(L$3&amp;$B$46&amp;_xlfn.ANCHORARRAY($B47),$BT:$CA,6,0),
2,_xlfn.ANCHORARRAY(K47)*(1+_xlfn.ANCHORARRAY($D47))*VLOOKUP(L$3&amp;$B$46&amp;_xlfn.ANCHORARRAY($B47),$BT:$CA,7,0))</f>
        <v>0</v>
      </c>
      <c r="M47" s="59" cm="1">
        <f t="array" aca="1" ref="M47:M59" ca="1">_xlfn.SWITCH(IFERROR(VLOOKUP(M$3&amp;$B$46&amp;_xlfn.ANCHORARRAY($B47),$BT:$CA,5,0),0),
0,_xlfn.ANCHORARRAY(L47)*(1+_xlfn.ANCHORARRAY($D47))+SUMIF($BT:$BT,M$3&amp;$B$46&amp;_xlfn.ANCHORARRAY($B47),$CA:$CA),
1,VLOOKUP(M$3&amp;$B$46&amp;_xlfn.ANCHORARRAY($B47),$BT:$CA,6,0),
2,_xlfn.ANCHORARRAY(L47)*(1+_xlfn.ANCHORARRAY($D47))*VLOOKUP(M$3&amp;$B$46&amp;_xlfn.ANCHORARRAY($B47),$BT:$CA,7,0))</f>
        <v>0</v>
      </c>
      <c r="N47" s="59" cm="1">
        <f t="array" aca="1" ref="N47:N59" ca="1">_xlfn.SWITCH(IFERROR(VLOOKUP(N$3&amp;$B$46&amp;_xlfn.ANCHORARRAY($B47),$BT:$CA,5,0),0),
0,_xlfn.ANCHORARRAY(M47)*(1+_xlfn.ANCHORARRAY($D47))+SUMIF($BT:$BT,N$3&amp;$B$46&amp;_xlfn.ANCHORARRAY($B47),$CA:$CA),
1,VLOOKUP(N$3&amp;$B$46&amp;_xlfn.ANCHORARRAY($B47),$BT:$CA,6,0),
2,_xlfn.ANCHORARRAY(M47)*(1+_xlfn.ANCHORARRAY($D47))*VLOOKUP(N$3&amp;$B$46&amp;_xlfn.ANCHORARRAY($B47),$BT:$CA,7,0))</f>
        <v>0</v>
      </c>
      <c r="O47" s="59" cm="1">
        <f t="array" aca="1" ref="O47:O59" ca="1">_xlfn.SWITCH(IFERROR(VLOOKUP(O$3&amp;$B$46&amp;_xlfn.ANCHORARRAY($B47),$BT:$CA,5,0),0),
0,_xlfn.ANCHORARRAY(N47)*(1+_xlfn.ANCHORARRAY($D47))+SUMIF($BT:$BT,O$3&amp;$B$46&amp;_xlfn.ANCHORARRAY($B47),$CA:$CA),
1,VLOOKUP(O$3&amp;$B$46&amp;_xlfn.ANCHORARRAY($B47),$BT:$CA,6,0),
2,_xlfn.ANCHORARRAY(N47)*(1+_xlfn.ANCHORARRAY($D47))*VLOOKUP(O$3&amp;$B$46&amp;_xlfn.ANCHORARRAY($B47),$BT:$CA,7,0))</f>
        <v>0</v>
      </c>
      <c r="P47" s="59" cm="1">
        <f t="array" aca="1" ref="P47:P59" ca="1">_xlfn.SWITCH(IFERROR(VLOOKUP(P$3&amp;$B$46&amp;_xlfn.ANCHORARRAY($B47),$BT:$CA,5,0),0),
0,_xlfn.ANCHORARRAY(O47)*(1+_xlfn.ANCHORARRAY($D47))+SUMIF($BT:$BT,P$3&amp;$B$46&amp;_xlfn.ANCHORARRAY($B47),$CA:$CA),
1,VLOOKUP(P$3&amp;$B$46&amp;_xlfn.ANCHORARRAY($B47),$BT:$CA,6,0),
2,_xlfn.ANCHORARRAY(O47)*(1+_xlfn.ANCHORARRAY($D47))*VLOOKUP(P$3&amp;$B$46&amp;_xlfn.ANCHORARRAY($B47),$BT:$CA,7,0))</f>
        <v>0</v>
      </c>
      <c r="Q47" s="59" cm="1">
        <f t="array" aca="1" ref="Q47:Q59" ca="1">_xlfn.SWITCH(IFERROR(VLOOKUP(Q$3&amp;$B$46&amp;_xlfn.ANCHORARRAY($B47),$BT:$CA,5,0),0),
0,_xlfn.ANCHORARRAY(P47)*(1+_xlfn.ANCHORARRAY($D47))+SUMIF($BT:$BT,Q$3&amp;$B$46&amp;_xlfn.ANCHORARRAY($B47),$CA:$CA),
1,VLOOKUP(Q$3&amp;$B$46&amp;_xlfn.ANCHORARRAY($B47),$BT:$CA,6,0),
2,_xlfn.ANCHORARRAY(P47)*(1+_xlfn.ANCHORARRAY($D47))*VLOOKUP(Q$3&amp;$B$46&amp;_xlfn.ANCHORARRAY($B47),$BT:$CA,7,0))</f>
        <v>0</v>
      </c>
      <c r="R47" s="59" cm="1">
        <f t="array" aca="1" ref="R47:R59" ca="1">_xlfn.SWITCH(IFERROR(VLOOKUP(R$3&amp;$B$46&amp;_xlfn.ANCHORARRAY($B47),$BT:$CA,5,0),0),
0,_xlfn.ANCHORARRAY(Q47)*(1+_xlfn.ANCHORARRAY($D47))+SUMIF($BT:$BT,R$3&amp;$B$46&amp;_xlfn.ANCHORARRAY($B47),$CA:$CA),
1,VLOOKUP(R$3&amp;$B$46&amp;_xlfn.ANCHORARRAY($B47),$BT:$CA,6,0),
2,_xlfn.ANCHORARRAY(Q47)*(1+_xlfn.ANCHORARRAY($D47))*VLOOKUP(R$3&amp;$B$46&amp;_xlfn.ANCHORARRAY($B47),$BT:$CA,7,0))</f>
        <v>0</v>
      </c>
      <c r="S47" s="59" cm="1">
        <f t="array" aca="1" ref="S47:S59" ca="1">_xlfn.SWITCH(IFERROR(VLOOKUP(S$3&amp;$B$46&amp;_xlfn.ANCHORARRAY($B47),$BT:$CA,5,0),0),
0,_xlfn.ANCHORARRAY(R47)*(1+_xlfn.ANCHORARRAY($D47))+SUMIF($BT:$BT,S$3&amp;$B$46&amp;_xlfn.ANCHORARRAY($B47),$CA:$CA),
1,VLOOKUP(S$3&amp;$B$46&amp;_xlfn.ANCHORARRAY($B47),$BT:$CA,6,0),
2,_xlfn.ANCHORARRAY(R47)*(1+_xlfn.ANCHORARRAY($D47))*VLOOKUP(S$3&amp;$B$46&amp;_xlfn.ANCHORARRAY($B47),$BT:$CA,7,0))</f>
        <v>0</v>
      </c>
      <c r="T47" s="59" cm="1">
        <f t="array" aca="1" ref="T47:T59" ca="1">_xlfn.SWITCH(IFERROR(VLOOKUP(T$3&amp;$B$46&amp;_xlfn.ANCHORARRAY($B47),$BT:$CA,5,0),0),
0,_xlfn.ANCHORARRAY(S47)*(1+_xlfn.ANCHORARRAY($D47))+SUMIF($BT:$BT,T$3&amp;$B$46&amp;_xlfn.ANCHORARRAY($B47),$CA:$CA),
1,VLOOKUP(T$3&amp;$B$46&amp;_xlfn.ANCHORARRAY($B47),$BT:$CA,6,0),
2,_xlfn.ANCHORARRAY(S47)*(1+_xlfn.ANCHORARRAY($D47))*VLOOKUP(T$3&amp;$B$46&amp;_xlfn.ANCHORARRAY($B47),$BT:$CA,7,0))</f>
        <v>0</v>
      </c>
      <c r="U47" s="59" cm="1">
        <f t="array" aca="1" ref="U47:U59" ca="1">_xlfn.SWITCH(IFERROR(VLOOKUP(U$3&amp;$B$46&amp;_xlfn.ANCHORARRAY($B47),$BT:$CA,5,0),0),
0,_xlfn.ANCHORARRAY(T47)*(1+_xlfn.ANCHORARRAY($D47))+SUMIF($BT:$BT,U$3&amp;$B$46&amp;_xlfn.ANCHORARRAY($B47),$CA:$CA),
1,VLOOKUP(U$3&amp;$B$46&amp;_xlfn.ANCHORARRAY($B47),$BT:$CA,6,0),
2,_xlfn.ANCHORARRAY(T47)*(1+_xlfn.ANCHORARRAY($D47))*VLOOKUP(U$3&amp;$B$46&amp;_xlfn.ANCHORARRAY($B47),$BT:$CA,7,0))</f>
        <v>0</v>
      </c>
      <c r="V47" s="59" cm="1">
        <f t="array" aca="1" ref="V47:V59" ca="1">_xlfn.SWITCH(IFERROR(VLOOKUP(V$3&amp;$B$46&amp;_xlfn.ANCHORARRAY($B47),$BT:$CA,5,0),0),
0,_xlfn.ANCHORARRAY(U47)*(1+_xlfn.ANCHORARRAY($D47))+SUMIF($BT:$BT,V$3&amp;$B$46&amp;_xlfn.ANCHORARRAY($B47),$CA:$CA),
1,VLOOKUP(V$3&amp;$B$46&amp;_xlfn.ANCHORARRAY($B47),$BT:$CA,6,0),
2,_xlfn.ANCHORARRAY(U47)*(1+_xlfn.ANCHORARRAY($D47))*VLOOKUP(V$3&amp;$B$46&amp;_xlfn.ANCHORARRAY($B47),$BT:$CA,7,0))</f>
        <v>0</v>
      </c>
      <c r="W47" s="59" cm="1">
        <f t="array" aca="1" ref="W47:W59" ca="1">_xlfn.SWITCH(IFERROR(VLOOKUP(W$3&amp;$B$46&amp;_xlfn.ANCHORARRAY($B47),$BT:$CA,5,0),0),
0,_xlfn.ANCHORARRAY(V47)*(1+_xlfn.ANCHORARRAY($D47))+SUMIF($BT:$BT,W$3&amp;$B$46&amp;_xlfn.ANCHORARRAY($B47),$CA:$CA),
1,VLOOKUP(W$3&amp;$B$46&amp;_xlfn.ANCHORARRAY($B47),$BT:$CA,6,0),
2,_xlfn.ANCHORARRAY(V47)*(1+_xlfn.ANCHORARRAY($D47))*VLOOKUP(W$3&amp;$B$46&amp;_xlfn.ANCHORARRAY($B47),$BT:$CA,7,0))</f>
        <v>0</v>
      </c>
      <c r="X47" s="59" cm="1">
        <f t="array" aca="1" ref="X47:X59" ca="1">_xlfn.SWITCH(IFERROR(VLOOKUP(X$3&amp;$B$46&amp;_xlfn.ANCHORARRAY($B47),$BT:$CA,5,0),0),
0,_xlfn.ANCHORARRAY(W47)*(1+_xlfn.ANCHORARRAY($D47))+SUMIF($BT:$BT,X$3&amp;$B$46&amp;_xlfn.ANCHORARRAY($B47),$CA:$CA),
1,VLOOKUP(X$3&amp;$B$46&amp;_xlfn.ANCHORARRAY($B47),$BT:$CA,6,0),
2,_xlfn.ANCHORARRAY(W47)*(1+_xlfn.ANCHORARRAY($D47))*VLOOKUP(X$3&amp;$B$46&amp;_xlfn.ANCHORARRAY($B47),$BT:$CA,7,0))</f>
        <v>0</v>
      </c>
      <c r="Y47" s="59" cm="1">
        <f t="array" aca="1" ref="Y47:Y59" ca="1">_xlfn.SWITCH(IFERROR(VLOOKUP(Y$3&amp;$B$46&amp;_xlfn.ANCHORARRAY($B47),$BT:$CA,5,0),0),
0,_xlfn.ANCHORARRAY(X47)*(1+_xlfn.ANCHORARRAY($D47))+SUMIF($BT:$BT,Y$3&amp;$B$46&amp;_xlfn.ANCHORARRAY($B47),$CA:$CA),
1,VLOOKUP(Y$3&amp;$B$46&amp;_xlfn.ANCHORARRAY($B47),$BT:$CA,6,0),
2,_xlfn.ANCHORARRAY(X47)*(1+_xlfn.ANCHORARRAY($D47))*VLOOKUP(Y$3&amp;$B$46&amp;_xlfn.ANCHORARRAY($B47),$BT:$CA,7,0))</f>
        <v>0</v>
      </c>
      <c r="Z47" s="59" cm="1">
        <f t="array" aca="1" ref="Z47:Z59" ca="1">_xlfn.SWITCH(IFERROR(VLOOKUP(Z$3&amp;$B$46&amp;_xlfn.ANCHORARRAY($B47),$BT:$CA,5,0),0),
0,_xlfn.ANCHORARRAY(Y47)*(1+_xlfn.ANCHORARRAY($D47))+SUMIF($BT:$BT,Z$3&amp;$B$46&amp;_xlfn.ANCHORARRAY($B47),$CA:$CA),
1,VLOOKUP(Z$3&amp;$B$46&amp;_xlfn.ANCHORARRAY($B47),$BT:$CA,6,0),
2,_xlfn.ANCHORARRAY(Y47)*(1+_xlfn.ANCHORARRAY($D47))*VLOOKUP(Z$3&amp;$B$46&amp;_xlfn.ANCHORARRAY($B47),$BT:$CA,7,0))</f>
        <v>0</v>
      </c>
      <c r="AA47" s="59" cm="1">
        <f t="array" aca="1" ref="AA47:AA59" ca="1">_xlfn.SWITCH(IFERROR(VLOOKUP(AA$3&amp;$B$46&amp;_xlfn.ANCHORARRAY($B47),$BT:$CA,5,0),0),
0,_xlfn.ANCHORARRAY(Z47)*(1+_xlfn.ANCHORARRAY($D47))+SUMIF($BT:$BT,AA$3&amp;$B$46&amp;_xlfn.ANCHORARRAY($B47),$CA:$CA),
1,VLOOKUP(AA$3&amp;$B$46&amp;_xlfn.ANCHORARRAY($B47),$BT:$CA,6,0),
2,_xlfn.ANCHORARRAY(Z47)*(1+_xlfn.ANCHORARRAY($D47))*VLOOKUP(AA$3&amp;$B$46&amp;_xlfn.ANCHORARRAY($B47),$BT:$CA,7,0))</f>
        <v>0</v>
      </c>
      <c r="AB47" s="59" cm="1">
        <f t="array" aca="1" ref="AB47:AB59" ca="1">_xlfn.SWITCH(IFERROR(VLOOKUP(AB$3&amp;$B$46&amp;_xlfn.ANCHORARRAY($B47),$BT:$CA,5,0),0),
0,_xlfn.ANCHORARRAY(AA47)*(1+_xlfn.ANCHORARRAY($D47))+SUMIF($BT:$BT,AB$3&amp;$B$46&amp;_xlfn.ANCHORARRAY($B47),$CA:$CA),
1,VLOOKUP(AB$3&amp;$B$46&amp;_xlfn.ANCHORARRAY($B47),$BT:$CA,6,0),
2,_xlfn.ANCHORARRAY(AA47)*(1+_xlfn.ANCHORARRAY($D47))*VLOOKUP(AB$3&amp;$B$46&amp;_xlfn.ANCHORARRAY($B47),$BT:$CA,7,0))</f>
        <v>0</v>
      </c>
      <c r="AC47" s="59" cm="1">
        <f t="array" aca="1" ref="AC47:AC59" ca="1">_xlfn.SWITCH(IFERROR(VLOOKUP(AC$3&amp;$B$46&amp;_xlfn.ANCHORARRAY($B47),$BT:$CA,5,0),0),
0,_xlfn.ANCHORARRAY(AB47)*(1+_xlfn.ANCHORARRAY($D47))+SUMIF($BT:$BT,AC$3&amp;$B$46&amp;_xlfn.ANCHORARRAY($B47),$CA:$CA),
1,VLOOKUP(AC$3&amp;$B$46&amp;_xlfn.ANCHORARRAY($B47),$BT:$CA,6,0),
2,_xlfn.ANCHORARRAY(AB47)*(1+_xlfn.ANCHORARRAY($D47))*VLOOKUP(AC$3&amp;$B$46&amp;_xlfn.ANCHORARRAY($B47),$BT:$CA,7,0))</f>
        <v>0</v>
      </c>
      <c r="AD47" s="59" cm="1">
        <f t="array" aca="1" ref="AD47:AD59" ca="1">_xlfn.SWITCH(IFERROR(VLOOKUP(AD$3&amp;$B$46&amp;_xlfn.ANCHORARRAY($B47),$BT:$CA,5,0),0),
0,_xlfn.ANCHORARRAY(AC47)*(1+_xlfn.ANCHORARRAY($D47))+SUMIF($BT:$BT,AD$3&amp;$B$46&amp;_xlfn.ANCHORARRAY($B47),$CA:$CA),
1,VLOOKUP(AD$3&amp;$B$46&amp;_xlfn.ANCHORARRAY($B47),$BT:$CA,6,0),
2,_xlfn.ANCHORARRAY(AC47)*(1+_xlfn.ANCHORARRAY($D47))*VLOOKUP(AD$3&amp;$B$46&amp;_xlfn.ANCHORARRAY($B47),$BT:$CA,7,0))</f>
        <v>0</v>
      </c>
      <c r="AE47" s="59" cm="1">
        <f t="array" aca="1" ref="AE47:AE59" ca="1">_xlfn.SWITCH(IFERROR(VLOOKUP(AE$3&amp;$B$46&amp;_xlfn.ANCHORARRAY($B47),$BT:$CA,5,0),0),
0,_xlfn.ANCHORARRAY(AD47)*(1+_xlfn.ANCHORARRAY($D47))+SUMIF($BT:$BT,AE$3&amp;$B$46&amp;_xlfn.ANCHORARRAY($B47),$CA:$CA),
1,VLOOKUP(AE$3&amp;$B$46&amp;_xlfn.ANCHORARRAY($B47),$BT:$CA,6,0),
2,_xlfn.ANCHORARRAY(AD47)*(1+_xlfn.ANCHORARRAY($D47))*VLOOKUP(AE$3&amp;$B$46&amp;_xlfn.ANCHORARRAY($B47),$BT:$CA,7,0))</f>
        <v>0</v>
      </c>
      <c r="AF47" s="59" cm="1">
        <f t="array" aca="1" ref="AF47:AF59" ca="1">_xlfn.SWITCH(IFERROR(VLOOKUP(AF$3&amp;$B$46&amp;_xlfn.ANCHORARRAY($B47),$BT:$CA,5,0),0),
0,_xlfn.ANCHORARRAY(AE47)*(1+_xlfn.ANCHORARRAY($D47))+SUMIF($BT:$BT,AF$3&amp;$B$46&amp;_xlfn.ANCHORARRAY($B47),$CA:$CA),
1,VLOOKUP(AF$3&amp;$B$46&amp;_xlfn.ANCHORARRAY($B47),$BT:$CA,6,0),
2,_xlfn.ANCHORARRAY(AE47)*(1+_xlfn.ANCHORARRAY($D47))*VLOOKUP(AF$3&amp;$B$46&amp;_xlfn.ANCHORARRAY($B47),$BT:$CA,7,0))</f>
        <v>0</v>
      </c>
      <c r="AG47" s="59" cm="1">
        <f t="array" aca="1" ref="AG47:AG59" ca="1">_xlfn.SWITCH(IFERROR(VLOOKUP(AG$3&amp;$B$46&amp;_xlfn.ANCHORARRAY($B47),$BT:$CA,5,0),0),
0,_xlfn.ANCHORARRAY(AF47)*(1+_xlfn.ANCHORARRAY($D47))+SUMIF($BT:$BT,AG$3&amp;$B$46&amp;_xlfn.ANCHORARRAY($B47),$CA:$CA),
1,VLOOKUP(AG$3&amp;$B$46&amp;_xlfn.ANCHORARRAY($B47),$BT:$CA,6,0),
2,_xlfn.ANCHORARRAY(AF47)*(1+_xlfn.ANCHORARRAY($D47))*VLOOKUP(AG$3&amp;$B$46&amp;_xlfn.ANCHORARRAY($B47),$BT:$CA,7,0))</f>
        <v>0</v>
      </c>
      <c r="AH47" s="59" cm="1">
        <f t="array" aca="1" ref="AH47:AH59" ca="1">_xlfn.SWITCH(IFERROR(VLOOKUP(AH$3&amp;$B$46&amp;_xlfn.ANCHORARRAY($B47),$BT:$CA,5,0),0),
0,_xlfn.ANCHORARRAY(AG47)*(1+_xlfn.ANCHORARRAY($D47))+SUMIF($BT:$BT,AH$3&amp;$B$46&amp;_xlfn.ANCHORARRAY($B47),$CA:$CA),
1,VLOOKUP(AH$3&amp;$B$46&amp;_xlfn.ANCHORARRAY($B47),$BT:$CA,6,0),
2,_xlfn.ANCHORARRAY(AG47)*(1+_xlfn.ANCHORARRAY($D47))*VLOOKUP(AH$3&amp;$B$46&amp;_xlfn.ANCHORARRAY($B47),$BT:$CA,7,0))</f>
        <v>0</v>
      </c>
      <c r="AI47" s="59" cm="1">
        <f t="array" aca="1" ref="AI47:AI59" ca="1">_xlfn.SWITCH(IFERROR(VLOOKUP(AI$3&amp;$B$46&amp;_xlfn.ANCHORARRAY($B47),$BT:$CA,5,0),0),
0,_xlfn.ANCHORARRAY(AH47)*(1+_xlfn.ANCHORARRAY($D47))+SUMIF($BT:$BT,AI$3&amp;$B$46&amp;_xlfn.ANCHORARRAY($B47),$CA:$CA),
1,VLOOKUP(AI$3&amp;$B$46&amp;_xlfn.ANCHORARRAY($B47),$BT:$CA,6,0),
2,_xlfn.ANCHORARRAY(AH47)*(1+_xlfn.ANCHORARRAY($D47))*VLOOKUP(AI$3&amp;$B$46&amp;_xlfn.ANCHORARRAY($B47),$BT:$CA,7,0))</f>
        <v>0</v>
      </c>
      <c r="AJ47" s="59" cm="1">
        <f t="array" aca="1" ref="AJ47:AJ59" ca="1">_xlfn.SWITCH(IFERROR(VLOOKUP(AJ$3&amp;$B$46&amp;_xlfn.ANCHORARRAY($B47),$BT:$CA,5,0),0),
0,_xlfn.ANCHORARRAY(AI47)*(1+_xlfn.ANCHORARRAY($D47))+SUMIF($BT:$BT,AJ$3&amp;$B$46&amp;_xlfn.ANCHORARRAY($B47),$CA:$CA),
1,VLOOKUP(AJ$3&amp;$B$46&amp;_xlfn.ANCHORARRAY($B47),$BT:$CA,6,0),
2,_xlfn.ANCHORARRAY(AI47)*(1+_xlfn.ANCHORARRAY($D47))*VLOOKUP(AJ$3&amp;$B$46&amp;_xlfn.ANCHORARRAY($B47),$BT:$CA,7,0))</f>
        <v>0</v>
      </c>
      <c r="AK47" s="59" cm="1">
        <f t="array" aca="1" ref="AK47:AK59" ca="1">_xlfn.SWITCH(IFERROR(VLOOKUP(AK$3&amp;$B$46&amp;_xlfn.ANCHORARRAY($B47),$BT:$CA,5,0),0),
0,_xlfn.ANCHORARRAY(AJ47)*(1+_xlfn.ANCHORARRAY($D47))+SUMIF($BT:$BT,AK$3&amp;$B$46&amp;_xlfn.ANCHORARRAY($B47),$CA:$CA),
1,VLOOKUP(AK$3&amp;$B$46&amp;_xlfn.ANCHORARRAY($B47),$BT:$CA,6,0),
2,_xlfn.ANCHORARRAY(AJ47)*(1+_xlfn.ANCHORARRAY($D47))*VLOOKUP(AK$3&amp;$B$46&amp;_xlfn.ANCHORARRAY($B47),$BT:$CA,7,0))</f>
        <v>0</v>
      </c>
      <c r="AL47" s="59" cm="1">
        <f t="array" aca="1" ref="AL47:AL59" ca="1">_xlfn.SWITCH(IFERROR(VLOOKUP(AL$3&amp;$B$46&amp;_xlfn.ANCHORARRAY($B47),$BT:$CA,5,0),0),
0,_xlfn.ANCHORARRAY(AK47)*(1+_xlfn.ANCHORARRAY($D47))+SUMIF($BT:$BT,AL$3&amp;$B$46&amp;_xlfn.ANCHORARRAY($B47),$CA:$CA),
1,VLOOKUP(AL$3&amp;$B$46&amp;_xlfn.ANCHORARRAY($B47),$BT:$CA,6,0),
2,_xlfn.ANCHORARRAY(AK47)*(1+_xlfn.ANCHORARRAY($D47))*VLOOKUP(AL$3&amp;$B$46&amp;_xlfn.ANCHORARRAY($B47),$BT:$CA,7,0))</f>
        <v>0</v>
      </c>
      <c r="AM47" s="59" cm="1">
        <f t="array" aca="1" ref="AM47:AM59" ca="1">_xlfn.SWITCH(IFERROR(VLOOKUP(AM$3&amp;$B$46&amp;_xlfn.ANCHORARRAY($B47),$BT:$CA,5,0),0),
0,_xlfn.ANCHORARRAY(AL47)*(1+_xlfn.ANCHORARRAY($D47))+SUMIF($BT:$BT,AM$3&amp;$B$46&amp;_xlfn.ANCHORARRAY($B47),$CA:$CA),
1,VLOOKUP(AM$3&amp;$B$46&amp;_xlfn.ANCHORARRAY($B47),$BT:$CA,6,0),
2,_xlfn.ANCHORARRAY(AL47)*(1+_xlfn.ANCHORARRAY($D47))*VLOOKUP(AM$3&amp;$B$46&amp;_xlfn.ANCHORARRAY($B47),$BT:$CA,7,0))</f>
        <v>0</v>
      </c>
      <c r="AN47" s="59" cm="1">
        <f t="array" aca="1" ref="AN47:AN59" ca="1">_xlfn.SWITCH(IFERROR(VLOOKUP(AN$3&amp;$B$46&amp;_xlfn.ANCHORARRAY($B47),$BT:$CA,5,0),0),
0,_xlfn.ANCHORARRAY(AM47)*(1+_xlfn.ANCHORARRAY($D47))+SUMIF($BT:$BT,AN$3&amp;$B$46&amp;_xlfn.ANCHORARRAY($B47),$CA:$CA),
1,VLOOKUP(AN$3&amp;$B$46&amp;_xlfn.ANCHORARRAY($B47),$BT:$CA,6,0),
2,_xlfn.ANCHORARRAY(AM47)*(1+_xlfn.ANCHORARRAY($D47))*VLOOKUP(AN$3&amp;$B$46&amp;_xlfn.ANCHORARRAY($B47),$BT:$CA,7,0))</f>
        <v>0</v>
      </c>
      <c r="AO47" s="59" cm="1">
        <f t="array" aca="1" ref="AO47:AO59" ca="1">_xlfn.SWITCH(IFERROR(VLOOKUP(AO$3&amp;$B$46&amp;_xlfn.ANCHORARRAY($B47),$BT:$CA,5,0),0),
0,_xlfn.ANCHORARRAY(AN47)*(1+_xlfn.ANCHORARRAY($D47))+SUMIF($BT:$BT,AO$3&amp;$B$46&amp;_xlfn.ANCHORARRAY($B47),$CA:$CA),
1,VLOOKUP(AO$3&amp;$B$46&amp;_xlfn.ANCHORARRAY($B47),$BT:$CA,6,0),
2,_xlfn.ANCHORARRAY(AN47)*(1+_xlfn.ANCHORARRAY($D47))*VLOOKUP(AO$3&amp;$B$46&amp;_xlfn.ANCHORARRAY($B47),$BT:$CA,7,0))</f>
        <v>0</v>
      </c>
      <c r="AP47" s="59" cm="1">
        <f t="array" aca="1" ref="AP47:AP59" ca="1">_xlfn.SWITCH(IFERROR(VLOOKUP(AP$3&amp;$B$46&amp;_xlfn.ANCHORARRAY($B47),$BT:$CA,5,0),0),
0,_xlfn.ANCHORARRAY(AO47)*(1+_xlfn.ANCHORARRAY($D47))+SUMIF($BT:$BT,AP$3&amp;$B$46&amp;_xlfn.ANCHORARRAY($B47),$CA:$CA),
1,VLOOKUP(AP$3&amp;$B$46&amp;_xlfn.ANCHORARRAY($B47),$BT:$CA,6,0),
2,_xlfn.ANCHORARRAY(AO47)*(1+_xlfn.ANCHORARRAY($D47))*VLOOKUP(AP$3&amp;$B$46&amp;_xlfn.ANCHORARRAY($B47),$BT:$CA,7,0))</f>
        <v>0</v>
      </c>
      <c r="AQ47" s="59" cm="1">
        <f t="array" aca="1" ref="AQ47:AQ59" ca="1">_xlfn.SWITCH(IFERROR(VLOOKUP(AQ$3&amp;$B$46&amp;_xlfn.ANCHORARRAY($B47),$BT:$CA,5,0),0),
0,_xlfn.ANCHORARRAY(AP47)*(1+_xlfn.ANCHORARRAY($D47))+SUMIF($BT:$BT,AQ$3&amp;$B$46&amp;_xlfn.ANCHORARRAY($B47),$CA:$CA),
1,VLOOKUP(AQ$3&amp;$B$46&amp;_xlfn.ANCHORARRAY($B47),$BT:$CA,6,0),
2,_xlfn.ANCHORARRAY(AP47)*(1+_xlfn.ANCHORARRAY($D47))*VLOOKUP(AQ$3&amp;$B$46&amp;_xlfn.ANCHORARRAY($B47),$BT:$CA,7,0))</f>
        <v>0</v>
      </c>
      <c r="AR47" s="59" cm="1">
        <f t="array" aca="1" ref="AR47:AR59" ca="1">_xlfn.SWITCH(IFERROR(VLOOKUP(AR$3&amp;$B$46&amp;_xlfn.ANCHORARRAY($B47),$BT:$CA,5,0),0),
0,_xlfn.ANCHORARRAY(AQ47)*(1+_xlfn.ANCHORARRAY($D47))+SUMIF($BT:$BT,AR$3&amp;$B$46&amp;_xlfn.ANCHORARRAY($B47),$CA:$CA),
1,VLOOKUP(AR$3&amp;$B$46&amp;_xlfn.ANCHORARRAY($B47),$BT:$CA,6,0),
2,_xlfn.ANCHORARRAY(AQ47)*(1+_xlfn.ANCHORARRAY($D47))*VLOOKUP(AR$3&amp;$B$46&amp;_xlfn.ANCHORARRAY($B47),$BT:$CA,7,0))</f>
        <v>0</v>
      </c>
      <c r="AS47" s="59" cm="1">
        <f t="array" aca="1" ref="AS47:AS59" ca="1">_xlfn.SWITCH(IFERROR(VLOOKUP(AS$3&amp;$B$46&amp;_xlfn.ANCHORARRAY($B47),$BT:$CA,5,0),0),
0,_xlfn.ANCHORARRAY(AR47)*(1+_xlfn.ANCHORARRAY($D47))+SUMIF($BT:$BT,AS$3&amp;$B$46&amp;_xlfn.ANCHORARRAY($B47),$CA:$CA),
1,VLOOKUP(AS$3&amp;$B$46&amp;_xlfn.ANCHORARRAY($B47),$BT:$CA,6,0),
2,_xlfn.ANCHORARRAY(AR47)*(1+_xlfn.ANCHORARRAY($D47))*VLOOKUP(AS$3&amp;$B$46&amp;_xlfn.ANCHORARRAY($B47),$BT:$CA,7,0))</f>
        <v>0</v>
      </c>
      <c r="AT47" s="59" cm="1">
        <f t="array" aca="1" ref="AT47:AT59" ca="1">_xlfn.SWITCH(IFERROR(VLOOKUP(AT$3&amp;$B$46&amp;_xlfn.ANCHORARRAY($B47),$BT:$CA,5,0),0),
0,_xlfn.ANCHORARRAY(AS47)*(1+_xlfn.ANCHORARRAY($D47))+SUMIF($BT:$BT,AT$3&amp;$B$46&amp;_xlfn.ANCHORARRAY($B47),$CA:$CA),
1,VLOOKUP(AT$3&amp;$B$46&amp;_xlfn.ANCHORARRAY($B47),$BT:$CA,6,0),
2,_xlfn.ANCHORARRAY(AS47)*(1+_xlfn.ANCHORARRAY($D47))*VLOOKUP(AT$3&amp;$B$46&amp;_xlfn.ANCHORARRAY($B47),$BT:$CA,7,0))</f>
        <v>0</v>
      </c>
      <c r="AU47" s="59" cm="1">
        <f t="array" aca="1" ref="AU47:AU59" ca="1">_xlfn.SWITCH(IFERROR(VLOOKUP(AU$3&amp;$B$46&amp;_xlfn.ANCHORARRAY($B47),$BT:$CA,5,0),0),
0,_xlfn.ANCHORARRAY(AT47)*(1+_xlfn.ANCHORARRAY($D47))+SUMIF($BT:$BT,AU$3&amp;$B$46&amp;_xlfn.ANCHORARRAY($B47),$CA:$CA),
1,VLOOKUP(AU$3&amp;$B$46&amp;_xlfn.ANCHORARRAY($B47),$BT:$CA,6,0),
2,_xlfn.ANCHORARRAY(AT47)*(1+_xlfn.ANCHORARRAY($D47))*VLOOKUP(AU$3&amp;$B$46&amp;_xlfn.ANCHORARRAY($B47),$BT:$CA,7,0))</f>
        <v>0</v>
      </c>
      <c r="AV47" s="59" cm="1">
        <f t="array" aca="1" ref="AV47:AV59" ca="1">_xlfn.SWITCH(IFERROR(VLOOKUP(AV$3&amp;$B$46&amp;_xlfn.ANCHORARRAY($B47),$BT:$CA,5,0),0),
0,_xlfn.ANCHORARRAY(AU47)*(1+_xlfn.ANCHORARRAY($D47))+SUMIF($BT:$BT,AV$3&amp;$B$46&amp;_xlfn.ANCHORARRAY($B47),$CA:$CA),
1,VLOOKUP(AV$3&amp;$B$46&amp;_xlfn.ANCHORARRAY($B47),$BT:$CA,6,0),
2,_xlfn.ANCHORARRAY(AU47)*(1+_xlfn.ANCHORARRAY($D47))*VLOOKUP(AV$3&amp;$B$46&amp;_xlfn.ANCHORARRAY($B47),$BT:$CA,7,0))</f>
        <v>0</v>
      </c>
      <c r="AW47" s="59" cm="1">
        <f t="array" aca="1" ref="AW47:AW59" ca="1">_xlfn.SWITCH(IFERROR(VLOOKUP(AW$3&amp;$B$46&amp;_xlfn.ANCHORARRAY($B47),$BT:$CA,5,0),0),
0,_xlfn.ANCHORARRAY(AV47)*(1+_xlfn.ANCHORARRAY($D47))+SUMIF($BT:$BT,AW$3&amp;$B$46&amp;_xlfn.ANCHORARRAY($B47),$CA:$CA),
1,VLOOKUP(AW$3&amp;$B$46&amp;_xlfn.ANCHORARRAY($B47),$BT:$CA,6,0),
2,_xlfn.ANCHORARRAY(AV47)*(1+_xlfn.ANCHORARRAY($D47))*VLOOKUP(AW$3&amp;$B$46&amp;_xlfn.ANCHORARRAY($B47),$BT:$CA,7,0))</f>
        <v>0</v>
      </c>
      <c r="AX47" s="59" cm="1">
        <f t="array" aca="1" ref="AX47:AX59" ca="1">_xlfn.SWITCH(IFERROR(VLOOKUP(AX$3&amp;$B$46&amp;_xlfn.ANCHORARRAY($B47),$BT:$CA,5,0),0),
0,_xlfn.ANCHORARRAY(AW47)*(1+_xlfn.ANCHORARRAY($D47))+SUMIF($BT:$BT,AX$3&amp;$B$46&amp;_xlfn.ANCHORARRAY($B47),$CA:$CA),
1,VLOOKUP(AX$3&amp;$B$46&amp;_xlfn.ANCHORARRAY($B47),$BT:$CA,6,0),
2,_xlfn.ANCHORARRAY(AW47)*(1+_xlfn.ANCHORARRAY($D47))*VLOOKUP(AX$3&amp;$B$46&amp;_xlfn.ANCHORARRAY($B47),$BT:$CA,7,0))</f>
        <v>0</v>
      </c>
      <c r="AY47" s="59" cm="1">
        <f t="array" aca="1" ref="AY47:AY59" ca="1">_xlfn.SWITCH(IFERROR(VLOOKUP(AY$3&amp;$B$46&amp;_xlfn.ANCHORARRAY($B47),$BT:$CA,5,0),0),
0,_xlfn.ANCHORARRAY(AX47)*(1+_xlfn.ANCHORARRAY($D47))+SUMIF($BT:$BT,AY$3&amp;$B$46&amp;_xlfn.ANCHORARRAY($B47),$CA:$CA),
1,VLOOKUP(AY$3&amp;$B$46&amp;_xlfn.ANCHORARRAY($B47),$BT:$CA,6,0),
2,_xlfn.ANCHORARRAY(AX47)*(1+_xlfn.ANCHORARRAY($D47))*VLOOKUP(AY$3&amp;$B$46&amp;_xlfn.ANCHORARRAY($B47),$BT:$CA,7,0))</f>
        <v>0</v>
      </c>
      <c r="AZ47" s="59" cm="1">
        <f t="array" aca="1" ref="AZ47:AZ59" ca="1">_xlfn.SWITCH(IFERROR(VLOOKUP(AZ$3&amp;$B$46&amp;_xlfn.ANCHORARRAY($B47),$BT:$CA,5,0),0),
0,_xlfn.ANCHORARRAY(AY47)*(1+_xlfn.ANCHORARRAY($D47))+SUMIF($BT:$BT,AZ$3&amp;$B$46&amp;_xlfn.ANCHORARRAY($B47),$CA:$CA),
1,VLOOKUP(AZ$3&amp;$B$46&amp;_xlfn.ANCHORARRAY($B47),$BT:$CA,6,0),
2,_xlfn.ANCHORARRAY(AY47)*(1+_xlfn.ANCHORARRAY($D47))*VLOOKUP(AZ$3&amp;$B$46&amp;_xlfn.ANCHORARRAY($B47),$BT:$CA,7,0))</f>
        <v>0</v>
      </c>
      <c r="BS47" s="5">
        <f t="shared" si="0"/>
        <v>0</v>
      </c>
      <c r="BT47" s="5" t="str">
        <f t="shared" si="1"/>
        <v>2032E_Erwerb6</v>
      </c>
      <c r="BU47">
        <v>2032</v>
      </c>
      <c r="BV47" t="s">
        <v>74</v>
      </c>
      <c r="BW47">
        <v>6</v>
      </c>
      <c r="BX47">
        <v>1</v>
      </c>
      <c r="BY47" s="12">
        <f>2450*9</f>
        <v>22050</v>
      </c>
      <c r="CD47" s="5" t="str">
        <f t="shared" ca="1" si="4"/>
        <v>Amy</v>
      </c>
      <c r="CE47" s="5" t="str">
        <f t="shared" ca="1" si="5"/>
        <v>AHV-Einzelrente</v>
      </c>
      <c r="CF47" s="5" t="str">
        <f t="shared" ca="1" si="6"/>
        <v>Amy - AHV-Einzelrente</v>
      </c>
      <c r="CG47" s="5"/>
    </row>
    <row r="48" spans="1:85" x14ac:dyDescent="0.25">
      <c r="A48" s="57" t="str">
        <f ca="1"/>
        <v>MigrosBank Säule 3a Depot</v>
      </c>
      <c r="B48" s="57">
        <f ca="1"/>
        <v>5</v>
      </c>
      <c r="C48" s="53" t="str">
        <f ca="1"/>
        <v>Amy</v>
      </c>
      <c r="D48" s="54">
        <f ca="1"/>
        <v>3.5000000000000003E-2</v>
      </c>
      <c r="E48" s="62">
        <f ca="1"/>
        <v>50000</v>
      </c>
      <c r="F48" s="59">
        <f ca="1"/>
        <v>0</v>
      </c>
      <c r="G48" s="59">
        <f ca="1"/>
        <v>0</v>
      </c>
      <c r="H48" s="59">
        <f ca="1"/>
        <v>0</v>
      </c>
      <c r="I48" s="59">
        <f ca="1"/>
        <v>0</v>
      </c>
      <c r="J48" s="59">
        <f ca="1"/>
        <v>0</v>
      </c>
      <c r="K48" s="59">
        <f ca="1"/>
        <v>0</v>
      </c>
      <c r="L48" s="59">
        <f ca="1"/>
        <v>0</v>
      </c>
      <c r="M48" s="59">
        <f ca="1"/>
        <v>0</v>
      </c>
      <c r="N48" s="59">
        <f ca="1"/>
        <v>0</v>
      </c>
      <c r="O48" s="59">
        <f ca="1"/>
        <v>0</v>
      </c>
      <c r="P48" s="59">
        <f ca="1"/>
        <v>0</v>
      </c>
      <c r="Q48" s="59">
        <f ca="1"/>
        <v>0</v>
      </c>
      <c r="R48" s="59">
        <f ca="1"/>
        <v>0</v>
      </c>
      <c r="S48" s="59">
        <f ca="1"/>
        <v>0</v>
      </c>
      <c r="T48" s="59">
        <f ca="1"/>
        <v>0</v>
      </c>
      <c r="U48" s="59">
        <f ca="1"/>
        <v>0</v>
      </c>
      <c r="V48" s="59">
        <f ca="1"/>
        <v>0</v>
      </c>
      <c r="W48" s="59">
        <f ca="1"/>
        <v>0</v>
      </c>
      <c r="X48" s="59">
        <f ca="1"/>
        <v>0</v>
      </c>
      <c r="Y48" s="59">
        <f ca="1"/>
        <v>0</v>
      </c>
      <c r="Z48" s="59">
        <f ca="1"/>
        <v>0</v>
      </c>
      <c r="AA48" s="59">
        <f ca="1"/>
        <v>0</v>
      </c>
      <c r="AB48" s="59">
        <f ca="1"/>
        <v>0</v>
      </c>
      <c r="AC48" s="59">
        <f ca="1"/>
        <v>0</v>
      </c>
      <c r="AD48" s="59">
        <f ca="1"/>
        <v>0</v>
      </c>
      <c r="AE48" s="59">
        <f ca="1"/>
        <v>0</v>
      </c>
      <c r="AF48" s="59">
        <f ca="1"/>
        <v>0</v>
      </c>
      <c r="AG48" s="59">
        <f ca="1"/>
        <v>0</v>
      </c>
      <c r="AH48" s="59">
        <f ca="1"/>
        <v>0</v>
      </c>
      <c r="AI48" s="59">
        <f ca="1"/>
        <v>0</v>
      </c>
      <c r="AJ48" s="59">
        <f ca="1"/>
        <v>0</v>
      </c>
      <c r="AK48" s="59">
        <f ca="1"/>
        <v>0</v>
      </c>
      <c r="AL48" s="59">
        <f ca="1"/>
        <v>0</v>
      </c>
      <c r="AM48" s="59">
        <f ca="1"/>
        <v>0</v>
      </c>
      <c r="AN48" s="59">
        <f ca="1"/>
        <v>0</v>
      </c>
      <c r="AO48" s="59">
        <f ca="1"/>
        <v>0</v>
      </c>
      <c r="AP48" s="59">
        <f ca="1"/>
        <v>0</v>
      </c>
      <c r="AQ48" s="59">
        <f ca="1"/>
        <v>0</v>
      </c>
      <c r="AR48" s="59">
        <f ca="1"/>
        <v>0</v>
      </c>
      <c r="AS48" s="59">
        <f ca="1"/>
        <v>0</v>
      </c>
      <c r="AT48" s="59">
        <f ca="1"/>
        <v>0</v>
      </c>
      <c r="AU48" s="59">
        <f ca="1"/>
        <v>0</v>
      </c>
      <c r="AV48" s="59">
        <f ca="1"/>
        <v>0</v>
      </c>
      <c r="AW48" s="59">
        <f ca="1"/>
        <v>0</v>
      </c>
      <c r="AX48" s="59">
        <f ca="1"/>
        <v>0</v>
      </c>
      <c r="AY48" s="59">
        <f ca="1"/>
        <v>0</v>
      </c>
      <c r="AZ48" s="59">
        <f ca="1"/>
        <v>0</v>
      </c>
      <c r="BA48" s="59"/>
      <c r="BS48" s="5">
        <f t="shared" si="0"/>
        <v>0</v>
      </c>
      <c r="BT48" s="5" t="str">
        <f t="shared" si="1"/>
        <v>2033E_Erwerb6</v>
      </c>
      <c r="BU48">
        <v>2033</v>
      </c>
      <c r="BV48" t="s">
        <v>74</v>
      </c>
      <c r="BW48">
        <v>6</v>
      </c>
      <c r="BX48">
        <v>1</v>
      </c>
      <c r="BY48" s="12">
        <v>0</v>
      </c>
      <c r="CD48" s="5" t="str">
        <f t="shared" ca="1" si="4"/>
        <v>Amy</v>
      </c>
      <c r="CE48" s="5" t="str">
        <f t="shared" ca="1" si="5"/>
        <v>AHV-Einzelrente</v>
      </c>
      <c r="CF48" s="5" t="str">
        <f t="shared" ca="1" si="6"/>
        <v>Amy - AHV-Einzelrente</v>
      </c>
      <c r="CG48" s="5"/>
    </row>
    <row r="49" spans="1:85" x14ac:dyDescent="0.25">
      <c r="A49" s="57" t="str">
        <f ca="1"/>
        <v>Pictet Säule 3a Depot</v>
      </c>
      <c r="B49" s="57">
        <f ca="1"/>
        <v>6</v>
      </c>
      <c r="C49" s="53" t="str">
        <f ca="1"/>
        <v>Amy</v>
      </c>
      <c r="D49" s="54">
        <f ca="1"/>
        <v>3.5000000000000003E-2</v>
      </c>
      <c r="E49" s="62">
        <f ca="1"/>
        <v>7500</v>
      </c>
      <c r="F49" s="59">
        <f ca="1"/>
        <v>7762.4999999999991</v>
      </c>
      <c r="G49" s="59">
        <f ca="1"/>
        <v>8034.1874999999982</v>
      </c>
      <c r="H49" s="59">
        <f ca="1"/>
        <v>15371.384062499998</v>
      </c>
      <c r="I49" s="59">
        <f ca="1"/>
        <v>0</v>
      </c>
      <c r="J49" s="59">
        <f ca="1"/>
        <v>0</v>
      </c>
      <c r="K49" s="59">
        <f ca="1"/>
        <v>0</v>
      </c>
      <c r="L49" s="59">
        <f ca="1"/>
        <v>0</v>
      </c>
      <c r="M49" s="59">
        <f ca="1"/>
        <v>0</v>
      </c>
      <c r="N49" s="59">
        <f ca="1"/>
        <v>0</v>
      </c>
      <c r="O49" s="59">
        <f ca="1"/>
        <v>0</v>
      </c>
      <c r="P49" s="59">
        <f ca="1"/>
        <v>0</v>
      </c>
      <c r="Q49" s="59">
        <f ca="1"/>
        <v>0</v>
      </c>
      <c r="R49" s="59">
        <f ca="1"/>
        <v>0</v>
      </c>
      <c r="S49" s="59">
        <f ca="1"/>
        <v>0</v>
      </c>
      <c r="T49" s="59">
        <f ca="1"/>
        <v>0</v>
      </c>
      <c r="U49" s="59">
        <f ca="1"/>
        <v>0</v>
      </c>
      <c r="V49" s="59">
        <f ca="1"/>
        <v>0</v>
      </c>
      <c r="W49" s="59">
        <f ca="1"/>
        <v>0</v>
      </c>
      <c r="X49" s="59">
        <f ca="1"/>
        <v>0</v>
      </c>
      <c r="Y49" s="59">
        <f ca="1"/>
        <v>0</v>
      </c>
      <c r="Z49" s="59">
        <f ca="1"/>
        <v>0</v>
      </c>
      <c r="AA49" s="59">
        <f ca="1"/>
        <v>0</v>
      </c>
      <c r="AB49" s="59">
        <f ca="1"/>
        <v>0</v>
      </c>
      <c r="AC49" s="59">
        <f ca="1"/>
        <v>0</v>
      </c>
      <c r="AD49" s="59">
        <f ca="1"/>
        <v>0</v>
      </c>
      <c r="AE49" s="59">
        <f ca="1"/>
        <v>0</v>
      </c>
      <c r="AF49" s="59">
        <f ca="1"/>
        <v>0</v>
      </c>
      <c r="AG49" s="59">
        <f ca="1"/>
        <v>0</v>
      </c>
      <c r="AH49" s="59">
        <f ca="1"/>
        <v>0</v>
      </c>
      <c r="AI49" s="59">
        <f ca="1"/>
        <v>0</v>
      </c>
      <c r="AJ49" s="59">
        <f ca="1"/>
        <v>0</v>
      </c>
      <c r="AK49" s="59">
        <f ca="1"/>
        <v>0</v>
      </c>
      <c r="AL49" s="59">
        <f ca="1"/>
        <v>0</v>
      </c>
      <c r="AM49" s="59">
        <f ca="1"/>
        <v>0</v>
      </c>
      <c r="AN49" s="59">
        <f ca="1"/>
        <v>0</v>
      </c>
      <c r="AO49" s="59">
        <f ca="1"/>
        <v>0</v>
      </c>
      <c r="AP49" s="59">
        <f ca="1"/>
        <v>0</v>
      </c>
      <c r="AQ49" s="59">
        <f ca="1"/>
        <v>0</v>
      </c>
      <c r="AR49" s="59">
        <f ca="1"/>
        <v>0</v>
      </c>
      <c r="AS49" s="59">
        <f ca="1"/>
        <v>0</v>
      </c>
      <c r="AT49" s="59">
        <f ca="1"/>
        <v>0</v>
      </c>
      <c r="AU49" s="59">
        <f ca="1"/>
        <v>0</v>
      </c>
      <c r="AV49" s="59">
        <f ca="1"/>
        <v>0</v>
      </c>
      <c r="AW49" s="59">
        <f ca="1"/>
        <v>0</v>
      </c>
      <c r="AX49" s="59">
        <f ca="1"/>
        <v>0</v>
      </c>
      <c r="AY49" s="59">
        <f ca="1"/>
        <v>0</v>
      </c>
      <c r="AZ49" s="59">
        <f ca="1"/>
        <v>0</v>
      </c>
      <c r="BA49" s="59"/>
      <c r="BS49" s="5">
        <f t="shared" si="0"/>
        <v>0</v>
      </c>
      <c r="BT49" s="5" t="str">
        <f t="shared" si="1"/>
        <v>2032E_Erwerb7</v>
      </c>
      <c r="BU49">
        <v>2032</v>
      </c>
      <c r="BV49" t="s">
        <v>74</v>
      </c>
      <c r="BW49">
        <v>7</v>
      </c>
      <c r="BX49">
        <v>1</v>
      </c>
      <c r="BY49" s="12">
        <f>3675*3</f>
        <v>11025</v>
      </c>
      <c r="CD49" s="5" t="str">
        <f t="shared" ca="1" si="4"/>
        <v>-</v>
      </c>
      <c r="CE49" s="5" t="str">
        <f t="shared" ca="1" si="5"/>
        <v>AHV-Ehepaarrente</v>
      </c>
      <c r="CF49" s="5" t="str">
        <f t="shared" ca="1" si="6"/>
        <v>- - AHV-Ehepaarrente</v>
      </c>
      <c r="CG49" s="5"/>
    </row>
    <row r="50" spans="1:85" x14ac:dyDescent="0.25">
      <c r="A50" s="57" t="str">
        <f ca="1"/>
        <v>SLM Säule 3a Konto</v>
      </c>
      <c r="B50" s="57">
        <f ca="1"/>
        <v>7</v>
      </c>
      <c r="C50" s="53" t="str">
        <f ca="1"/>
        <v>Amy</v>
      </c>
      <c r="D50" s="54">
        <f ca="1"/>
        <v>0.01</v>
      </c>
      <c r="E50" s="62">
        <f ca="1"/>
        <v>7500</v>
      </c>
      <c r="F50" s="59">
        <f ca="1"/>
        <v>14631</v>
      </c>
      <c r="G50" s="59">
        <f ca="1"/>
        <v>0</v>
      </c>
      <c r="H50" s="59">
        <f ca="1"/>
        <v>0</v>
      </c>
      <c r="I50" s="59">
        <f ca="1"/>
        <v>0</v>
      </c>
      <c r="J50" s="59">
        <f ca="1"/>
        <v>0</v>
      </c>
      <c r="K50" s="59">
        <f ca="1"/>
        <v>0</v>
      </c>
      <c r="L50" s="59">
        <f ca="1"/>
        <v>0</v>
      </c>
      <c r="M50" s="59">
        <f ca="1"/>
        <v>0</v>
      </c>
      <c r="N50" s="59">
        <f ca="1"/>
        <v>0</v>
      </c>
      <c r="O50" s="59">
        <f ca="1"/>
        <v>0</v>
      </c>
      <c r="P50" s="59">
        <f ca="1"/>
        <v>0</v>
      </c>
      <c r="Q50" s="59">
        <f ca="1"/>
        <v>0</v>
      </c>
      <c r="R50" s="59">
        <f ca="1"/>
        <v>0</v>
      </c>
      <c r="S50" s="59">
        <f ca="1"/>
        <v>0</v>
      </c>
      <c r="T50" s="59">
        <f ca="1"/>
        <v>0</v>
      </c>
      <c r="U50" s="59">
        <f ca="1"/>
        <v>0</v>
      </c>
      <c r="V50" s="59">
        <f ca="1"/>
        <v>0</v>
      </c>
      <c r="W50" s="59">
        <f ca="1"/>
        <v>0</v>
      </c>
      <c r="X50" s="59">
        <f ca="1"/>
        <v>0</v>
      </c>
      <c r="Y50" s="59">
        <f ca="1"/>
        <v>0</v>
      </c>
      <c r="Z50" s="59">
        <f ca="1"/>
        <v>0</v>
      </c>
      <c r="AA50" s="59">
        <f ca="1"/>
        <v>0</v>
      </c>
      <c r="AB50" s="59">
        <f ca="1"/>
        <v>0</v>
      </c>
      <c r="AC50" s="59">
        <f ca="1"/>
        <v>0</v>
      </c>
      <c r="AD50" s="59">
        <f ca="1"/>
        <v>0</v>
      </c>
      <c r="AE50" s="59">
        <f ca="1"/>
        <v>0</v>
      </c>
      <c r="AF50" s="59">
        <f ca="1"/>
        <v>0</v>
      </c>
      <c r="AG50" s="59">
        <f ca="1"/>
        <v>0</v>
      </c>
      <c r="AH50" s="59">
        <f ca="1"/>
        <v>0</v>
      </c>
      <c r="AI50" s="59">
        <f ca="1"/>
        <v>0</v>
      </c>
      <c r="AJ50" s="59">
        <f ca="1"/>
        <v>0</v>
      </c>
      <c r="AK50" s="59">
        <f ca="1"/>
        <v>0</v>
      </c>
      <c r="AL50" s="59">
        <f ca="1"/>
        <v>0</v>
      </c>
      <c r="AM50" s="59">
        <f ca="1"/>
        <v>0</v>
      </c>
      <c r="AN50" s="59">
        <f ca="1"/>
        <v>0</v>
      </c>
      <c r="AO50" s="59">
        <f ca="1"/>
        <v>0</v>
      </c>
      <c r="AP50" s="59">
        <f ca="1"/>
        <v>0</v>
      </c>
      <c r="AQ50" s="59">
        <f ca="1"/>
        <v>0</v>
      </c>
      <c r="AR50" s="59">
        <f ca="1"/>
        <v>0</v>
      </c>
      <c r="AS50" s="59">
        <f ca="1"/>
        <v>0</v>
      </c>
      <c r="AT50" s="59">
        <f ca="1"/>
        <v>0</v>
      </c>
      <c r="AU50" s="59">
        <f ca="1"/>
        <v>0</v>
      </c>
      <c r="AV50" s="59">
        <f ca="1"/>
        <v>0</v>
      </c>
      <c r="AW50" s="59">
        <f ca="1"/>
        <v>0</v>
      </c>
      <c r="AX50" s="59">
        <f ca="1"/>
        <v>0</v>
      </c>
      <c r="AY50" s="59">
        <f ca="1"/>
        <v>0</v>
      </c>
      <c r="AZ50" s="59">
        <f ca="1"/>
        <v>0</v>
      </c>
      <c r="BA50" s="59"/>
      <c r="BS50" s="5">
        <f t="shared" si="0"/>
        <v>0</v>
      </c>
      <c r="BT50" s="5" t="str">
        <f t="shared" si="1"/>
        <v>2033E_Erwerb7</v>
      </c>
      <c r="BU50">
        <v>2033</v>
      </c>
      <c r="BV50" t="s">
        <v>74</v>
      </c>
      <c r="BW50">
        <v>7</v>
      </c>
      <c r="BX50">
        <v>1</v>
      </c>
      <c r="BY50" s="12">
        <f>3675*12</f>
        <v>44100</v>
      </c>
      <c r="CD50" s="5" t="str">
        <f t="shared" ca="1" si="4"/>
        <v>-</v>
      </c>
      <c r="CE50" s="5" t="str">
        <f t="shared" ca="1" si="5"/>
        <v>AHV-Ehepaarrente</v>
      </c>
      <c r="CF50" s="5" t="str">
        <f t="shared" ca="1" si="6"/>
        <v>- - AHV-Ehepaarrente</v>
      </c>
      <c r="CG50" s="5"/>
    </row>
    <row r="51" spans="1:85" x14ac:dyDescent="0.25">
      <c r="A51" s="57" t="str">
        <f ca="1"/>
        <v>AXA Säule 3b</v>
      </c>
      <c r="B51" s="57">
        <f ca="1"/>
        <v>8</v>
      </c>
      <c r="C51" s="53" t="str">
        <f ca="1"/>
        <v>Amy</v>
      </c>
      <c r="D51" s="54">
        <f ca="1"/>
        <v>0</v>
      </c>
      <c r="E51" s="62">
        <f ca="1"/>
        <v>100000</v>
      </c>
      <c r="F51" s="59">
        <f ca="1"/>
        <v>100000</v>
      </c>
      <c r="G51" s="59">
        <f ca="1"/>
        <v>100000</v>
      </c>
      <c r="H51" s="59">
        <f ca="1"/>
        <v>100000</v>
      </c>
      <c r="I51" s="59">
        <f ca="1"/>
        <v>100000</v>
      </c>
      <c r="J51" s="59">
        <f ca="1"/>
        <v>100000</v>
      </c>
      <c r="K51" s="59">
        <f ca="1"/>
        <v>0</v>
      </c>
      <c r="L51" s="59">
        <f ca="1"/>
        <v>0</v>
      </c>
      <c r="M51" s="59">
        <f ca="1"/>
        <v>0</v>
      </c>
      <c r="N51" s="59">
        <f ca="1"/>
        <v>0</v>
      </c>
      <c r="O51" s="59">
        <f ca="1"/>
        <v>0</v>
      </c>
      <c r="P51" s="59">
        <f ca="1"/>
        <v>0</v>
      </c>
      <c r="Q51" s="59">
        <f ca="1"/>
        <v>0</v>
      </c>
      <c r="R51" s="59">
        <f ca="1"/>
        <v>0</v>
      </c>
      <c r="S51" s="59">
        <f ca="1"/>
        <v>0</v>
      </c>
      <c r="T51" s="59">
        <f ca="1"/>
        <v>0</v>
      </c>
      <c r="U51" s="59">
        <f ca="1"/>
        <v>0</v>
      </c>
      <c r="V51" s="59">
        <f ca="1"/>
        <v>0</v>
      </c>
      <c r="W51" s="59">
        <f ca="1"/>
        <v>0</v>
      </c>
      <c r="X51" s="59">
        <f ca="1"/>
        <v>0</v>
      </c>
      <c r="Y51" s="59">
        <f ca="1"/>
        <v>0</v>
      </c>
      <c r="Z51" s="59">
        <f ca="1"/>
        <v>0</v>
      </c>
      <c r="AA51" s="59">
        <f ca="1"/>
        <v>0</v>
      </c>
      <c r="AB51" s="59">
        <f ca="1"/>
        <v>0</v>
      </c>
      <c r="AC51" s="59">
        <f ca="1"/>
        <v>0</v>
      </c>
      <c r="AD51" s="59">
        <f ca="1"/>
        <v>0</v>
      </c>
      <c r="AE51" s="59">
        <f ca="1"/>
        <v>0</v>
      </c>
      <c r="AF51" s="59">
        <f ca="1"/>
        <v>0</v>
      </c>
      <c r="AG51" s="59">
        <f ca="1"/>
        <v>0</v>
      </c>
      <c r="AH51" s="59">
        <f ca="1"/>
        <v>0</v>
      </c>
      <c r="AI51" s="59">
        <f ca="1"/>
        <v>0</v>
      </c>
      <c r="AJ51" s="59">
        <f ca="1"/>
        <v>0</v>
      </c>
      <c r="AK51" s="59">
        <f ca="1"/>
        <v>0</v>
      </c>
      <c r="AL51" s="59">
        <f ca="1"/>
        <v>0</v>
      </c>
      <c r="AM51" s="59">
        <f ca="1"/>
        <v>0</v>
      </c>
      <c r="AN51" s="59">
        <f ca="1"/>
        <v>0</v>
      </c>
      <c r="AO51" s="59">
        <f ca="1"/>
        <v>0</v>
      </c>
      <c r="AP51" s="59">
        <f ca="1"/>
        <v>0</v>
      </c>
      <c r="AQ51" s="59">
        <f ca="1"/>
        <v>0</v>
      </c>
      <c r="AR51" s="59">
        <f ca="1"/>
        <v>0</v>
      </c>
      <c r="AS51" s="59">
        <f ca="1"/>
        <v>0</v>
      </c>
      <c r="AT51" s="59">
        <f ca="1"/>
        <v>0</v>
      </c>
      <c r="AU51" s="59">
        <f ca="1"/>
        <v>0</v>
      </c>
      <c r="AV51" s="59">
        <f ca="1"/>
        <v>0</v>
      </c>
      <c r="AW51" s="59">
        <f ca="1"/>
        <v>0</v>
      </c>
      <c r="AX51" s="59">
        <f ca="1"/>
        <v>0</v>
      </c>
      <c r="AY51" s="59">
        <f ca="1"/>
        <v>0</v>
      </c>
      <c r="AZ51" s="59">
        <f ca="1"/>
        <v>0</v>
      </c>
      <c r="BA51" s="59"/>
      <c r="BS51" s="5">
        <f t="shared" si="0"/>
        <v>0</v>
      </c>
      <c r="BT51" s="5" t="str">
        <f t="shared" si="1"/>
        <v>2029A_Allg7</v>
      </c>
      <c r="BU51">
        <v>2029</v>
      </c>
      <c r="BV51" t="s">
        <v>85</v>
      </c>
      <c r="BW51">
        <v>7</v>
      </c>
      <c r="BX51">
        <v>2</v>
      </c>
      <c r="BZ51">
        <f>8/12</f>
        <v>0.66666666666666663</v>
      </c>
      <c r="CD51" s="5" t="str">
        <f t="shared" ca="1" si="4"/>
        <v>Amy</v>
      </c>
      <c r="CE51" s="5" t="str">
        <f t="shared" ca="1" si="5"/>
        <v>Säule 3b Beitrag</v>
      </c>
      <c r="CF51" s="5" t="str">
        <f t="shared" ca="1" si="6"/>
        <v>Amy - Säule 3b Beitrag</v>
      </c>
      <c r="CG51" s="5"/>
    </row>
    <row r="52" spans="1:85" x14ac:dyDescent="0.25">
      <c r="A52" s="57" t="str">
        <f ca="1"/>
        <v>Neues Säule 3a Gefäss</v>
      </c>
      <c r="B52" s="57">
        <f ca="1"/>
        <v>9</v>
      </c>
      <c r="C52" s="53" t="str">
        <f ca="1"/>
        <v>Amy</v>
      </c>
      <c r="D52" s="54">
        <f ca="1"/>
        <v>0.01</v>
      </c>
      <c r="E52" s="62">
        <f ca="1"/>
        <v>0</v>
      </c>
      <c r="F52" s="59">
        <f ca="1"/>
        <v>0</v>
      </c>
      <c r="G52" s="59">
        <f ca="1"/>
        <v>0</v>
      </c>
      <c r="H52" s="59">
        <f ca="1"/>
        <v>0</v>
      </c>
      <c r="I52" s="59">
        <f ca="1"/>
        <v>0</v>
      </c>
      <c r="J52" s="59">
        <f ca="1"/>
        <v>7056</v>
      </c>
      <c r="K52" s="59">
        <f ca="1"/>
        <v>14182.560000000001</v>
      </c>
      <c r="L52" s="59">
        <f ca="1"/>
        <v>19924.385600000001</v>
      </c>
      <c r="M52" s="59">
        <f ca="1"/>
        <v>0</v>
      </c>
      <c r="N52" s="59">
        <f ca="1"/>
        <v>0</v>
      </c>
      <c r="O52" s="59">
        <f ca="1"/>
        <v>0</v>
      </c>
      <c r="P52" s="59">
        <f ca="1"/>
        <v>0</v>
      </c>
      <c r="Q52" s="59">
        <f ca="1"/>
        <v>0</v>
      </c>
      <c r="R52" s="59">
        <f ca="1"/>
        <v>0</v>
      </c>
      <c r="S52" s="59">
        <f ca="1"/>
        <v>0</v>
      </c>
      <c r="T52" s="59">
        <f ca="1"/>
        <v>0</v>
      </c>
      <c r="U52" s="59">
        <f ca="1"/>
        <v>0</v>
      </c>
      <c r="V52" s="59">
        <f ca="1"/>
        <v>0</v>
      </c>
      <c r="W52" s="59">
        <f ca="1"/>
        <v>0</v>
      </c>
      <c r="X52" s="59">
        <f ca="1"/>
        <v>0</v>
      </c>
      <c r="Y52" s="59">
        <f ca="1"/>
        <v>0</v>
      </c>
      <c r="Z52" s="59">
        <f ca="1"/>
        <v>0</v>
      </c>
      <c r="AA52" s="59">
        <f ca="1"/>
        <v>0</v>
      </c>
      <c r="AB52" s="59">
        <f ca="1"/>
        <v>0</v>
      </c>
      <c r="AC52" s="59">
        <f ca="1"/>
        <v>0</v>
      </c>
      <c r="AD52" s="59">
        <f ca="1"/>
        <v>0</v>
      </c>
      <c r="AE52" s="59">
        <f ca="1"/>
        <v>0</v>
      </c>
      <c r="AF52" s="59">
        <f ca="1"/>
        <v>0</v>
      </c>
      <c r="AG52" s="59">
        <f ca="1"/>
        <v>0</v>
      </c>
      <c r="AH52" s="59">
        <f ca="1"/>
        <v>0</v>
      </c>
      <c r="AI52" s="59">
        <f ca="1"/>
        <v>0</v>
      </c>
      <c r="AJ52" s="59">
        <f ca="1"/>
        <v>0</v>
      </c>
      <c r="AK52" s="59">
        <f ca="1"/>
        <v>0</v>
      </c>
      <c r="AL52" s="59">
        <f ca="1"/>
        <v>0</v>
      </c>
      <c r="AM52" s="59">
        <f ca="1"/>
        <v>0</v>
      </c>
      <c r="AN52" s="59">
        <f ca="1"/>
        <v>0</v>
      </c>
      <c r="AO52" s="59">
        <f ca="1"/>
        <v>0</v>
      </c>
      <c r="AP52" s="59">
        <f ca="1"/>
        <v>0</v>
      </c>
      <c r="AQ52" s="59">
        <f ca="1"/>
        <v>0</v>
      </c>
      <c r="AR52" s="59">
        <f ca="1"/>
        <v>0</v>
      </c>
      <c r="AS52" s="59">
        <f ca="1"/>
        <v>0</v>
      </c>
      <c r="AT52" s="59">
        <f ca="1"/>
        <v>0</v>
      </c>
      <c r="AU52" s="59">
        <f ca="1"/>
        <v>0</v>
      </c>
      <c r="AV52" s="59">
        <f ca="1"/>
        <v>0</v>
      </c>
      <c r="AW52" s="59">
        <f ca="1"/>
        <v>0</v>
      </c>
      <c r="AX52" s="59">
        <f ca="1"/>
        <v>0</v>
      </c>
      <c r="AY52" s="59">
        <f ca="1"/>
        <v>0</v>
      </c>
      <c r="AZ52" s="59">
        <f ca="1"/>
        <v>0</v>
      </c>
      <c r="BA52" s="59"/>
      <c r="BS52" s="5">
        <f t="shared" si="0"/>
        <v>0</v>
      </c>
      <c r="BT52" s="5" t="str">
        <f t="shared" si="1"/>
        <v>2024V_Vorsorg1</v>
      </c>
      <c r="BU52">
        <v>2024</v>
      </c>
      <c r="BV52" t="s">
        <v>95</v>
      </c>
      <c r="BW52">
        <v>1</v>
      </c>
      <c r="BX52">
        <v>0</v>
      </c>
      <c r="CA52">
        <v>4945.2</v>
      </c>
      <c r="CD52" s="5" t="str">
        <f t="shared" ca="1" si="4"/>
        <v>Sheldon</v>
      </c>
      <c r="CE52" s="5" t="str">
        <f t="shared" ca="1" si="5"/>
        <v>Pensionskasse Caltec</v>
      </c>
      <c r="CF52" s="5" t="str">
        <f t="shared" ca="1" si="6"/>
        <v>Sheldon - Pensionskasse Caltec</v>
      </c>
      <c r="CG52" s="5"/>
    </row>
    <row r="53" spans="1:85" x14ac:dyDescent="0.25">
      <c r="A53" s="57" t="str">
        <f ca="1"/>
        <v>Pensionskasse Caltec</v>
      </c>
      <c r="B53" s="57">
        <f ca="1"/>
        <v>1</v>
      </c>
      <c r="C53" s="53" t="str">
        <f ca="1"/>
        <v>Sheldon</v>
      </c>
      <c r="D53" s="54">
        <f ca="1"/>
        <v>0.01</v>
      </c>
      <c r="E53" s="62">
        <f ca="1"/>
        <v>300000</v>
      </c>
      <c r="F53" s="59">
        <f ca="1"/>
        <v>307945.2</v>
      </c>
      <c r="G53" s="59">
        <f ca="1"/>
        <v>315969.85200000001</v>
      </c>
      <c r="H53" s="59">
        <f ca="1"/>
        <v>324074.75052</v>
      </c>
      <c r="I53" s="59">
        <f ca="1"/>
        <v>332260.69802519999</v>
      </c>
      <c r="J53" s="59">
        <f ca="1"/>
        <v>340528.50500545203</v>
      </c>
      <c r="K53" s="59">
        <f ca="1"/>
        <v>348878.99005550658</v>
      </c>
      <c r="L53" s="59">
        <f ca="1"/>
        <v>0</v>
      </c>
      <c r="M53" s="59">
        <f ca="1"/>
        <v>0</v>
      </c>
      <c r="N53" s="59">
        <f ca="1"/>
        <v>0</v>
      </c>
      <c r="O53" s="59">
        <f ca="1"/>
        <v>0</v>
      </c>
      <c r="P53" s="59">
        <f ca="1"/>
        <v>0</v>
      </c>
      <c r="Q53" s="59">
        <f ca="1"/>
        <v>0</v>
      </c>
      <c r="R53" s="59">
        <f ca="1"/>
        <v>0</v>
      </c>
      <c r="S53" s="59">
        <f ca="1"/>
        <v>0</v>
      </c>
      <c r="T53" s="59">
        <f ca="1"/>
        <v>0</v>
      </c>
      <c r="U53" s="59">
        <f ca="1"/>
        <v>0</v>
      </c>
      <c r="V53" s="59">
        <f ca="1"/>
        <v>0</v>
      </c>
      <c r="W53" s="59">
        <f ca="1"/>
        <v>0</v>
      </c>
      <c r="X53" s="59">
        <f ca="1"/>
        <v>0</v>
      </c>
      <c r="Y53" s="59">
        <f ca="1"/>
        <v>0</v>
      </c>
      <c r="Z53" s="59">
        <f ca="1"/>
        <v>0</v>
      </c>
      <c r="AA53" s="59">
        <f ca="1"/>
        <v>0</v>
      </c>
      <c r="AB53" s="59">
        <f ca="1"/>
        <v>0</v>
      </c>
      <c r="AC53" s="59">
        <f ca="1"/>
        <v>0</v>
      </c>
      <c r="AD53" s="59">
        <f ca="1"/>
        <v>0</v>
      </c>
      <c r="AE53" s="59">
        <f ca="1"/>
        <v>0</v>
      </c>
      <c r="AF53" s="59">
        <f ca="1"/>
        <v>0</v>
      </c>
      <c r="AG53" s="59">
        <f ca="1"/>
        <v>0</v>
      </c>
      <c r="AH53" s="59">
        <f ca="1"/>
        <v>0</v>
      </c>
      <c r="AI53" s="59">
        <f ca="1"/>
        <v>0</v>
      </c>
      <c r="AJ53" s="59">
        <f ca="1"/>
        <v>0</v>
      </c>
      <c r="AK53" s="59">
        <f ca="1"/>
        <v>0</v>
      </c>
      <c r="AL53" s="59">
        <f ca="1"/>
        <v>0</v>
      </c>
      <c r="AM53" s="59">
        <f ca="1"/>
        <v>0</v>
      </c>
      <c r="AN53" s="59">
        <f ca="1"/>
        <v>0</v>
      </c>
      <c r="AO53" s="59">
        <f ca="1"/>
        <v>0</v>
      </c>
      <c r="AP53" s="59">
        <f ca="1"/>
        <v>0</v>
      </c>
      <c r="AQ53" s="59">
        <f ca="1"/>
        <v>0</v>
      </c>
      <c r="AR53" s="59">
        <f ca="1"/>
        <v>0</v>
      </c>
      <c r="AS53" s="59">
        <f ca="1"/>
        <v>0</v>
      </c>
      <c r="AT53" s="59">
        <f ca="1"/>
        <v>0</v>
      </c>
      <c r="AU53" s="59">
        <f ca="1"/>
        <v>0</v>
      </c>
      <c r="AV53" s="59">
        <f ca="1"/>
        <v>0</v>
      </c>
      <c r="AW53" s="59">
        <f ca="1"/>
        <v>0</v>
      </c>
      <c r="AX53" s="59">
        <f ca="1"/>
        <v>0</v>
      </c>
      <c r="AY53" s="59">
        <f ca="1"/>
        <v>0</v>
      </c>
      <c r="AZ53" s="59">
        <f ca="1"/>
        <v>0</v>
      </c>
      <c r="BA53" s="59"/>
      <c r="BS53" s="5">
        <f t="shared" si="0"/>
        <v>0</v>
      </c>
      <c r="BT53" s="5" t="str">
        <f t="shared" si="1"/>
        <v>2025V_Vorsorg1</v>
      </c>
      <c r="BU53">
        <v>2025</v>
      </c>
      <c r="BV53" t="s">
        <v>95</v>
      </c>
      <c r="BW53">
        <v>1</v>
      </c>
      <c r="BX53">
        <v>0</v>
      </c>
      <c r="CA53">
        <v>4945.2</v>
      </c>
      <c r="CD53" s="5" t="str">
        <f t="shared" ca="1" si="4"/>
        <v>Sheldon</v>
      </c>
      <c r="CE53" s="5" t="str">
        <f t="shared" ca="1" si="5"/>
        <v>Pensionskasse Caltec</v>
      </c>
      <c r="CF53" s="5" t="str">
        <f t="shared" ca="1" si="6"/>
        <v>Sheldon - Pensionskasse Caltec</v>
      </c>
      <c r="CG53" s="5"/>
    </row>
    <row r="54" spans="1:85" x14ac:dyDescent="0.25">
      <c r="A54" s="57" t="str">
        <f ca="1"/>
        <v>PostFinance Säule 3a Depot I</v>
      </c>
      <c r="B54" s="57">
        <f ca="1"/>
        <v>3</v>
      </c>
      <c r="C54" s="53" t="str">
        <f ca="1"/>
        <v>Sheldon</v>
      </c>
      <c r="D54" s="54">
        <f ca="1"/>
        <v>3.5000000000000003E-2</v>
      </c>
      <c r="E54" s="62">
        <f ca="1"/>
        <v>40000</v>
      </c>
      <c r="F54" s="59">
        <f ca="1"/>
        <v>41400</v>
      </c>
      <c r="G54" s="59">
        <f ca="1"/>
        <v>42849</v>
      </c>
      <c r="H54" s="59">
        <f ca="1"/>
        <v>0</v>
      </c>
      <c r="I54" s="59">
        <f ca="1"/>
        <v>0</v>
      </c>
      <c r="J54" s="59">
        <f ca="1"/>
        <v>0</v>
      </c>
      <c r="K54" s="59">
        <f ca="1"/>
        <v>0</v>
      </c>
      <c r="L54" s="59">
        <f ca="1"/>
        <v>0</v>
      </c>
      <c r="M54" s="59">
        <f ca="1"/>
        <v>0</v>
      </c>
      <c r="N54" s="59">
        <f ca="1"/>
        <v>0</v>
      </c>
      <c r="O54" s="59">
        <f ca="1"/>
        <v>0</v>
      </c>
      <c r="P54" s="59">
        <f ca="1"/>
        <v>0</v>
      </c>
      <c r="Q54" s="59">
        <f ca="1"/>
        <v>0</v>
      </c>
      <c r="R54" s="59">
        <f ca="1"/>
        <v>0</v>
      </c>
      <c r="S54" s="59">
        <f ca="1"/>
        <v>0</v>
      </c>
      <c r="T54" s="59">
        <f ca="1"/>
        <v>0</v>
      </c>
      <c r="U54" s="59">
        <f ca="1"/>
        <v>0</v>
      </c>
      <c r="V54" s="59">
        <f ca="1"/>
        <v>0</v>
      </c>
      <c r="W54" s="59">
        <f ca="1"/>
        <v>0</v>
      </c>
      <c r="X54" s="59">
        <f ca="1"/>
        <v>0</v>
      </c>
      <c r="Y54" s="59">
        <f ca="1"/>
        <v>0</v>
      </c>
      <c r="Z54" s="59">
        <f ca="1"/>
        <v>0</v>
      </c>
      <c r="AA54" s="59">
        <f ca="1"/>
        <v>0</v>
      </c>
      <c r="AB54" s="59">
        <f ca="1"/>
        <v>0</v>
      </c>
      <c r="AC54" s="59">
        <f ca="1"/>
        <v>0</v>
      </c>
      <c r="AD54" s="59">
        <f ca="1"/>
        <v>0</v>
      </c>
      <c r="AE54" s="59">
        <f ca="1"/>
        <v>0</v>
      </c>
      <c r="AF54" s="59">
        <f ca="1"/>
        <v>0</v>
      </c>
      <c r="AG54" s="59">
        <f ca="1"/>
        <v>0</v>
      </c>
      <c r="AH54" s="59">
        <f ca="1"/>
        <v>0</v>
      </c>
      <c r="AI54" s="59">
        <f ca="1"/>
        <v>0</v>
      </c>
      <c r="AJ54" s="59">
        <f ca="1"/>
        <v>0</v>
      </c>
      <c r="AK54" s="59">
        <f ca="1"/>
        <v>0</v>
      </c>
      <c r="AL54" s="59">
        <f ca="1"/>
        <v>0</v>
      </c>
      <c r="AM54" s="59">
        <f ca="1"/>
        <v>0</v>
      </c>
      <c r="AN54" s="59">
        <f ca="1"/>
        <v>0</v>
      </c>
      <c r="AO54" s="59">
        <f ca="1"/>
        <v>0</v>
      </c>
      <c r="AP54" s="59">
        <f ca="1"/>
        <v>0</v>
      </c>
      <c r="AQ54" s="59">
        <f ca="1"/>
        <v>0</v>
      </c>
      <c r="AR54" s="59">
        <f ca="1"/>
        <v>0</v>
      </c>
      <c r="AS54" s="59">
        <f ca="1"/>
        <v>0</v>
      </c>
      <c r="AT54" s="59">
        <f ca="1"/>
        <v>0</v>
      </c>
      <c r="AU54" s="59">
        <f ca="1"/>
        <v>0</v>
      </c>
      <c r="AV54" s="59">
        <f ca="1"/>
        <v>0</v>
      </c>
      <c r="AW54" s="59">
        <f ca="1"/>
        <v>0</v>
      </c>
      <c r="AX54" s="59">
        <f ca="1"/>
        <v>0</v>
      </c>
      <c r="AY54" s="59">
        <f ca="1"/>
        <v>0</v>
      </c>
      <c r="AZ54" s="59">
        <f ca="1"/>
        <v>0</v>
      </c>
      <c r="BA54" s="59"/>
      <c r="BS54" s="5">
        <f t="shared" si="0"/>
        <v>0</v>
      </c>
      <c r="BT54" s="5" t="str">
        <f t="shared" si="1"/>
        <v>2026V_Vorsorg1</v>
      </c>
      <c r="BU54">
        <v>2026</v>
      </c>
      <c r="BV54" t="s">
        <v>95</v>
      </c>
      <c r="BW54">
        <v>1</v>
      </c>
      <c r="BX54">
        <v>0</v>
      </c>
      <c r="CA54">
        <v>4945.2</v>
      </c>
      <c r="CD54" s="5" t="str">
        <f t="shared" ca="1" si="4"/>
        <v>Sheldon</v>
      </c>
      <c r="CE54" s="5" t="str">
        <f t="shared" ca="1" si="5"/>
        <v>Pensionskasse Caltec</v>
      </c>
      <c r="CF54" s="5" t="str">
        <f t="shared" ca="1" si="6"/>
        <v>Sheldon - Pensionskasse Caltec</v>
      </c>
      <c r="CG54" s="5"/>
    </row>
    <row r="55" spans="1:85" x14ac:dyDescent="0.25">
      <c r="A55" s="57" t="str">
        <f ca="1"/>
        <v>PostFinance Säule 3a Depot II</v>
      </c>
      <c r="B55" s="57">
        <f ca="1"/>
        <v>4</v>
      </c>
      <c r="C55" s="53" t="str">
        <f ca="1"/>
        <v>Sheldon</v>
      </c>
      <c r="D55" s="54">
        <f ca="1"/>
        <v>3.5000000000000003E-2</v>
      </c>
      <c r="E55" s="62">
        <f ca="1"/>
        <v>20000</v>
      </c>
      <c r="F55" s="59">
        <f ca="1"/>
        <v>20700</v>
      </c>
      <c r="G55" s="59">
        <f ca="1"/>
        <v>0</v>
      </c>
      <c r="H55" s="59">
        <f ca="1"/>
        <v>0</v>
      </c>
      <c r="I55" s="59">
        <f ca="1"/>
        <v>0</v>
      </c>
      <c r="J55" s="59">
        <f ca="1"/>
        <v>0</v>
      </c>
      <c r="K55" s="59">
        <f ca="1"/>
        <v>0</v>
      </c>
      <c r="L55" s="59">
        <f ca="1"/>
        <v>0</v>
      </c>
      <c r="M55" s="59">
        <f ca="1"/>
        <v>0</v>
      </c>
      <c r="N55" s="59">
        <f ca="1"/>
        <v>0</v>
      </c>
      <c r="O55" s="59">
        <f ca="1"/>
        <v>0</v>
      </c>
      <c r="P55" s="59">
        <f ca="1"/>
        <v>0</v>
      </c>
      <c r="Q55" s="59">
        <f ca="1"/>
        <v>0</v>
      </c>
      <c r="R55" s="59">
        <f ca="1"/>
        <v>0</v>
      </c>
      <c r="S55" s="59">
        <f ca="1"/>
        <v>0</v>
      </c>
      <c r="T55" s="59">
        <f ca="1"/>
        <v>0</v>
      </c>
      <c r="U55" s="59">
        <f ca="1"/>
        <v>0</v>
      </c>
      <c r="V55" s="59">
        <f ca="1"/>
        <v>0</v>
      </c>
      <c r="W55" s="59">
        <f ca="1"/>
        <v>0</v>
      </c>
      <c r="X55" s="59">
        <f ca="1"/>
        <v>0</v>
      </c>
      <c r="Y55" s="59">
        <f ca="1"/>
        <v>0</v>
      </c>
      <c r="Z55" s="59">
        <f ca="1"/>
        <v>0</v>
      </c>
      <c r="AA55" s="59">
        <f ca="1"/>
        <v>0</v>
      </c>
      <c r="AB55" s="59">
        <f ca="1"/>
        <v>0</v>
      </c>
      <c r="AC55" s="59">
        <f ca="1"/>
        <v>0</v>
      </c>
      <c r="AD55" s="59">
        <f ca="1"/>
        <v>0</v>
      </c>
      <c r="AE55" s="59">
        <f ca="1"/>
        <v>0</v>
      </c>
      <c r="AF55" s="59">
        <f ca="1"/>
        <v>0</v>
      </c>
      <c r="AG55" s="59">
        <f ca="1"/>
        <v>0</v>
      </c>
      <c r="AH55" s="59">
        <f ca="1"/>
        <v>0</v>
      </c>
      <c r="AI55" s="59">
        <f ca="1"/>
        <v>0</v>
      </c>
      <c r="AJ55" s="59">
        <f ca="1"/>
        <v>0</v>
      </c>
      <c r="AK55" s="59">
        <f ca="1"/>
        <v>0</v>
      </c>
      <c r="AL55" s="59">
        <f ca="1"/>
        <v>0</v>
      </c>
      <c r="AM55" s="59">
        <f ca="1"/>
        <v>0</v>
      </c>
      <c r="AN55" s="59">
        <f ca="1"/>
        <v>0</v>
      </c>
      <c r="AO55" s="59">
        <f ca="1"/>
        <v>0</v>
      </c>
      <c r="AP55" s="59">
        <f ca="1"/>
        <v>0</v>
      </c>
      <c r="AQ55" s="59">
        <f ca="1"/>
        <v>0</v>
      </c>
      <c r="AR55" s="59">
        <f ca="1"/>
        <v>0</v>
      </c>
      <c r="AS55" s="59">
        <f ca="1"/>
        <v>0</v>
      </c>
      <c r="AT55" s="59">
        <f ca="1"/>
        <v>0</v>
      </c>
      <c r="AU55" s="59">
        <f ca="1"/>
        <v>0</v>
      </c>
      <c r="AV55" s="59">
        <f ca="1"/>
        <v>0</v>
      </c>
      <c r="AW55" s="59">
        <f ca="1"/>
        <v>0</v>
      </c>
      <c r="AX55" s="59">
        <f ca="1"/>
        <v>0</v>
      </c>
      <c r="AY55" s="59">
        <f ca="1"/>
        <v>0</v>
      </c>
      <c r="AZ55" s="59">
        <f ca="1"/>
        <v>0</v>
      </c>
      <c r="BA55" s="59"/>
      <c r="BS55" s="5">
        <f t="shared" si="0"/>
        <v>0</v>
      </c>
      <c r="BT55" s="5" t="str">
        <f t="shared" si="1"/>
        <v>2027V_Vorsorg1</v>
      </c>
      <c r="BU55">
        <v>2027</v>
      </c>
      <c r="BV55" t="s">
        <v>95</v>
      </c>
      <c r="BW55">
        <v>1</v>
      </c>
      <c r="BX55">
        <v>0</v>
      </c>
      <c r="CA55">
        <v>4945.2</v>
      </c>
      <c r="CD55" s="5" t="str">
        <f t="shared" ca="1" si="4"/>
        <v>Sheldon</v>
      </c>
      <c r="CE55" s="5" t="str">
        <f t="shared" ca="1" si="5"/>
        <v>Pensionskasse Caltec</v>
      </c>
      <c r="CF55" s="5" t="str">
        <f t="shared" ca="1" si="6"/>
        <v>Sheldon - Pensionskasse Caltec</v>
      </c>
      <c r="CG55" s="5"/>
    </row>
    <row r="56" spans="1:85" x14ac:dyDescent="0.25">
      <c r="A56" s="57" t="str">
        <f ca="1"/>
        <v>MigrosBank Säule 3a Konto</v>
      </c>
      <c r="B56" s="57">
        <f ca="1"/>
        <v>10</v>
      </c>
      <c r="C56" s="53" t="str">
        <f ca="1"/>
        <v>Sheldon</v>
      </c>
      <c r="D56" s="54">
        <f ca="1"/>
        <v>0.01</v>
      </c>
      <c r="E56" s="62">
        <f ca="1"/>
        <v>35000</v>
      </c>
      <c r="F56" s="59">
        <f ca="1"/>
        <v>35350</v>
      </c>
      <c r="G56" s="59">
        <f ca="1"/>
        <v>35703.5</v>
      </c>
      <c r="H56" s="59">
        <f ca="1"/>
        <v>36060.535000000003</v>
      </c>
      <c r="I56" s="59">
        <f ca="1"/>
        <v>36421.140350000001</v>
      </c>
      <c r="J56" s="59">
        <f ca="1"/>
        <v>36785.351753499999</v>
      </c>
      <c r="K56" s="59">
        <f ca="1"/>
        <v>37153.205271034996</v>
      </c>
      <c r="L56" s="59">
        <f ca="1"/>
        <v>0</v>
      </c>
      <c r="M56" s="59">
        <f ca="1"/>
        <v>0</v>
      </c>
      <c r="N56" s="59">
        <f ca="1"/>
        <v>0</v>
      </c>
      <c r="O56" s="59">
        <f ca="1"/>
        <v>0</v>
      </c>
      <c r="P56" s="59">
        <f ca="1"/>
        <v>0</v>
      </c>
      <c r="Q56" s="59">
        <f ca="1"/>
        <v>0</v>
      </c>
      <c r="R56" s="59">
        <f ca="1"/>
        <v>0</v>
      </c>
      <c r="S56" s="59">
        <f ca="1"/>
        <v>0</v>
      </c>
      <c r="T56" s="59">
        <f ca="1"/>
        <v>0</v>
      </c>
      <c r="U56" s="59">
        <f ca="1"/>
        <v>0</v>
      </c>
      <c r="V56" s="59">
        <f ca="1"/>
        <v>0</v>
      </c>
      <c r="W56" s="59">
        <f ca="1"/>
        <v>0</v>
      </c>
      <c r="X56" s="59">
        <f ca="1"/>
        <v>0</v>
      </c>
      <c r="Y56" s="59">
        <f ca="1"/>
        <v>0</v>
      </c>
      <c r="Z56" s="59">
        <f ca="1"/>
        <v>0</v>
      </c>
      <c r="AA56" s="59">
        <f ca="1"/>
        <v>0</v>
      </c>
      <c r="AB56" s="59">
        <f ca="1"/>
        <v>0</v>
      </c>
      <c r="AC56" s="59">
        <f ca="1"/>
        <v>0</v>
      </c>
      <c r="AD56" s="59">
        <f ca="1"/>
        <v>0</v>
      </c>
      <c r="AE56" s="59">
        <f ca="1"/>
        <v>0</v>
      </c>
      <c r="AF56" s="59">
        <f ca="1"/>
        <v>0</v>
      </c>
      <c r="AG56" s="59">
        <f ca="1"/>
        <v>0</v>
      </c>
      <c r="AH56" s="59">
        <f ca="1"/>
        <v>0</v>
      </c>
      <c r="AI56" s="59">
        <f ca="1"/>
        <v>0</v>
      </c>
      <c r="AJ56" s="59">
        <f ca="1"/>
        <v>0</v>
      </c>
      <c r="AK56" s="59">
        <f ca="1"/>
        <v>0</v>
      </c>
      <c r="AL56" s="59">
        <f ca="1"/>
        <v>0</v>
      </c>
      <c r="AM56" s="59">
        <f ca="1"/>
        <v>0</v>
      </c>
      <c r="AN56" s="59">
        <f ca="1"/>
        <v>0</v>
      </c>
      <c r="AO56" s="59">
        <f ca="1"/>
        <v>0</v>
      </c>
      <c r="AP56" s="59">
        <f ca="1"/>
        <v>0</v>
      </c>
      <c r="AQ56" s="59">
        <f ca="1"/>
        <v>0</v>
      </c>
      <c r="AR56" s="59">
        <f ca="1"/>
        <v>0</v>
      </c>
      <c r="AS56" s="59">
        <f ca="1"/>
        <v>0</v>
      </c>
      <c r="AT56" s="59">
        <f ca="1"/>
        <v>0</v>
      </c>
      <c r="AU56" s="59">
        <f ca="1"/>
        <v>0</v>
      </c>
      <c r="AV56" s="59">
        <f ca="1"/>
        <v>0</v>
      </c>
      <c r="AW56" s="59">
        <f ca="1"/>
        <v>0</v>
      </c>
      <c r="AX56" s="59">
        <f ca="1"/>
        <v>0</v>
      </c>
      <c r="AY56" s="59">
        <f ca="1"/>
        <v>0</v>
      </c>
      <c r="AZ56" s="59">
        <f ca="1"/>
        <v>0</v>
      </c>
      <c r="BA56" s="59"/>
      <c r="BS56" s="5">
        <f t="shared" si="0"/>
        <v>0</v>
      </c>
      <c r="BT56" s="5" t="str">
        <f t="shared" si="1"/>
        <v>2028V_Vorsorg1</v>
      </c>
      <c r="BU56">
        <v>2028</v>
      </c>
      <c r="BV56" t="s">
        <v>95</v>
      </c>
      <c r="BW56">
        <v>1</v>
      </c>
      <c r="CA56">
        <v>4945.2</v>
      </c>
      <c r="CD56" s="5" t="str">
        <f t="shared" ca="1" si="4"/>
        <v>Sheldon</v>
      </c>
      <c r="CE56" s="5" t="str">
        <f t="shared" ca="1" si="5"/>
        <v>Pensionskasse Caltec</v>
      </c>
      <c r="CF56" s="5" t="str">
        <f t="shared" ca="1" si="6"/>
        <v>Sheldon - Pensionskasse Caltec</v>
      </c>
      <c r="CG56" s="5"/>
    </row>
    <row r="57" spans="1:85" x14ac:dyDescent="0.25">
      <c r="A57" s="57" t="str">
        <f ca="1"/>
        <v>Neues Säule 3a Gefäss I</v>
      </c>
      <c r="B57" s="57">
        <f ca="1"/>
        <v>11</v>
      </c>
      <c r="C57" s="53" t="str">
        <f ca="1"/>
        <v>Sheldon</v>
      </c>
      <c r="D57" s="54">
        <f ca="1"/>
        <v>0.01</v>
      </c>
      <c r="E57" s="62">
        <f ca="1"/>
        <v>0</v>
      </c>
      <c r="F57" s="59">
        <f ca="1"/>
        <v>7056</v>
      </c>
      <c r="G57" s="59">
        <f ca="1"/>
        <v>14182.560000000001</v>
      </c>
      <c r="H57" s="59">
        <f ca="1"/>
        <v>14324.385600000001</v>
      </c>
      <c r="I57" s="59">
        <f ca="1"/>
        <v>0</v>
      </c>
      <c r="J57" s="59">
        <f ca="1"/>
        <v>0</v>
      </c>
      <c r="K57" s="59">
        <f ca="1"/>
        <v>0</v>
      </c>
      <c r="L57" s="59">
        <f ca="1"/>
        <v>0</v>
      </c>
      <c r="M57" s="59">
        <f ca="1"/>
        <v>0</v>
      </c>
      <c r="N57" s="59">
        <f ca="1"/>
        <v>0</v>
      </c>
      <c r="O57" s="59">
        <f ca="1"/>
        <v>0</v>
      </c>
      <c r="P57" s="59">
        <f ca="1"/>
        <v>0</v>
      </c>
      <c r="Q57" s="59">
        <f ca="1"/>
        <v>0</v>
      </c>
      <c r="R57" s="59">
        <f ca="1"/>
        <v>0</v>
      </c>
      <c r="S57" s="59">
        <f ca="1"/>
        <v>0</v>
      </c>
      <c r="T57" s="59">
        <f ca="1"/>
        <v>0</v>
      </c>
      <c r="U57" s="59">
        <f ca="1"/>
        <v>0</v>
      </c>
      <c r="V57" s="59">
        <f ca="1"/>
        <v>0</v>
      </c>
      <c r="W57" s="59">
        <f ca="1"/>
        <v>0</v>
      </c>
      <c r="X57" s="59">
        <f ca="1"/>
        <v>0</v>
      </c>
      <c r="Y57" s="59">
        <f ca="1"/>
        <v>0</v>
      </c>
      <c r="Z57" s="59">
        <f ca="1"/>
        <v>0</v>
      </c>
      <c r="AA57" s="59">
        <f ca="1"/>
        <v>0</v>
      </c>
      <c r="AB57" s="59">
        <f ca="1"/>
        <v>0</v>
      </c>
      <c r="AC57" s="59">
        <f ca="1"/>
        <v>0</v>
      </c>
      <c r="AD57" s="59">
        <f ca="1"/>
        <v>0</v>
      </c>
      <c r="AE57" s="59">
        <f ca="1"/>
        <v>0</v>
      </c>
      <c r="AF57" s="59">
        <f ca="1"/>
        <v>0</v>
      </c>
      <c r="AG57" s="59">
        <f ca="1"/>
        <v>0</v>
      </c>
      <c r="AH57" s="59">
        <f ca="1"/>
        <v>0</v>
      </c>
      <c r="AI57" s="59">
        <f ca="1"/>
        <v>0</v>
      </c>
      <c r="AJ57" s="59">
        <f ca="1"/>
        <v>0</v>
      </c>
      <c r="AK57" s="59">
        <f ca="1"/>
        <v>0</v>
      </c>
      <c r="AL57" s="59">
        <f ca="1"/>
        <v>0</v>
      </c>
      <c r="AM57" s="59">
        <f ca="1"/>
        <v>0</v>
      </c>
      <c r="AN57" s="59">
        <f ca="1"/>
        <v>0</v>
      </c>
      <c r="AO57" s="59">
        <f ca="1"/>
        <v>0</v>
      </c>
      <c r="AP57" s="59">
        <f ca="1"/>
        <v>0</v>
      </c>
      <c r="AQ57" s="59">
        <f ca="1"/>
        <v>0</v>
      </c>
      <c r="AR57" s="59">
        <f ca="1"/>
        <v>0</v>
      </c>
      <c r="AS57" s="59">
        <f ca="1"/>
        <v>0</v>
      </c>
      <c r="AT57" s="59">
        <f ca="1"/>
        <v>0</v>
      </c>
      <c r="AU57" s="59">
        <f ca="1"/>
        <v>0</v>
      </c>
      <c r="AV57" s="59">
        <f ca="1"/>
        <v>0</v>
      </c>
      <c r="AW57" s="59">
        <f ca="1"/>
        <v>0</v>
      </c>
      <c r="AX57" s="59">
        <f ca="1"/>
        <v>0</v>
      </c>
      <c r="AY57" s="59">
        <f ca="1"/>
        <v>0</v>
      </c>
      <c r="AZ57" s="59">
        <f ca="1"/>
        <v>0</v>
      </c>
      <c r="BA57" s="59"/>
      <c r="BS57" s="5">
        <f t="shared" si="0"/>
        <v>0</v>
      </c>
      <c r="BT57" s="5" t="str">
        <f t="shared" si="1"/>
        <v>2029V_Vorsorg1</v>
      </c>
      <c r="BU57">
        <v>2029</v>
      </c>
      <c r="BV57" t="s">
        <v>95</v>
      </c>
      <c r="BW57">
        <v>1</v>
      </c>
      <c r="CA57">
        <v>4945.2</v>
      </c>
      <c r="CD57" s="5" t="str">
        <f t="shared" ca="1" si="4"/>
        <v>Sheldon</v>
      </c>
      <c r="CE57" s="5" t="str">
        <f t="shared" ca="1" si="5"/>
        <v>Pensionskasse Caltec</v>
      </c>
      <c r="CF57" s="5" t="str">
        <f t="shared" ca="1" si="6"/>
        <v>Sheldon - Pensionskasse Caltec</v>
      </c>
      <c r="CG57" s="5"/>
    </row>
    <row r="58" spans="1:85" x14ac:dyDescent="0.25">
      <c r="A58" s="57" t="str">
        <f ca="1"/>
        <v>Neues Säule 3a Gefäss II</v>
      </c>
      <c r="B58" s="57">
        <f ca="1"/>
        <v>12</v>
      </c>
      <c r="C58" s="53" t="str">
        <f ca="1"/>
        <v>Sheldon</v>
      </c>
      <c r="D58" s="54">
        <f ca="1"/>
        <v>0.01</v>
      </c>
      <c r="E58" s="62">
        <f ca="1"/>
        <v>0</v>
      </c>
      <c r="F58" s="59">
        <f ca="1"/>
        <v>0</v>
      </c>
      <c r="G58" s="59">
        <f ca="1"/>
        <v>0</v>
      </c>
      <c r="H58" s="59">
        <f ca="1"/>
        <v>7056</v>
      </c>
      <c r="I58" s="59">
        <f ca="1"/>
        <v>14182.560000000001</v>
      </c>
      <c r="J58" s="59">
        <f ca="1"/>
        <v>21380.385600000001</v>
      </c>
      <c r="K58" s="59">
        <f ca="1"/>
        <v>21594.189456</v>
      </c>
      <c r="L58" s="59">
        <f ca="1"/>
        <v>28866.131350560001</v>
      </c>
      <c r="M58" s="59">
        <f ca="1"/>
        <v>29154.792664065601</v>
      </c>
      <c r="N58" s="59">
        <f ca="1"/>
        <v>0</v>
      </c>
      <c r="O58" s="59">
        <f ca="1"/>
        <v>0</v>
      </c>
      <c r="P58" s="59">
        <f ca="1"/>
        <v>0</v>
      </c>
      <c r="Q58" s="59">
        <f ca="1"/>
        <v>0</v>
      </c>
      <c r="R58" s="59">
        <f ca="1"/>
        <v>0</v>
      </c>
      <c r="S58" s="59">
        <f ca="1"/>
        <v>0</v>
      </c>
      <c r="T58" s="59">
        <f ca="1"/>
        <v>0</v>
      </c>
      <c r="U58" s="59">
        <f ca="1"/>
        <v>0</v>
      </c>
      <c r="V58" s="59">
        <f ca="1"/>
        <v>0</v>
      </c>
      <c r="W58" s="59">
        <f ca="1"/>
        <v>0</v>
      </c>
      <c r="X58" s="59">
        <f ca="1"/>
        <v>0</v>
      </c>
      <c r="Y58" s="59">
        <f ca="1"/>
        <v>0</v>
      </c>
      <c r="Z58" s="59">
        <f ca="1"/>
        <v>0</v>
      </c>
      <c r="AA58" s="59">
        <f ca="1"/>
        <v>0</v>
      </c>
      <c r="AB58" s="59">
        <f ca="1"/>
        <v>0</v>
      </c>
      <c r="AC58" s="59">
        <f ca="1"/>
        <v>0</v>
      </c>
      <c r="AD58" s="59">
        <f ca="1"/>
        <v>0</v>
      </c>
      <c r="AE58" s="59">
        <f ca="1"/>
        <v>0</v>
      </c>
      <c r="AF58" s="59">
        <f ca="1"/>
        <v>0</v>
      </c>
      <c r="AG58" s="59">
        <f ca="1"/>
        <v>0</v>
      </c>
      <c r="AH58" s="59">
        <f ca="1"/>
        <v>0</v>
      </c>
      <c r="AI58" s="59">
        <f ca="1"/>
        <v>0</v>
      </c>
      <c r="AJ58" s="59">
        <f ca="1"/>
        <v>0</v>
      </c>
      <c r="AK58" s="59">
        <f ca="1"/>
        <v>0</v>
      </c>
      <c r="AL58" s="59">
        <f ca="1"/>
        <v>0</v>
      </c>
      <c r="AM58" s="59">
        <f ca="1"/>
        <v>0</v>
      </c>
      <c r="AN58" s="59">
        <f ca="1"/>
        <v>0</v>
      </c>
      <c r="AO58" s="59">
        <f ca="1"/>
        <v>0</v>
      </c>
      <c r="AP58" s="59">
        <f ca="1"/>
        <v>0</v>
      </c>
      <c r="AQ58" s="59">
        <f ca="1"/>
        <v>0</v>
      </c>
      <c r="AR58" s="59">
        <f ca="1"/>
        <v>0</v>
      </c>
      <c r="AS58" s="59">
        <f ca="1"/>
        <v>0</v>
      </c>
      <c r="AT58" s="59">
        <f ca="1"/>
        <v>0</v>
      </c>
      <c r="AU58" s="59">
        <f ca="1"/>
        <v>0</v>
      </c>
      <c r="AV58" s="59">
        <f ca="1"/>
        <v>0</v>
      </c>
      <c r="AW58" s="59">
        <f ca="1"/>
        <v>0</v>
      </c>
      <c r="AX58" s="59">
        <f ca="1"/>
        <v>0</v>
      </c>
      <c r="AY58" s="59">
        <f ca="1"/>
        <v>0</v>
      </c>
      <c r="AZ58" s="59">
        <f ca="1"/>
        <v>0</v>
      </c>
      <c r="BA58" s="59"/>
      <c r="BS58" s="5">
        <f t="shared" si="0"/>
        <v>0</v>
      </c>
      <c r="BT58" s="5" t="str">
        <f t="shared" si="1"/>
        <v>2030V_Vorsorg1</v>
      </c>
      <c r="BU58">
        <v>2030</v>
      </c>
      <c r="BV58" t="s">
        <v>95</v>
      </c>
      <c r="BW58">
        <v>1</v>
      </c>
      <c r="BX58">
        <v>1</v>
      </c>
      <c r="BY58" s="12">
        <v>0</v>
      </c>
      <c r="CA58">
        <f>4945.2*9/12</f>
        <v>3708.8999999999996</v>
      </c>
      <c r="CB58" t="s">
        <v>252</v>
      </c>
      <c r="CC58">
        <v>1</v>
      </c>
      <c r="CD58" s="5" t="str">
        <f t="shared" ca="1" si="4"/>
        <v>Sheldon</v>
      </c>
      <c r="CE58" s="5" t="str">
        <f t="shared" ca="1" si="5"/>
        <v>Pensionskasse Caltec</v>
      </c>
      <c r="CF58" s="5" t="str">
        <f t="shared" ca="1" si="6"/>
        <v>Sheldon - Pensionskasse Caltec - Pensionierung, 100% Rentenbezug</v>
      </c>
      <c r="CG58" s="5"/>
    </row>
    <row r="59" spans="1:85" x14ac:dyDescent="0.25">
      <c r="A59" s="57" t="str">
        <f ca="1"/>
        <v>Neues Säule 3a Gefäss III</v>
      </c>
      <c r="B59" s="57">
        <f ca="1"/>
        <v>13</v>
      </c>
      <c r="C59" s="53" t="str">
        <f ca="1"/>
        <v>Sheldon</v>
      </c>
      <c r="D59" s="54">
        <f ca="1"/>
        <v>0.01</v>
      </c>
      <c r="E59" s="62">
        <f ca="1"/>
        <v>0</v>
      </c>
      <c r="F59" s="59">
        <f ca="1"/>
        <v>0</v>
      </c>
      <c r="G59" s="59">
        <f ca="1"/>
        <v>0</v>
      </c>
      <c r="H59" s="59">
        <f ca="1"/>
        <v>0</v>
      </c>
      <c r="I59" s="59">
        <f ca="1"/>
        <v>0</v>
      </c>
      <c r="J59" s="59">
        <f ca="1"/>
        <v>0</v>
      </c>
      <c r="K59" s="59">
        <f ca="1"/>
        <v>7056</v>
      </c>
      <c r="L59" s="59">
        <f ca="1"/>
        <v>0</v>
      </c>
      <c r="M59" s="59">
        <f ca="1"/>
        <v>0</v>
      </c>
      <c r="N59" s="59">
        <f ca="1"/>
        <v>0</v>
      </c>
      <c r="O59" s="59">
        <f ca="1"/>
        <v>0</v>
      </c>
      <c r="P59" s="59">
        <f ca="1"/>
        <v>0</v>
      </c>
      <c r="Q59" s="59">
        <f ca="1"/>
        <v>0</v>
      </c>
      <c r="R59" s="59">
        <f ca="1"/>
        <v>0</v>
      </c>
      <c r="S59" s="59">
        <f ca="1"/>
        <v>0</v>
      </c>
      <c r="T59" s="59">
        <f ca="1"/>
        <v>0</v>
      </c>
      <c r="U59" s="59">
        <f ca="1"/>
        <v>0</v>
      </c>
      <c r="V59" s="59">
        <f ca="1"/>
        <v>0</v>
      </c>
      <c r="W59" s="59">
        <f ca="1"/>
        <v>0</v>
      </c>
      <c r="X59" s="59">
        <f ca="1"/>
        <v>0</v>
      </c>
      <c r="Y59" s="59">
        <f ca="1"/>
        <v>0</v>
      </c>
      <c r="Z59" s="59">
        <f ca="1"/>
        <v>0</v>
      </c>
      <c r="AA59" s="59">
        <f ca="1"/>
        <v>0</v>
      </c>
      <c r="AB59" s="59">
        <f ca="1"/>
        <v>0</v>
      </c>
      <c r="AC59" s="59">
        <f ca="1"/>
        <v>0</v>
      </c>
      <c r="AD59" s="59">
        <f ca="1"/>
        <v>0</v>
      </c>
      <c r="AE59" s="59">
        <f ca="1"/>
        <v>0</v>
      </c>
      <c r="AF59" s="59">
        <f ca="1"/>
        <v>0</v>
      </c>
      <c r="AG59" s="59">
        <f ca="1"/>
        <v>0</v>
      </c>
      <c r="AH59" s="59">
        <f ca="1"/>
        <v>0</v>
      </c>
      <c r="AI59" s="59">
        <f ca="1"/>
        <v>0</v>
      </c>
      <c r="AJ59" s="59">
        <f ca="1"/>
        <v>0</v>
      </c>
      <c r="AK59" s="59">
        <f ca="1"/>
        <v>0</v>
      </c>
      <c r="AL59" s="59">
        <f ca="1"/>
        <v>0</v>
      </c>
      <c r="AM59" s="59">
        <f ca="1"/>
        <v>0</v>
      </c>
      <c r="AN59" s="59">
        <f ca="1"/>
        <v>0</v>
      </c>
      <c r="AO59" s="59">
        <f ca="1"/>
        <v>0</v>
      </c>
      <c r="AP59" s="59">
        <f ca="1"/>
        <v>0</v>
      </c>
      <c r="AQ59" s="59">
        <f ca="1"/>
        <v>0</v>
      </c>
      <c r="AR59" s="59">
        <f ca="1"/>
        <v>0</v>
      </c>
      <c r="AS59" s="59">
        <f ca="1"/>
        <v>0</v>
      </c>
      <c r="AT59" s="59">
        <f ca="1"/>
        <v>0</v>
      </c>
      <c r="AU59" s="59">
        <f ca="1"/>
        <v>0</v>
      </c>
      <c r="AV59" s="59">
        <f ca="1"/>
        <v>0</v>
      </c>
      <c r="AW59" s="59">
        <f ca="1"/>
        <v>0</v>
      </c>
      <c r="AX59" s="59">
        <f ca="1"/>
        <v>0</v>
      </c>
      <c r="AY59" s="59">
        <f ca="1"/>
        <v>0</v>
      </c>
      <c r="AZ59" s="59">
        <f ca="1"/>
        <v>0</v>
      </c>
      <c r="BA59" s="59"/>
      <c r="BS59" s="5">
        <f t="shared" si="0"/>
        <v>1</v>
      </c>
      <c r="BT59" s="5" t="str">
        <f t="shared" si="1"/>
        <v>2030E_Erwerb8</v>
      </c>
      <c r="BU59">
        <v>2030</v>
      </c>
      <c r="BV59" t="s">
        <v>74</v>
      </c>
      <c r="BW59">
        <v>8</v>
      </c>
      <c r="BX59">
        <v>1</v>
      </c>
      <c r="BY59" s="12">
        <f>12408*0.25</f>
        <v>3102</v>
      </c>
      <c r="CD59" s="5" t="str">
        <f t="shared" ca="1" si="4"/>
        <v>Sheldon</v>
      </c>
      <c r="CE59" s="5" t="str">
        <f t="shared" ca="1" si="5"/>
        <v>Rente aus Pensionskasse</v>
      </c>
      <c r="CF59" s="5" t="str">
        <f t="shared" ca="1" si="6"/>
        <v>Sheldon - Rente aus Pensionskasse</v>
      </c>
      <c r="CG59" s="5"/>
    </row>
    <row r="60" spans="1:85" hidden="1" x14ac:dyDescent="0.25">
      <c r="A60" s="57"/>
      <c r="B60" s="57"/>
      <c r="C60" s="53"/>
      <c r="D60" s="54"/>
      <c r="E60" s="62"/>
      <c r="F60" s="59"/>
      <c r="G60" s="59"/>
      <c r="H60" s="59"/>
      <c r="I60" s="59"/>
      <c r="J60" s="59"/>
      <c r="K60" s="59"/>
      <c r="L60" s="59"/>
      <c r="M60" s="59"/>
      <c r="N60" s="59"/>
      <c r="O60" s="59"/>
      <c r="P60" s="59"/>
      <c r="Q60" s="59"/>
      <c r="R60" s="59"/>
      <c r="S60" s="59"/>
      <c r="T60" s="59"/>
      <c r="U60" s="59"/>
      <c r="V60" s="59"/>
      <c r="W60" s="59"/>
      <c r="X60" s="59"/>
      <c r="Y60" s="59"/>
      <c r="Z60" s="59"/>
      <c r="AA60" s="59"/>
      <c r="AB60" s="59"/>
      <c r="AC60" s="59"/>
      <c r="AD60" s="59"/>
      <c r="AE60" s="59"/>
      <c r="AF60" s="59"/>
      <c r="AG60" s="59"/>
      <c r="AH60" s="59"/>
      <c r="AI60" s="59"/>
      <c r="AJ60" s="59"/>
      <c r="AK60" s="59"/>
      <c r="AL60" s="59"/>
      <c r="AM60" s="59"/>
      <c r="AN60" s="59"/>
      <c r="AO60" s="59"/>
      <c r="AP60" s="59"/>
      <c r="AQ60" s="59"/>
      <c r="AR60" s="59"/>
      <c r="AS60" s="59"/>
      <c r="AT60" s="59"/>
      <c r="AU60" s="59"/>
      <c r="AV60" s="59"/>
      <c r="AW60" s="59"/>
      <c r="AX60" s="59"/>
      <c r="AY60" s="59"/>
      <c r="AZ60" s="59"/>
      <c r="BA60" s="59"/>
      <c r="BS60" s="5">
        <f t="shared" si="0"/>
        <v>1</v>
      </c>
      <c r="BT60" s="5" t="str">
        <f t="shared" si="1"/>
        <v>2030E_Erwerb8</v>
      </c>
      <c r="BU60">
        <v>2030</v>
      </c>
      <c r="BV60" t="s">
        <v>74</v>
      </c>
      <c r="BW60">
        <v>8</v>
      </c>
      <c r="BX60">
        <v>1</v>
      </c>
      <c r="BY60" s="12">
        <v>12408</v>
      </c>
      <c r="CD60" s="5" t="str">
        <f t="shared" ca="1" si="4"/>
        <v>Sheldon</v>
      </c>
      <c r="CE60" s="5" t="str">
        <f t="shared" ca="1" si="5"/>
        <v>Rente aus Pensionskasse</v>
      </c>
      <c r="CF60" s="5" t="str">
        <f t="shared" ca="1" si="6"/>
        <v>Sheldon - Rente aus Pensionskasse</v>
      </c>
      <c r="CG60" s="5"/>
    </row>
    <row r="61" spans="1:85" hidden="1" x14ac:dyDescent="0.25">
      <c r="A61" s="57"/>
      <c r="B61" s="57"/>
      <c r="C61" s="53"/>
      <c r="D61" s="54"/>
      <c r="E61" s="62"/>
      <c r="F61" s="59"/>
      <c r="G61" s="59"/>
      <c r="H61" s="59"/>
      <c r="I61" s="59"/>
      <c r="J61" s="59"/>
      <c r="K61" s="59"/>
      <c r="L61" s="59"/>
      <c r="M61" s="59"/>
      <c r="N61" s="59"/>
      <c r="O61" s="59"/>
      <c r="P61" s="59"/>
      <c r="Q61" s="59"/>
      <c r="R61" s="59"/>
      <c r="S61" s="59"/>
      <c r="T61" s="59"/>
      <c r="U61" s="59"/>
      <c r="V61" s="59"/>
      <c r="W61" s="59"/>
      <c r="X61" s="59"/>
      <c r="Y61" s="59"/>
      <c r="Z61" s="59"/>
      <c r="AA61" s="59"/>
      <c r="AB61" s="59"/>
      <c r="AC61" s="59"/>
      <c r="AD61" s="59"/>
      <c r="AE61" s="59"/>
      <c r="AF61" s="59"/>
      <c r="AG61" s="59"/>
      <c r="AH61" s="59"/>
      <c r="AI61" s="59"/>
      <c r="AJ61" s="59"/>
      <c r="AK61" s="59"/>
      <c r="AL61" s="59"/>
      <c r="AM61" s="59"/>
      <c r="AN61" s="59"/>
      <c r="AO61" s="59"/>
      <c r="AP61" s="59"/>
      <c r="AQ61" s="59"/>
      <c r="AR61" s="59"/>
      <c r="AS61" s="59"/>
      <c r="AT61" s="59"/>
      <c r="AU61" s="59"/>
      <c r="AV61" s="59"/>
      <c r="AW61" s="59"/>
      <c r="AX61" s="59"/>
      <c r="AY61" s="59"/>
      <c r="AZ61" s="59"/>
      <c r="BA61" s="59"/>
      <c r="BS61" s="5">
        <f t="shared" si="0"/>
        <v>0</v>
      </c>
      <c r="BT61" s="5" t="str">
        <f t="shared" si="1"/>
        <v>2024V_Vorsorg11</v>
      </c>
      <c r="BU61">
        <v>2024</v>
      </c>
      <c r="BV61" t="s">
        <v>95</v>
      </c>
      <c r="BW61">
        <v>11</v>
      </c>
      <c r="BX61">
        <v>0</v>
      </c>
      <c r="CA61">
        <v>7056</v>
      </c>
      <c r="CB61" t="s">
        <v>254</v>
      </c>
      <c r="CC61">
        <v>1</v>
      </c>
      <c r="CD61" s="5" t="str">
        <f t="shared" ca="1" si="4"/>
        <v>Sheldon</v>
      </c>
      <c r="CE61" s="5" t="str">
        <f t="shared" ca="1" si="5"/>
        <v>Neues Säule 3a Gefäss I</v>
      </c>
      <c r="CF61" s="5" t="str">
        <f t="shared" ca="1" si="6"/>
        <v>Sheldon - Neues Säule 3a Gefäss I - Eröffnung neues Säule 3a Gefäss und Einzahlung Maximalbetrag</v>
      </c>
      <c r="CG61" s="5"/>
    </row>
    <row r="62" spans="1:85" hidden="1" x14ac:dyDescent="0.25">
      <c r="A62" s="57"/>
      <c r="B62" s="57"/>
      <c r="C62" s="53"/>
      <c r="D62" s="54"/>
      <c r="E62" s="62"/>
      <c r="F62" s="59"/>
      <c r="G62" s="59"/>
      <c r="H62" s="59"/>
      <c r="I62" s="59"/>
      <c r="J62" s="59"/>
      <c r="K62" s="59"/>
      <c r="L62" s="59"/>
      <c r="M62" s="59"/>
      <c r="N62" s="59"/>
      <c r="O62" s="59"/>
      <c r="P62" s="59"/>
      <c r="Q62" s="59"/>
      <c r="R62" s="59"/>
      <c r="S62" s="59"/>
      <c r="T62" s="59"/>
      <c r="U62" s="59"/>
      <c r="V62" s="59"/>
      <c r="W62" s="59"/>
      <c r="X62" s="59"/>
      <c r="Y62" s="59"/>
      <c r="Z62" s="59"/>
      <c r="AA62" s="59"/>
      <c r="AB62" s="59"/>
      <c r="AC62" s="59"/>
      <c r="AD62" s="59"/>
      <c r="AE62" s="59"/>
      <c r="AF62" s="59"/>
      <c r="AG62" s="59"/>
      <c r="AH62" s="59"/>
      <c r="AI62" s="59"/>
      <c r="AJ62" s="59"/>
      <c r="AK62" s="59"/>
      <c r="AL62" s="59"/>
      <c r="AM62" s="59"/>
      <c r="AN62" s="59"/>
      <c r="AO62" s="59"/>
      <c r="AP62" s="59"/>
      <c r="AQ62" s="59"/>
      <c r="AR62" s="59"/>
      <c r="AS62" s="59"/>
      <c r="AT62" s="59"/>
      <c r="AU62" s="59"/>
      <c r="AV62" s="59"/>
      <c r="AW62" s="59"/>
      <c r="AX62" s="59"/>
      <c r="AY62" s="59"/>
      <c r="AZ62" s="59"/>
      <c r="BA62" s="59"/>
      <c r="BS62" s="5">
        <f t="shared" si="0"/>
        <v>0</v>
      </c>
      <c r="BT62" s="5" t="str">
        <f t="shared" si="1"/>
        <v>2025V_Vorsorg11</v>
      </c>
      <c r="BU62">
        <v>2025</v>
      </c>
      <c r="BV62" t="s">
        <v>95</v>
      </c>
      <c r="BW62">
        <v>11</v>
      </c>
      <c r="BX62">
        <v>0</v>
      </c>
      <c r="CA62">
        <v>7056</v>
      </c>
      <c r="CB62" t="s">
        <v>243</v>
      </c>
      <c r="CC62">
        <v>1</v>
      </c>
      <c r="CD62" s="5" t="str">
        <f t="shared" ca="1" si="4"/>
        <v>Sheldon</v>
      </c>
      <c r="CE62" s="5" t="str">
        <f t="shared" ca="1" si="5"/>
        <v>Neues Säule 3a Gefäss I</v>
      </c>
      <c r="CF62" s="5" t="str">
        <f t="shared" ca="1" si="6"/>
        <v>Sheldon - Neues Säule 3a Gefäss I - Einzahlung Maximalbetrag</v>
      </c>
      <c r="CG62" s="5"/>
    </row>
    <row r="63" spans="1:85" hidden="1" x14ac:dyDescent="0.25">
      <c r="A63" s="57"/>
      <c r="B63" s="57"/>
      <c r="C63" s="53"/>
      <c r="D63" s="54"/>
      <c r="E63" s="62"/>
      <c r="F63" s="59"/>
      <c r="G63" s="59"/>
      <c r="H63" s="59"/>
      <c r="I63" s="59"/>
      <c r="J63" s="59"/>
      <c r="K63" s="59"/>
      <c r="L63" s="59"/>
      <c r="M63" s="59"/>
      <c r="N63" s="59"/>
      <c r="O63" s="59"/>
      <c r="P63" s="59"/>
      <c r="Q63" s="59"/>
      <c r="R63" s="59"/>
      <c r="S63" s="59"/>
      <c r="T63" s="59"/>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S63" s="5">
        <f t="shared" si="0"/>
        <v>0</v>
      </c>
      <c r="BT63" s="5" t="str">
        <f t="shared" si="1"/>
        <v>2026V_Vorsorg12</v>
      </c>
      <c r="BU63">
        <v>2026</v>
      </c>
      <c r="BV63" t="s">
        <v>95</v>
      </c>
      <c r="BW63">
        <v>12</v>
      </c>
      <c r="CA63">
        <v>7056</v>
      </c>
      <c r="CB63" t="s">
        <v>254</v>
      </c>
      <c r="CC63">
        <v>1</v>
      </c>
      <c r="CD63" s="5" t="str">
        <f t="shared" ca="1" si="4"/>
        <v>Sheldon</v>
      </c>
      <c r="CE63" s="5" t="str">
        <f t="shared" ca="1" si="5"/>
        <v>Neues Säule 3a Gefäss II</v>
      </c>
      <c r="CF63" s="5" t="str">
        <f t="shared" ca="1" si="6"/>
        <v>Sheldon - Neues Säule 3a Gefäss II - Eröffnung neues Säule 3a Gefäss und Einzahlung Maximalbetrag</v>
      </c>
      <c r="CG63" s="5"/>
    </row>
    <row r="64" spans="1:85" hidden="1" x14ac:dyDescent="0.25">
      <c r="A64" s="57"/>
      <c r="B64" s="57"/>
      <c r="C64" s="53"/>
      <c r="D64" s="54"/>
      <c r="E64" s="63"/>
      <c r="F64" s="59"/>
      <c r="G64" s="59"/>
      <c r="H64" s="59"/>
      <c r="I64" s="59"/>
      <c r="J64" s="59"/>
      <c r="K64" s="59"/>
      <c r="L64" s="59"/>
      <c r="M64" s="59"/>
      <c r="N64" s="59"/>
      <c r="O64" s="59"/>
      <c r="P64" s="59"/>
      <c r="Q64" s="59"/>
      <c r="R64" s="59"/>
      <c r="S64" s="59"/>
      <c r="T64" s="59"/>
      <c r="U64" s="59"/>
      <c r="V64" s="59"/>
      <c r="W64" s="59"/>
      <c r="X64" s="59"/>
      <c r="Y64" s="59"/>
      <c r="Z64" s="59"/>
      <c r="AA64" s="59"/>
      <c r="AB64" s="59"/>
      <c r="AC64" s="59"/>
      <c r="AD64" s="59"/>
      <c r="AE64" s="59"/>
      <c r="AF64" s="59"/>
      <c r="AG64" s="59"/>
      <c r="AH64" s="59"/>
      <c r="AI64" s="59"/>
      <c r="AJ64" s="59"/>
      <c r="AK64" s="59"/>
      <c r="AL64" s="59"/>
      <c r="AM64" s="59"/>
      <c r="AN64" s="59"/>
      <c r="AO64" s="59"/>
      <c r="AP64" s="59"/>
      <c r="AQ64" s="59"/>
      <c r="AR64" s="59"/>
      <c r="AS64" s="59"/>
      <c r="AT64" s="59"/>
      <c r="AU64" s="59"/>
      <c r="AV64" s="59"/>
      <c r="AW64" s="59"/>
      <c r="AX64" s="59"/>
      <c r="AY64" s="59"/>
      <c r="AZ64" s="59"/>
      <c r="BA64" s="59"/>
      <c r="BS64" s="5">
        <f t="shared" si="0"/>
        <v>0</v>
      </c>
      <c r="BT64" s="5" t="str">
        <f t="shared" si="1"/>
        <v>2027V_Vorsorg12</v>
      </c>
      <c r="BU64">
        <v>2027</v>
      </c>
      <c r="BV64" t="s">
        <v>95</v>
      </c>
      <c r="BW64">
        <v>12</v>
      </c>
      <c r="CA64">
        <v>7056</v>
      </c>
      <c r="CB64" t="s">
        <v>243</v>
      </c>
      <c r="CC64">
        <v>1</v>
      </c>
      <c r="CD64" s="5" t="str">
        <f t="shared" ca="1" si="4"/>
        <v>Sheldon</v>
      </c>
      <c r="CE64" s="5" t="str">
        <f t="shared" ca="1" si="5"/>
        <v>Neues Säule 3a Gefäss II</v>
      </c>
      <c r="CF64" s="5" t="str">
        <f t="shared" ca="1" si="6"/>
        <v>Sheldon - Neues Säule 3a Gefäss II - Einzahlung Maximalbetrag</v>
      </c>
      <c r="CG64" s="5"/>
    </row>
    <row r="65" spans="1:85" ht="27.6" customHeight="1" x14ac:dyDescent="0.25">
      <c r="A65" s="56" t="s">
        <v>60</v>
      </c>
      <c r="B65" s="57" t="s">
        <v>97</v>
      </c>
      <c r="C65" s="53"/>
      <c r="D65" s="54"/>
      <c r="E65" s="64">
        <f ca="1">SUM(E66:E69)</f>
        <v>1350000</v>
      </c>
      <c r="F65" s="58">
        <f ca="1">SUM(F66:F69)</f>
        <v>1350000</v>
      </c>
      <c r="G65" s="58">
        <f t="shared" ref="G65:BA65" ca="1" si="22">SUM(G66:G69)</f>
        <v>1350000</v>
      </c>
      <c r="H65" s="58">
        <f t="shared" ca="1" si="22"/>
        <v>1350000</v>
      </c>
      <c r="I65" s="58">
        <f t="shared" ca="1" si="22"/>
        <v>1350000</v>
      </c>
      <c r="J65" s="58">
        <f t="shared" ca="1" si="22"/>
        <v>1350000</v>
      </c>
      <c r="K65" s="58">
        <f t="shared" ca="1" si="22"/>
        <v>1350000</v>
      </c>
      <c r="L65" s="58">
        <f t="shared" ca="1" si="22"/>
        <v>1350000</v>
      </c>
      <c r="M65" s="58">
        <f t="shared" ca="1" si="22"/>
        <v>1350000</v>
      </c>
      <c r="N65" s="58">
        <f t="shared" ca="1" si="22"/>
        <v>1350000</v>
      </c>
      <c r="O65" s="58">
        <f t="shared" ca="1" si="22"/>
        <v>1350000</v>
      </c>
      <c r="P65" s="58">
        <f t="shared" ca="1" si="22"/>
        <v>1350000</v>
      </c>
      <c r="Q65" s="58">
        <f t="shared" ca="1" si="22"/>
        <v>1350000</v>
      </c>
      <c r="R65" s="58">
        <f t="shared" ca="1" si="22"/>
        <v>1350000</v>
      </c>
      <c r="S65" s="58">
        <f t="shared" ca="1" si="22"/>
        <v>1350000</v>
      </c>
      <c r="T65" s="58">
        <f t="shared" ca="1" si="22"/>
        <v>1350000</v>
      </c>
      <c r="U65" s="58">
        <f t="shared" ca="1" si="22"/>
        <v>1350000</v>
      </c>
      <c r="V65" s="58">
        <f t="shared" ca="1" si="22"/>
        <v>1350000</v>
      </c>
      <c r="W65" s="58">
        <f t="shared" ca="1" si="22"/>
        <v>1350000</v>
      </c>
      <c r="X65" s="58">
        <f t="shared" ca="1" si="22"/>
        <v>1350000</v>
      </c>
      <c r="Y65" s="58">
        <f t="shared" ca="1" si="22"/>
        <v>1350000</v>
      </c>
      <c r="Z65" s="58">
        <f t="shared" ca="1" si="22"/>
        <v>1350000</v>
      </c>
      <c r="AA65" s="58">
        <f t="shared" ca="1" si="22"/>
        <v>1350000</v>
      </c>
      <c r="AB65" s="58">
        <f t="shared" ca="1" si="22"/>
        <v>1350000</v>
      </c>
      <c r="AC65" s="58">
        <f t="shared" ca="1" si="22"/>
        <v>1350000</v>
      </c>
      <c r="AD65" s="58">
        <f t="shared" ca="1" si="22"/>
        <v>1350000</v>
      </c>
      <c r="AE65" s="58">
        <f t="shared" ca="1" si="22"/>
        <v>1350000</v>
      </c>
      <c r="AF65" s="58">
        <f t="shared" ca="1" si="22"/>
        <v>1350000</v>
      </c>
      <c r="AG65" s="58">
        <f t="shared" ca="1" si="22"/>
        <v>1350000</v>
      </c>
      <c r="AH65" s="58">
        <f t="shared" ca="1" si="22"/>
        <v>1350000</v>
      </c>
      <c r="AI65" s="58">
        <f t="shared" ca="1" si="22"/>
        <v>1350000</v>
      </c>
      <c r="AJ65" s="58">
        <f t="shared" ca="1" si="22"/>
        <v>1350000</v>
      </c>
      <c r="AK65" s="58">
        <f t="shared" ca="1" si="22"/>
        <v>1350000</v>
      </c>
      <c r="AL65" s="58">
        <f t="shared" ca="1" si="22"/>
        <v>1350000</v>
      </c>
      <c r="AM65" s="58">
        <f t="shared" ca="1" si="22"/>
        <v>1350000</v>
      </c>
      <c r="AN65" s="58">
        <f t="shared" ca="1" si="22"/>
        <v>1350000</v>
      </c>
      <c r="AO65" s="58">
        <f t="shared" ca="1" si="22"/>
        <v>1350000</v>
      </c>
      <c r="AP65" s="58">
        <f t="shared" ca="1" si="22"/>
        <v>1350000</v>
      </c>
      <c r="AQ65" s="58">
        <f t="shared" ca="1" si="22"/>
        <v>1350000</v>
      </c>
      <c r="AR65" s="58">
        <f t="shared" ca="1" si="22"/>
        <v>1350000</v>
      </c>
      <c r="AS65" s="58">
        <f t="shared" ca="1" si="22"/>
        <v>1350000</v>
      </c>
      <c r="AT65" s="58">
        <f t="shared" ca="1" si="22"/>
        <v>1350000</v>
      </c>
      <c r="AU65" s="58">
        <f t="shared" ca="1" si="22"/>
        <v>1350000</v>
      </c>
      <c r="AV65" s="58">
        <f t="shared" ca="1" si="22"/>
        <v>1350000</v>
      </c>
      <c r="AW65" s="58">
        <f t="shared" ca="1" si="22"/>
        <v>1350000</v>
      </c>
      <c r="AX65" s="58">
        <f t="shared" ca="1" si="22"/>
        <v>1350000</v>
      </c>
      <c r="AY65" s="58">
        <f t="shared" ca="1" si="22"/>
        <v>1350000</v>
      </c>
      <c r="AZ65" s="58">
        <f t="shared" ca="1" si="22"/>
        <v>1350000</v>
      </c>
      <c r="BA65" s="58">
        <f t="shared" ca="1" si="22"/>
        <v>1350000</v>
      </c>
      <c r="BS65" s="5">
        <f t="shared" si="0"/>
        <v>0</v>
      </c>
      <c r="BT65" s="5" t="str">
        <f t="shared" si="1"/>
        <v>2028V_Vorsorg12</v>
      </c>
      <c r="BU65">
        <v>2028</v>
      </c>
      <c r="BV65" t="s">
        <v>95</v>
      </c>
      <c r="BW65">
        <v>12</v>
      </c>
      <c r="CA65">
        <v>7056</v>
      </c>
      <c r="CB65" t="s">
        <v>243</v>
      </c>
      <c r="CC65">
        <v>1</v>
      </c>
      <c r="CD65" s="5" t="str">
        <f t="shared" ca="1" si="4"/>
        <v>Sheldon</v>
      </c>
      <c r="CE65" s="5" t="str">
        <f t="shared" ca="1" si="5"/>
        <v>Neues Säule 3a Gefäss II</v>
      </c>
      <c r="CF65" s="5" t="str">
        <f t="shared" ca="1" si="6"/>
        <v>Sheldon - Neues Säule 3a Gefäss II - Einzahlung Maximalbetrag</v>
      </c>
      <c r="CG65" s="5"/>
    </row>
    <row r="66" spans="1:85" x14ac:dyDescent="0.25">
      <c r="A66" s="57" t="str" cm="1">
        <f t="array" aca="1" ref="A66:A67" ca="1">INDIRECT($B65&amp;"[Titel]")</f>
        <v>Liegenschaft in New York</v>
      </c>
      <c r="B66" s="57" cm="1">
        <f t="array" aca="1" ref="B66:B67" ca="1">INDIRECT($B65&amp;"[Id]")</f>
        <v>2</v>
      </c>
      <c r="C66" s="53" t="str" cm="1">
        <f t="array" aca="1" ref="C66:C67" ca="1">INDIRECT($B65&amp;"[Zugehörigkeit Bezeichnung]")</f>
        <v>Amy</v>
      </c>
      <c r="D66" s="54" cm="1">
        <f t="array" aca="1" ref="D66:D67" ca="1">INDIRECT($B65&amp;"[Rendite / Zins]")</f>
        <v>0</v>
      </c>
      <c r="E66" s="62" cm="1">
        <f t="array" aca="1" ref="E66:E67" ca="1">INDIRECT($B65&amp;"[Betrag]")</f>
        <v>700000</v>
      </c>
      <c r="F66" s="59" cm="1">
        <f t="array" aca="1" ref="F66:F67" ca="1">_xlfn.SWITCH(IFERROR(VLOOKUP(F$3&amp;$B$65&amp;_xlfn.ANCHORARRAY($B66),$BT:$CA,5,0),0),
0,_xlfn.ANCHORARRAY(E66)*(1+_xlfn.ANCHORARRAY($D66))+SUMIF($BT:$BT,F$3&amp;$B$65&amp;_xlfn.ANCHORARRAY($B66),$CA:$CA),
1,VLOOKUP(F$3&amp;$B$65&amp;_xlfn.ANCHORARRAY($B66),$BT:$CA,6,0),
2,_xlfn.ANCHORARRAY(E66)*(1+_xlfn.ANCHORARRAY($D66))*VLOOKUP(F$3&amp;$B$65&amp;_xlfn.ANCHORARRAY($B66),$BT:$CA,7,0))</f>
        <v>700000</v>
      </c>
      <c r="G66" s="59" cm="1">
        <f t="array" aca="1" ref="G66:G67" ca="1">_xlfn.SWITCH(IFERROR(VLOOKUP(G$3&amp;$B$65&amp;_xlfn.ANCHORARRAY($B66),$BT:$CA,5,0),0),
0,_xlfn.ANCHORARRAY(F66)*(1+_xlfn.ANCHORARRAY($D66))+SUMIF($BT:$BT,G$3&amp;$B$65&amp;_xlfn.ANCHORARRAY($B66),$CA:$CA),
1,VLOOKUP(G$3&amp;$B$65&amp;_xlfn.ANCHORARRAY($B66),$BT:$CA,6,0),
2,_xlfn.ANCHORARRAY(F66)*(1+_xlfn.ANCHORARRAY($D66))*VLOOKUP(G$3&amp;$B$65&amp;_xlfn.ANCHORARRAY($B66),$BT:$CA,7,0))</f>
        <v>700000</v>
      </c>
      <c r="H66" s="59" cm="1">
        <f t="array" aca="1" ref="H66:H67" ca="1">_xlfn.SWITCH(IFERROR(VLOOKUP(H$3&amp;$B$65&amp;_xlfn.ANCHORARRAY($B66),$BT:$CA,5,0),0),
0,_xlfn.ANCHORARRAY(G66)*(1+_xlfn.ANCHORARRAY($D66))+SUMIF($BT:$BT,H$3&amp;$B$65&amp;_xlfn.ANCHORARRAY($B66),$CA:$CA),
1,VLOOKUP(H$3&amp;$B$65&amp;_xlfn.ANCHORARRAY($B66),$BT:$CA,6,0),
2,_xlfn.ANCHORARRAY(G66)*(1+_xlfn.ANCHORARRAY($D66))*VLOOKUP(H$3&amp;$B$65&amp;_xlfn.ANCHORARRAY($B66),$BT:$CA,7,0))</f>
        <v>700000</v>
      </c>
      <c r="I66" s="59" cm="1">
        <f t="array" aca="1" ref="I66:I67" ca="1">_xlfn.SWITCH(IFERROR(VLOOKUP(I$3&amp;$B$65&amp;_xlfn.ANCHORARRAY($B66),$BT:$CA,5,0),0),
0,_xlfn.ANCHORARRAY(H66)*(1+_xlfn.ANCHORARRAY($D66))+SUMIF($BT:$BT,I$3&amp;$B$65&amp;_xlfn.ANCHORARRAY($B66),$CA:$CA),
1,VLOOKUP(I$3&amp;$B$65&amp;_xlfn.ANCHORARRAY($B66),$BT:$CA,6,0),
2,_xlfn.ANCHORARRAY(H66)*(1+_xlfn.ANCHORARRAY($D66))*VLOOKUP(I$3&amp;$B$65&amp;_xlfn.ANCHORARRAY($B66),$BT:$CA,7,0))</f>
        <v>700000</v>
      </c>
      <c r="J66" s="59" cm="1">
        <f t="array" aca="1" ref="J66:J67" ca="1">_xlfn.SWITCH(IFERROR(VLOOKUP(J$3&amp;$B$65&amp;_xlfn.ANCHORARRAY($B66),$BT:$CA,5,0),0),
0,_xlfn.ANCHORARRAY(I66)*(1+_xlfn.ANCHORARRAY($D66))+SUMIF($BT:$BT,J$3&amp;$B$65&amp;_xlfn.ANCHORARRAY($B66),$CA:$CA),
1,VLOOKUP(J$3&amp;$B$65&amp;_xlfn.ANCHORARRAY($B66),$BT:$CA,6,0),
2,_xlfn.ANCHORARRAY(I66)*(1+_xlfn.ANCHORARRAY($D66))*VLOOKUP(J$3&amp;$B$65&amp;_xlfn.ANCHORARRAY($B66),$BT:$CA,7,0))</f>
        <v>700000</v>
      </c>
      <c r="K66" s="59" cm="1">
        <f t="array" aca="1" ref="K66:K67" ca="1">_xlfn.SWITCH(IFERROR(VLOOKUP(K$3&amp;$B$65&amp;_xlfn.ANCHORARRAY($B66),$BT:$CA,5,0),0),
0,_xlfn.ANCHORARRAY(J66)*(1+_xlfn.ANCHORARRAY($D66))+SUMIF($BT:$BT,K$3&amp;$B$65&amp;_xlfn.ANCHORARRAY($B66),$CA:$CA),
1,VLOOKUP(K$3&amp;$B$65&amp;_xlfn.ANCHORARRAY($B66),$BT:$CA,6,0),
2,_xlfn.ANCHORARRAY(J66)*(1+_xlfn.ANCHORARRAY($D66))*VLOOKUP(K$3&amp;$B$65&amp;_xlfn.ANCHORARRAY($B66),$BT:$CA,7,0))</f>
        <v>700000</v>
      </c>
      <c r="L66" s="59" cm="1">
        <f t="array" aca="1" ref="L66:L67" ca="1">_xlfn.SWITCH(IFERROR(VLOOKUP(L$3&amp;$B$65&amp;_xlfn.ANCHORARRAY($B66),$BT:$CA,5,0),0),
0,_xlfn.ANCHORARRAY(K66)*(1+_xlfn.ANCHORARRAY($D66))+SUMIF($BT:$BT,L$3&amp;$B$65&amp;_xlfn.ANCHORARRAY($B66),$CA:$CA),
1,VLOOKUP(L$3&amp;$B$65&amp;_xlfn.ANCHORARRAY($B66),$BT:$CA,6,0),
2,_xlfn.ANCHORARRAY(K66)*(1+_xlfn.ANCHORARRAY($D66))*VLOOKUP(L$3&amp;$B$65&amp;_xlfn.ANCHORARRAY($B66),$BT:$CA,7,0))</f>
        <v>700000</v>
      </c>
      <c r="M66" s="59" cm="1">
        <f t="array" aca="1" ref="M66:M67" ca="1">_xlfn.SWITCH(IFERROR(VLOOKUP(M$3&amp;$B$65&amp;_xlfn.ANCHORARRAY($B66),$BT:$CA,5,0),0),
0,_xlfn.ANCHORARRAY(L66)*(1+_xlfn.ANCHORARRAY($D66))+SUMIF($BT:$BT,M$3&amp;$B$65&amp;_xlfn.ANCHORARRAY($B66),$CA:$CA),
1,VLOOKUP(M$3&amp;$B$65&amp;_xlfn.ANCHORARRAY($B66),$BT:$CA,6,0),
2,_xlfn.ANCHORARRAY(L66)*(1+_xlfn.ANCHORARRAY($D66))*VLOOKUP(M$3&amp;$B$65&amp;_xlfn.ANCHORARRAY($B66),$BT:$CA,7,0))</f>
        <v>700000</v>
      </c>
      <c r="N66" s="59" cm="1">
        <f t="array" aca="1" ref="N66:N67" ca="1">_xlfn.SWITCH(IFERROR(VLOOKUP(N$3&amp;$B$65&amp;_xlfn.ANCHORARRAY($B66),$BT:$CA,5,0),0),
0,_xlfn.ANCHORARRAY(M66)*(1+_xlfn.ANCHORARRAY($D66))+SUMIF($BT:$BT,N$3&amp;$B$65&amp;_xlfn.ANCHORARRAY($B66),$CA:$CA),
1,VLOOKUP(N$3&amp;$B$65&amp;_xlfn.ANCHORARRAY($B66),$BT:$CA,6,0),
2,_xlfn.ANCHORARRAY(M66)*(1+_xlfn.ANCHORARRAY($D66))*VLOOKUP(N$3&amp;$B$65&amp;_xlfn.ANCHORARRAY($B66),$BT:$CA,7,0))</f>
        <v>700000</v>
      </c>
      <c r="O66" s="59" cm="1">
        <f t="array" aca="1" ref="O66:O67" ca="1">_xlfn.SWITCH(IFERROR(VLOOKUP(O$3&amp;$B$65&amp;_xlfn.ANCHORARRAY($B66),$BT:$CA,5,0),0),
0,_xlfn.ANCHORARRAY(N66)*(1+_xlfn.ANCHORARRAY($D66))+SUMIF($BT:$BT,O$3&amp;$B$65&amp;_xlfn.ANCHORARRAY($B66),$CA:$CA),
1,VLOOKUP(O$3&amp;$B$65&amp;_xlfn.ANCHORARRAY($B66),$BT:$CA,6,0),
2,_xlfn.ANCHORARRAY(N66)*(1+_xlfn.ANCHORARRAY($D66))*VLOOKUP(O$3&amp;$B$65&amp;_xlfn.ANCHORARRAY($B66),$BT:$CA,7,0))</f>
        <v>700000</v>
      </c>
      <c r="P66" s="59" cm="1">
        <f t="array" aca="1" ref="P66:P67" ca="1">_xlfn.SWITCH(IFERROR(VLOOKUP(P$3&amp;$B$65&amp;_xlfn.ANCHORARRAY($B66),$BT:$CA,5,0),0),
0,_xlfn.ANCHORARRAY(O66)*(1+_xlfn.ANCHORARRAY($D66))+SUMIF($BT:$BT,P$3&amp;$B$65&amp;_xlfn.ANCHORARRAY($B66),$CA:$CA),
1,VLOOKUP(P$3&amp;$B$65&amp;_xlfn.ANCHORARRAY($B66),$BT:$CA,6,0),
2,_xlfn.ANCHORARRAY(O66)*(1+_xlfn.ANCHORARRAY($D66))*VLOOKUP(P$3&amp;$B$65&amp;_xlfn.ANCHORARRAY($B66),$BT:$CA,7,0))</f>
        <v>700000</v>
      </c>
      <c r="Q66" s="59" cm="1">
        <f t="array" aca="1" ref="Q66:Q67" ca="1">_xlfn.SWITCH(IFERROR(VLOOKUP(Q$3&amp;$B$65&amp;_xlfn.ANCHORARRAY($B66),$BT:$CA,5,0),0),
0,_xlfn.ANCHORARRAY(P66)*(1+_xlfn.ANCHORARRAY($D66))+SUMIF($BT:$BT,Q$3&amp;$B$65&amp;_xlfn.ANCHORARRAY($B66),$CA:$CA),
1,VLOOKUP(Q$3&amp;$B$65&amp;_xlfn.ANCHORARRAY($B66),$BT:$CA,6,0),
2,_xlfn.ANCHORARRAY(P66)*(1+_xlfn.ANCHORARRAY($D66))*VLOOKUP(Q$3&amp;$B$65&amp;_xlfn.ANCHORARRAY($B66),$BT:$CA,7,0))</f>
        <v>700000</v>
      </c>
      <c r="R66" s="59" cm="1">
        <f t="array" aca="1" ref="R66:R67" ca="1">_xlfn.SWITCH(IFERROR(VLOOKUP(R$3&amp;$B$65&amp;_xlfn.ANCHORARRAY($B66),$BT:$CA,5,0),0),
0,_xlfn.ANCHORARRAY(Q66)*(1+_xlfn.ANCHORARRAY($D66))+SUMIF($BT:$BT,R$3&amp;$B$65&amp;_xlfn.ANCHORARRAY($B66),$CA:$CA),
1,VLOOKUP(R$3&amp;$B$65&amp;_xlfn.ANCHORARRAY($B66),$BT:$CA,6,0),
2,_xlfn.ANCHORARRAY(Q66)*(1+_xlfn.ANCHORARRAY($D66))*VLOOKUP(R$3&amp;$B$65&amp;_xlfn.ANCHORARRAY($B66),$BT:$CA,7,0))</f>
        <v>700000</v>
      </c>
      <c r="S66" s="59" cm="1">
        <f t="array" aca="1" ref="S66:S67" ca="1">_xlfn.SWITCH(IFERROR(VLOOKUP(S$3&amp;$B$65&amp;_xlfn.ANCHORARRAY($B66),$BT:$CA,5,0),0),
0,_xlfn.ANCHORARRAY(R66)*(1+_xlfn.ANCHORARRAY($D66))+SUMIF($BT:$BT,S$3&amp;$B$65&amp;_xlfn.ANCHORARRAY($B66),$CA:$CA),
1,VLOOKUP(S$3&amp;$B$65&amp;_xlfn.ANCHORARRAY($B66),$BT:$CA,6,0),
2,_xlfn.ANCHORARRAY(R66)*(1+_xlfn.ANCHORARRAY($D66))*VLOOKUP(S$3&amp;$B$65&amp;_xlfn.ANCHORARRAY($B66),$BT:$CA,7,0))</f>
        <v>700000</v>
      </c>
      <c r="T66" s="59" cm="1">
        <f t="array" aca="1" ref="T66:T67" ca="1">_xlfn.SWITCH(IFERROR(VLOOKUP(T$3&amp;$B$65&amp;_xlfn.ANCHORARRAY($B66),$BT:$CA,5,0),0),
0,_xlfn.ANCHORARRAY(S66)*(1+_xlfn.ANCHORARRAY($D66))+SUMIF($BT:$BT,T$3&amp;$B$65&amp;_xlfn.ANCHORARRAY($B66),$CA:$CA),
1,VLOOKUP(T$3&amp;$B$65&amp;_xlfn.ANCHORARRAY($B66),$BT:$CA,6,0),
2,_xlfn.ANCHORARRAY(S66)*(1+_xlfn.ANCHORARRAY($D66))*VLOOKUP(T$3&amp;$B$65&amp;_xlfn.ANCHORARRAY($B66),$BT:$CA,7,0))</f>
        <v>700000</v>
      </c>
      <c r="U66" s="59" cm="1">
        <f t="array" aca="1" ref="U66:U67" ca="1">_xlfn.SWITCH(IFERROR(VLOOKUP(U$3&amp;$B$65&amp;_xlfn.ANCHORARRAY($B66),$BT:$CA,5,0),0),
0,_xlfn.ANCHORARRAY(T66)*(1+_xlfn.ANCHORARRAY($D66))+SUMIF($BT:$BT,U$3&amp;$B$65&amp;_xlfn.ANCHORARRAY($B66),$CA:$CA),
1,VLOOKUP(U$3&amp;$B$65&amp;_xlfn.ANCHORARRAY($B66),$BT:$CA,6,0),
2,_xlfn.ANCHORARRAY(T66)*(1+_xlfn.ANCHORARRAY($D66))*VLOOKUP(U$3&amp;$B$65&amp;_xlfn.ANCHORARRAY($B66),$BT:$CA,7,0))</f>
        <v>700000</v>
      </c>
      <c r="V66" s="59" cm="1">
        <f t="array" aca="1" ref="V66:V67" ca="1">_xlfn.SWITCH(IFERROR(VLOOKUP(V$3&amp;$B$65&amp;_xlfn.ANCHORARRAY($B66),$BT:$CA,5,0),0),
0,_xlfn.ANCHORARRAY(U66)*(1+_xlfn.ANCHORARRAY($D66))+SUMIF($BT:$BT,V$3&amp;$B$65&amp;_xlfn.ANCHORARRAY($B66),$CA:$CA),
1,VLOOKUP(V$3&amp;$B$65&amp;_xlfn.ANCHORARRAY($B66),$BT:$CA,6,0),
2,_xlfn.ANCHORARRAY(U66)*(1+_xlfn.ANCHORARRAY($D66))*VLOOKUP(V$3&amp;$B$65&amp;_xlfn.ANCHORARRAY($B66),$BT:$CA,7,0))</f>
        <v>700000</v>
      </c>
      <c r="W66" s="59" cm="1">
        <f t="array" aca="1" ref="W66:W67" ca="1">_xlfn.SWITCH(IFERROR(VLOOKUP(W$3&amp;$B$65&amp;_xlfn.ANCHORARRAY($B66),$BT:$CA,5,0),0),
0,_xlfn.ANCHORARRAY(V66)*(1+_xlfn.ANCHORARRAY($D66))+SUMIF($BT:$BT,W$3&amp;$B$65&amp;_xlfn.ANCHORARRAY($B66),$CA:$CA),
1,VLOOKUP(W$3&amp;$B$65&amp;_xlfn.ANCHORARRAY($B66),$BT:$CA,6,0),
2,_xlfn.ANCHORARRAY(V66)*(1+_xlfn.ANCHORARRAY($D66))*VLOOKUP(W$3&amp;$B$65&amp;_xlfn.ANCHORARRAY($B66),$BT:$CA,7,0))</f>
        <v>700000</v>
      </c>
      <c r="X66" s="59" cm="1">
        <f t="array" aca="1" ref="X66:X67" ca="1">_xlfn.SWITCH(IFERROR(VLOOKUP(X$3&amp;$B$65&amp;_xlfn.ANCHORARRAY($B66),$BT:$CA,5,0),0),
0,_xlfn.ANCHORARRAY(W66)*(1+_xlfn.ANCHORARRAY($D66))+SUMIF($BT:$BT,X$3&amp;$B$65&amp;_xlfn.ANCHORARRAY($B66),$CA:$CA),
1,VLOOKUP(X$3&amp;$B$65&amp;_xlfn.ANCHORARRAY($B66),$BT:$CA,6,0),
2,_xlfn.ANCHORARRAY(W66)*(1+_xlfn.ANCHORARRAY($D66))*VLOOKUP(X$3&amp;$B$65&amp;_xlfn.ANCHORARRAY($B66),$BT:$CA,7,0))</f>
        <v>700000</v>
      </c>
      <c r="Y66" s="59" cm="1">
        <f t="array" aca="1" ref="Y66:Y67" ca="1">_xlfn.SWITCH(IFERROR(VLOOKUP(Y$3&amp;$B$65&amp;_xlfn.ANCHORARRAY($B66),$BT:$CA,5,0),0),
0,_xlfn.ANCHORARRAY(X66)*(1+_xlfn.ANCHORARRAY($D66))+SUMIF($BT:$BT,Y$3&amp;$B$65&amp;_xlfn.ANCHORARRAY($B66),$CA:$CA),
1,VLOOKUP(Y$3&amp;$B$65&amp;_xlfn.ANCHORARRAY($B66),$BT:$CA,6,0),
2,_xlfn.ANCHORARRAY(X66)*(1+_xlfn.ANCHORARRAY($D66))*VLOOKUP(Y$3&amp;$B$65&amp;_xlfn.ANCHORARRAY($B66),$BT:$CA,7,0))</f>
        <v>700000</v>
      </c>
      <c r="Z66" s="59" cm="1">
        <f t="array" aca="1" ref="Z66:Z67" ca="1">_xlfn.SWITCH(IFERROR(VLOOKUP(Z$3&amp;$B$65&amp;_xlfn.ANCHORARRAY($B66),$BT:$CA,5,0),0),
0,_xlfn.ANCHORARRAY(Y66)*(1+_xlfn.ANCHORARRAY($D66))+SUMIF($BT:$BT,Z$3&amp;$B$65&amp;_xlfn.ANCHORARRAY($B66),$CA:$CA),
1,VLOOKUP(Z$3&amp;$B$65&amp;_xlfn.ANCHORARRAY($B66),$BT:$CA,6,0),
2,_xlfn.ANCHORARRAY(Y66)*(1+_xlfn.ANCHORARRAY($D66))*VLOOKUP(Z$3&amp;$B$65&amp;_xlfn.ANCHORARRAY($B66),$BT:$CA,7,0))</f>
        <v>700000</v>
      </c>
      <c r="AA66" s="59" cm="1">
        <f t="array" aca="1" ref="AA66:AA67" ca="1">_xlfn.SWITCH(IFERROR(VLOOKUP(AA$3&amp;$B$65&amp;_xlfn.ANCHORARRAY($B66),$BT:$CA,5,0),0),
0,_xlfn.ANCHORARRAY(Z66)*(1+_xlfn.ANCHORARRAY($D66))+SUMIF($BT:$BT,AA$3&amp;$B$65&amp;_xlfn.ANCHORARRAY($B66),$CA:$CA),
1,VLOOKUP(AA$3&amp;$B$65&amp;_xlfn.ANCHORARRAY($B66),$BT:$CA,6,0),
2,_xlfn.ANCHORARRAY(Z66)*(1+_xlfn.ANCHORARRAY($D66))*VLOOKUP(AA$3&amp;$B$65&amp;_xlfn.ANCHORARRAY($B66),$BT:$CA,7,0))</f>
        <v>700000</v>
      </c>
      <c r="AB66" s="59" cm="1">
        <f t="array" aca="1" ref="AB66:AB67" ca="1">_xlfn.SWITCH(IFERROR(VLOOKUP(AB$3&amp;$B$65&amp;_xlfn.ANCHORARRAY($B66),$BT:$CA,5,0),0),
0,_xlfn.ANCHORARRAY(AA66)*(1+_xlfn.ANCHORARRAY($D66))+SUMIF($BT:$BT,AB$3&amp;$B$65&amp;_xlfn.ANCHORARRAY($B66),$CA:$CA),
1,VLOOKUP(AB$3&amp;$B$65&amp;_xlfn.ANCHORARRAY($B66),$BT:$CA,6,0),
2,_xlfn.ANCHORARRAY(AA66)*(1+_xlfn.ANCHORARRAY($D66))*VLOOKUP(AB$3&amp;$B$65&amp;_xlfn.ANCHORARRAY($B66),$BT:$CA,7,0))</f>
        <v>700000</v>
      </c>
      <c r="AC66" s="59" cm="1">
        <f t="array" aca="1" ref="AC66:AC67" ca="1">_xlfn.SWITCH(IFERROR(VLOOKUP(AC$3&amp;$B$65&amp;_xlfn.ANCHORARRAY($B66),$BT:$CA,5,0),0),
0,_xlfn.ANCHORARRAY(AB66)*(1+_xlfn.ANCHORARRAY($D66))+SUMIF($BT:$BT,AC$3&amp;$B$65&amp;_xlfn.ANCHORARRAY($B66),$CA:$CA),
1,VLOOKUP(AC$3&amp;$B$65&amp;_xlfn.ANCHORARRAY($B66),$BT:$CA,6,0),
2,_xlfn.ANCHORARRAY(AB66)*(1+_xlfn.ANCHORARRAY($D66))*VLOOKUP(AC$3&amp;$B$65&amp;_xlfn.ANCHORARRAY($B66),$BT:$CA,7,0))</f>
        <v>700000</v>
      </c>
      <c r="AD66" s="59" cm="1">
        <f t="array" aca="1" ref="AD66:AD67" ca="1">_xlfn.SWITCH(IFERROR(VLOOKUP(AD$3&amp;$B$65&amp;_xlfn.ANCHORARRAY($B66),$BT:$CA,5,0),0),
0,_xlfn.ANCHORARRAY(AC66)*(1+_xlfn.ANCHORARRAY($D66))+SUMIF($BT:$BT,AD$3&amp;$B$65&amp;_xlfn.ANCHORARRAY($B66),$CA:$CA),
1,VLOOKUP(AD$3&amp;$B$65&amp;_xlfn.ANCHORARRAY($B66),$BT:$CA,6,0),
2,_xlfn.ANCHORARRAY(AC66)*(1+_xlfn.ANCHORARRAY($D66))*VLOOKUP(AD$3&amp;$B$65&amp;_xlfn.ANCHORARRAY($B66),$BT:$CA,7,0))</f>
        <v>700000</v>
      </c>
      <c r="AE66" s="59" cm="1">
        <f t="array" aca="1" ref="AE66:AE67" ca="1">_xlfn.SWITCH(IFERROR(VLOOKUP(AE$3&amp;$B$65&amp;_xlfn.ANCHORARRAY($B66),$BT:$CA,5,0),0),
0,_xlfn.ANCHORARRAY(AD66)*(1+_xlfn.ANCHORARRAY($D66))+SUMIF($BT:$BT,AE$3&amp;$B$65&amp;_xlfn.ANCHORARRAY($B66),$CA:$CA),
1,VLOOKUP(AE$3&amp;$B$65&amp;_xlfn.ANCHORARRAY($B66),$BT:$CA,6,0),
2,_xlfn.ANCHORARRAY(AD66)*(1+_xlfn.ANCHORARRAY($D66))*VLOOKUP(AE$3&amp;$B$65&amp;_xlfn.ANCHORARRAY($B66),$BT:$CA,7,0))</f>
        <v>700000</v>
      </c>
      <c r="AF66" s="59" cm="1">
        <f t="array" aca="1" ref="AF66:AF67" ca="1">_xlfn.SWITCH(IFERROR(VLOOKUP(AF$3&amp;$B$65&amp;_xlfn.ANCHORARRAY($B66),$BT:$CA,5,0),0),
0,_xlfn.ANCHORARRAY(AE66)*(1+_xlfn.ANCHORARRAY($D66))+SUMIF($BT:$BT,AF$3&amp;$B$65&amp;_xlfn.ANCHORARRAY($B66),$CA:$CA),
1,VLOOKUP(AF$3&amp;$B$65&amp;_xlfn.ANCHORARRAY($B66),$BT:$CA,6,0),
2,_xlfn.ANCHORARRAY(AE66)*(1+_xlfn.ANCHORARRAY($D66))*VLOOKUP(AF$3&amp;$B$65&amp;_xlfn.ANCHORARRAY($B66),$BT:$CA,7,0))</f>
        <v>700000</v>
      </c>
      <c r="AG66" s="59" cm="1">
        <f t="array" aca="1" ref="AG66:AG67" ca="1">_xlfn.SWITCH(IFERROR(VLOOKUP(AG$3&amp;$B$65&amp;_xlfn.ANCHORARRAY($B66),$BT:$CA,5,0),0),
0,_xlfn.ANCHORARRAY(AF66)*(1+_xlfn.ANCHORARRAY($D66))+SUMIF($BT:$BT,AG$3&amp;$B$65&amp;_xlfn.ANCHORARRAY($B66),$CA:$CA),
1,VLOOKUP(AG$3&amp;$B$65&amp;_xlfn.ANCHORARRAY($B66),$BT:$CA,6,0),
2,_xlfn.ANCHORARRAY(AF66)*(1+_xlfn.ANCHORARRAY($D66))*VLOOKUP(AG$3&amp;$B$65&amp;_xlfn.ANCHORARRAY($B66),$BT:$CA,7,0))</f>
        <v>700000</v>
      </c>
      <c r="AH66" s="59" cm="1">
        <f t="array" aca="1" ref="AH66:AH67" ca="1">_xlfn.SWITCH(IFERROR(VLOOKUP(AH$3&amp;$B$65&amp;_xlfn.ANCHORARRAY($B66),$BT:$CA,5,0),0),
0,_xlfn.ANCHORARRAY(AG66)*(1+_xlfn.ANCHORARRAY($D66))+SUMIF($BT:$BT,AH$3&amp;$B$65&amp;_xlfn.ANCHORARRAY($B66),$CA:$CA),
1,VLOOKUP(AH$3&amp;$B$65&amp;_xlfn.ANCHORARRAY($B66),$BT:$CA,6,0),
2,_xlfn.ANCHORARRAY(AG66)*(1+_xlfn.ANCHORARRAY($D66))*VLOOKUP(AH$3&amp;$B$65&amp;_xlfn.ANCHORARRAY($B66),$BT:$CA,7,0))</f>
        <v>700000</v>
      </c>
      <c r="AI66" s="59" cm="1">
        <f t="array" aca="1" ref="AI66:AI67" ca="1">_xlfn.SWITCH(IFERROR(VLOOKUP(AI$3&amp;$B$65&amp;_xlfn.ANCHORARRAY($B66),$BT:$CA,5,0),0),
0,_xlfn.ANCHORARRAY(AH66)*(1+_xlfn.ANCHORARRAY($D66))+SUMIF($BT:$BT,AI$3&amp;$B$65&amp;_xlfn.ANCHORARRAY($B66),$CA:$CA),
1,VLOOKUP(AI$3&amp;$B$65&amp;_xlfn.ANCHORARRAY($B66),$BT:$CA,6,0),
2,_xlfn.ANCHORARRAY(AH66)*(1+_xlfn.ANCHORARRAY($D66))*VLOOKUP(AI$3&amp;$B$65&amp;_xlfn.ANCHORARRAY($B66),$BT:$CA,7,0))</f>
        <v>700000</v>
      </c>
      <c r="AJ66" s="59" cm="1">
        <f t="array" aca="1" ref="AJ66:AJ67" ca="1">_xlfn.SWITCH(IFERROR(VLOOKUP(AJ$3&amp;$B$65&amp;_xlfn.ANCHORARRAY($B66),$BT:$CA,5,0),0),
0,_xlfn.ANCHORARRAY(AI66)*(1+_xlfn.ANCHORARRAY($D66))+SUMIF($BT:$BT,AJ$3&amp;$B$65&amp;_xlfn.ANCHORARRAY($B66),$CA:$CA),
1,VLOOKUP(AJ$3&amp;$B$65&amp;_xlfn.ANCHORARRAY($B66),$BT:$CA,6,0),
2,_xlfn.ANCHORARRAY(AI66)*(1+_xlfn.ANCHORARRAY($D66))*VLOOKUP(AJ$3&amp;$B$65&amp;_xlfn.ANCHORARRAY($B66),$BT:$CA,7,0))</f>
        <v>700000</v>
      </c>
      <c r="AK66" s="59" cm="1">
        <f t="array" aca="1" ref="AK66:AK67" ca="1">_xlfn.SWITCH(IFERROR(VLOOKUP(AK$3&amp;$B$65&amp;_xlfn.ANCHORARRAY($B66),$BT:$CA,5,0),0),
0,_xlfn.ANCHORARRAY(AJ66)*(1+_xlfn.ANCHORARRAY($D66))+SUMIF($BT:$BT,AK$3&amp;$B$65&amp;_xlfn.ANCHORARRAY($B66),$CA:$CA),
1,VLOOKUP(AK$3&amp;$B$65&amp;_xlfn.ANCHORARRAY($B66),$BT:$CA,6,0),
2,_xlfn.ANCHORARRAY(AJ66)*(1+_xlfn.ANCHORARRAY($D66))*VLOOKUP(AK$3&amp;$B$65&amp;_xlfn.ANCHORARRAY($B66),$BT:$CA,7,0))</f>
        <v>700000</v>
      </c>
      <c r="AL66" s="59" cm="1">
        <f t="array" aca="1" ref="AL66:AL67" ca="1">_xlfn.SWITCH(IFERROR(VLOOKUP(AL$3&amp;$B$65&amp;_xlfn.ANCHORARRAY($B66),$BT:$CA,5,0),0),
0,_xlfn.ANCHORARRAY(AK66)*(1+_xlfn.ANCHORARRAY($D66))+SUMIF($BT:$BT,AL$3&amp;$B$65&amp;_xlfn.ANCHORARRAY($B66),$CA:$CA),
1,VLOOKUP(AL$3&amp;$B$65&amp;_xlfn.ANCHORARRAY($B66),$BT:$CA,6,0),
2,_xlfn.ANCHORARRAY(AK66)*(1+_xlfn.ANCHORARRAY($D66))*VLOOKUP(AL$3&amp;$B$65&amp;_xlfn.ANCHORARRAY($B66),$BT:$CA,7,0))</f>
        <v>700000</v>
      </c>
      <c r="AM66" s="59" cm="1">
        <f t="array" aca="1" ref="AM66:AM67" ca="1">_xlfn.SWITCH(IFERROR(VLOOKUP(AM$3&amp;$B$65&amp;_xlfn.ANCHORARRAY($B66),$BT:$CA,5,0),0),
0,_xlfn.ANCHORARRAY(AL66)*(1+_xlfn.ANCHORARRAY($D66))+SUMIF($BT:$BT,AM$3&amp;$B$65&amp;_xlfn.ANCHORARRAY($B66),$CA:$CA),
1,VLOOKUP(AM$3&amp;$B$65&amp;_xlfn.ANCHORARRAY($B66),$BT:$CA,6,0),
2,_xlfn.ANCHORARRAY(AL66)*(1+_xlfn.ANCHORARRAY($D66))*VLOOKUP(AM$3&amp;$B$65&amp;_xlfn.ANCHORARRAY($B66),$BT:$CA,7,0))</f>
        <v>700000</v>
      </c>
      <c r="AN66" s="59" cm="1">
        <f t="array" aca="1" ref="AN66:AN67" ca="1">_xlfn.SWITCH(IFERROR(VLOOKUP(AN$3&amp;$B$65&amp;_xlfn.ANCHORARRAY($B66),$BT:$CA,5,0),0),
0,_xlfn.ANCHORARRAY(AM66)*(1+_xlfn.ANCHORARRAY($D66))+SUMIF($BT:$BT,AN$3&amp;$B$65&amp;_xlfn.ANCHORARRAY($B66),$CA:$CA),
1,VLOOKUP(AN$3&amp;$B$65&amp;_xlfn.ANCHORARRAY($B66),$BT:$CA,6,0),
2,_xlfn.ANCHORARRAY(AM66)*(1+_xlfn.ANCHORARRAY($D66))*VLOOKUP(AN$3&amp;$B$65&amp;_xlfn.ANCHORARRAY($B66),$BT:$CA,7,0))</f>
        <v>700000</v>
      </c>
      <c r="AO66" s="59" cm="1">
        <f t="array" aca="1" ref="AO66:AO67" ca="1">_xlfn.SWITCH(IFERROR(VLOOKUP(AO$3&amp;$B$65&amp;_xlfn.ANCHORARRAY($B66),$BT:$CA,5,0),0),
0,_xlfn.ANCHORARRAY(AN66)*(1+_xlfn.ANCHORARRAY($D66))+SUMIF($BT:$BT,AO$3&amp;$B$65&amp;_xlfn.ANCHORARRAY($B66),$CA:$CA),
1,VLOOKUP(AO$3&amp;$B$65&amp;_xlfn.ANCHORARRAY($B66),$BT:$CA,6,0),
2,_xlfn.ANCHORARRAY(AN66)*(1+_xlfn.ANCHORARRAY($D66))*VLOOKUP(AO$3&amp;$B$65&amp;_xlfn.ANCHORARRAY($B66),$BT:$CA,7,0))</f>
        <v>700000</v>
      </c>
      <c r="AP66" s="59" cm="1">
        <f t="array" aca="1" ref="AP66:AP67" ca="1">_xlfn.SWITCH(IFERROR(VLOOKUP(AP$3&amp;$B$65&amp;_xlfn.ANCHORARRAY($B66),$BT:$CA,5,0),0),
0,_xlfn.ANCHORARRAY(AO66)*(1+_xlfn.ANCHORARRAY($D66))+SUMIF($BT:$BT,AP$3&amp;$B$65&amp;_xlfn.ANCHORARRAY($B66),$CA:$CA),
1,VLOOKUP(AP$3&amp;$B$65&amp;_xlfn.ANCHORARRAY($B66),$BT:$CA,6,0),
2,_xlfn.ANCHORARRAY(AO66)*(1+_xlfn.ANCHORARRAY($D66))*VLOOKUP(AP$3&amp;$B$65&amp;_xlfn.ANCHORARRAY($B66),$BT:$CA,7,0))</f>
        <v>700000</v>
      </c>
      <c r="AQ66" s="59" cm="1">
        <f t="array" aca="1" ref="AQ66:AQ67" ca="1">_xlfn.SWITCH(IFERROR(VLOOKUP(AQ$3&amp;$B$65&amp;_xlfn.ANCHORARRAY($B66),$BT:$CA,5,0),0),
0,_xlfn.ANCHORARRAY(AP66)*(1+_xlfn.ANCHORARRAY($D66))+SUMIF($BT:$BT,AQ$3&amp;$B$65&amp;_xlfn.ANCHORARRAY($B66),$CA:$CA),
1,VLOOKUP(AQ$3&amp;$B$65&amp;_xlfn.ANCHORARRAY($B66),$BT:$CA,6,0),
2,_xlfn.ANCHORARRAY(AP66)*(1+_xlfn.ANCHORARRAY($D66))*VLOOKUP(AQ$3&amp;$B$65&amp;_xlfn.ANCHORARRAY($B66),$BT:$CA,7,0))</f>
        <v>700000</v>
      </c>
      <c r="AR66" s="59" cm="1">
        <f t="array" aca="1" ref="AR66:AR67" ca="1">_xlfn.SWITCH(IFERROR(VLOOKUP(AR$3&amp;$B$65&amp;_xlfn.ANCHORARRAY($B66),$BT:$CA,5,0),0),
0,_xlfn.ANCHORARRAY(AQ66)*(1+_xlfn.ANCHORARRAY($D66))+SUMIF($BT:$BT,AR$3&amp;$B$65&amp;_xlfn.ANCHORARRAY($B66),$CA:$CA),
1,VLOOKUP(AR$3&amp;$B$65&amp;_xlfn.ANCHORARRAY($B66),$BT:$CA,6,0),
2,_xlfn.ANCHORARRAY(AQ66)*(1+_xlfn.ANCHORARRAY($D66))*VLOOKUP(AR$3&amp;$B$65&amp;_xlfn.ANCHORARRAY($B66),$BT:$CA,7,0))</f>
        <v>700000</v>
      </c>
      <c r="AS66" s="59" cm="1">
        <f t="array" aca="1" ref="AS66:AS67" ca="1">_xlfn.SWITCH(IFERROR(VLOOKUP(AS$3&amp;$B$65&amp;_xlfn.ANCHORARRAY($B66),$BT:$CA,5,0),0),
0,_xlfn.ANCHORARRAY(AR66)*(1+_xlfn.ANCHORARRAY($D66))+SUMIF($BT:$BT,AS$3&amp;$B$65&amp;_xlfn.ANCHORARRAY($B66),$CA:$CA),
1,VLOOKUP(AS$3&amp;$B$65&amp;_xlfn.ANCHORARRAY($B66),$BT:$CA,6,0),
2,_xlfn.ANCHORARRAY(AR66)*(1+_xlfn.ANCHORARRAY($D66))*VLOOKUP(AS$3&amp;$B$65&amp;_xlfn.ANCHORARRAY($B66),$BT:$CA,7,0))</f>
        <v>700000</v>
      </c>
      <c r="AT66" s="59" cm="1">
        <f t="array" aca="1" ref="AT66:AT67" ca="1">_xlfn.SWITCH(IFERROR(VLOOKUP(AT$3&amp;$B$65&amp;_xlfn.ANCHORARRAY($B66),$BT:$CA,5,0),0),
0,_xlfn.ANCHORARRAY(AS66)*(1+_xlfn.ANCHORARRAY($D66))+SUMIF($BT:$BT,AT$3&amp;$B$65&amp;_xlfn.ANCHORARRAY($B66),$CA:$CA),
1,VLOOKUP(AT$3&amp;$B$65&amp;_xlfn.ANCHORARRAY($B66),$BT:$CA,6,0),
2,_xlfn.ANCHORARRAY(AS66)*(1+_xlfn.ANCHORARRAY($D66))*VLOOKUP(AT$3&amp;$B$65&amp;_xlfn.ANCHORARRAY($B66),$BT:$CA,7,0))</f>
        <v>700000</v>
      </c>
      <c r="AU66" s="59" cm="1">
        <f t="array" aca="1" ref="AU66:AU67" ca="1">_xlfn.SWITCH(IFERROR(VLOOKUP(AU$3&amp;$B$65&amp;_xlfn.ANCHORARRAY($B66),$BT:$CA,5,0),0),
0,_xlfn.ANCHORARRAY(AT66)*(1+_xlfn.ANCHORARRAY($D66))+SUMIF($BT:$BT,AU$3&amp;$B$65&amp;_xlfn.ANCHORARRAY($B66),$CA:$CA),
1,VLOOKUP(AU$3&amp;$B$65&amp;_xlfn.ANCHORARRAY($B66),$BT:$CA,6,0),
2,_xlfn.ANCHORARRAY(AT66)*(1+_xlfn.ANCHORARRAY($D66))*VLOOKUP(AU$3&amp;$B$65&amp;_xlfn.ANCHORARRAY($B66),$BT:$CA,7,0))</f>
        <v>700000</v>
      </c>
      <c r="AV66" s="59" cm="1">
        <f t="array" aca="1" ref="AV66:AV67" ca="1">_xlfn.SWITCH(IFERROR(VLOOKUP(AV$3&amp;$B$65&amp;_xlfn.ANCHORARRAY($B66),$BT:$CA,5,0),0),
0,_xlfn.ANCHORARRAY(AU66)*(1+_xlfn.ANCHORARRAY($D66))+SUMIF($BT:$BT,AV$3&amp;$B$65&amp;_xlfn.ANCHORARRAY($B66),$CA:$CA),
1,VLOOKUP(AV$3&amp;$B$65&amp;_xlfn.ANCHORARRAY($B66),$BT:$CA,6,0),
2,_xlfn.ANCHORARRAY(AU66)*(1+_xlfn.ANCHORARRAY($D66))*VLOOKUP(AV$3&amp;$B$65&amp;_xlfn.ANCHORARRAY($B66),$BT:$CA,7,0))</f>
        <v>700000</v>
      </c>
      <c r="AW66" s="59" cm="1">
        <f t="array" aca="1" ref="AW66:AW67" ca="1">_xlfn.SWITCH(IFERROR(VLOOKUP(AW$3&amp;$B$65&amp;_xlfn.ANCHORARRAY($B66),$BT:$CA,5,0),0),
0,_xlfn.ANCHORARRAY(AV66)*(1+_xlfn.ANCHORARRAY($D66))+SUMIF($BT:$BT,AW$3&amp;$B$65&amp;_xlfn.ANCHORARRAY($B66),$CA:$CA),
1,VLOOKUP(AW$3&amp;$B$65&amp;_xlfn.ANCHORARRAY($B66),$BT:$CA,6,0),
2,_xlfn.ANCHORARRAY(AV66)*(1+_xlfn.ANCHORARRAY($D66))*VLOOKUP(AW$3&amp;$B$65&amp;_xlfn.ANCHORARRAY($B66),$BT:$CA,7,0))</f>
        <v>700000</v>
      </c>
      <c r="AX66" s="59" cm="1">
        <f t="array" aca="1" ref="AX66:AX67" ca="1">_xlfn.SWITCH(IFERROR(VLOOKUP(AX$3&amp;$B$65&amp;_xlfn.ANCHORARRAY($B66),$BT:$CA,5,0),0),
0,_xlfn.ANCHORARRAY(AW66)*(1+_xlfn.ANCHORARRAY($D66))+SUMIF($BT:$BT,AX$3&amp;$B$65&amp;_xlfn.ANCHORARRAY($B66),$CA:$CA),
1,VLOOKUP(AX$3&amp;$B$65&amp;_xlfn.ANCHORARRAY($B66),$BT:$CA,6,0),
2,_xlfn.ANCHORARRAY(AW66)*(1+_xlfn.ANCHORARRAY($D66))*VLOOKUP(AX$3&amp;$B$65&amp;_xlfn.ANCHORARRAY($B66),$BT:$CA,7,0))</f>
        <v>700000</v>
      </c>
      <c r="AY66" s="59" cm="1">
        <f t="array" aca="1" ref="AY66:AY67" ca="1">_xlfn.SWITCH(IFERROR(VLOOKUP(AY$3&amp;$B$65&amp;_xlfn.ANCHORARRAY($B66),$BT:$CA,5,0),0),
0,_xlfn.ANCHORARRAY(AX66)*(1+_xlfn.ANCHORARRAY($D66))+SUMIF($BT:$BT,AY$3&amp;$B$65&amp;_xlfn.ANCHORARRAY($B66),$CA:$CA),
1,VLOOKUP(AY$3&amp;$B$65&amp;_xlfn.ANCHORARRAY($B66),$BT:$CA,6,0),
2,_xlfn.ANCHORARRAY(AX66)*(1+_xlfn.ANCHORARRAY($D66))*VLOOKUP(AY$3&amp;$B$65&amp;_xlfn.ANCHORARRAY($B66),$BT:$CA,7,0))</f>
        <v>700000</v>
      </c>
      <c r="AZ66" s="59" cm="1">
        <f t="array" aca="1" ref="AZ66:AZ67" ca="1">_xlfn.SWITCH(IFERROR(VLOOKUP(AZ$3&amp;$B$65&amp;_xlfn.ANCHORARRAY($B66),$BT:$CA,5,0),0),
0,_xlfn.ANCHORARRAY(AY66)*(1+_xlfn.ANCHORARRAY($D66))+SUMIF($BT:$BT,AZ$3&amp;$B$65&amp;_xlfn.ANCHORARRAY($B66),$CA:$CA),
1,VLOOKUP(AZ$3&amp;$B$65&amp;_xlfn.ANCHORARRAY($B66),$BT:$CA,6,0),
2,_xlfn.ANCHORARRAY(AY66)*(1+_xlfn.ANCHORARRAY($D66))*VLOOKUP(AZ$3&amp;$B$65&amp;_xlfn.ANCHORARRAY($B66),$BT:$CA,7,0))</f>
        <v>700000</v>
      </c>
      <c r="BA66" s="59" cm="1">
        <f t="array" aca="1" ref="BA66:BA67" ca="1">_xlfn.SWITCH(IFERROR(VLOOKUP(BA$3&amp;$B$65&amp;_xlfn.ANCHORARRAY($B66),$BT:$CA,5,0),0),
0,_xlfn.ANCHORARRAY(AZ66)*(1+_xlfn.ANCHORARRAY($D66))+SUMIF($BT:$BT,BA$3&amp;$B$65&amp;_xlfn.ANCHORARRAY($B66),$CA:$CA),
1,VLOOKUP(BA$3&amp;$B$65&amp;_xlfn.ANCHORARRAY($B66),$BT:$CA,6,0),
2,_xlfn.ANCHORARRAY(AZ66)*(1+_xlfn.ANCHORARRAY($D66))*VLOOKUP(BA$3&amp;$B$65&amp;_xlfn.ANCHORARRAY($B66),$BT:$CA,7,0))</f>
        <v>700000</v>
      </c>
      <c r="BS66" s="5">
        <f t="shared" ref="BS66:BS129" si="23">COUNTIF(BT:BT,BT66)-1</f>
        <v>0</v>
      </c>
      <c r="BT66" s="5" t="str">
        <f t="shared" ref="BT66:BT81" si="24">BU66&amp;BV66&amp;BW66</f>
        <v>2029V_Vorsorg13</v>
      </c>
      <c r="BU66">
        <v>2029</v>
      </c>
      <c r="BV66" t="s">
        <v>95</v>
      </c>
      <c r="BW66">
        <v>13</v>
      </c>
      <c r="BX66">
        <v>0</v>
      </c>
      <c r="CA66">
        <v>7056</v>
      </c>
      <c r="CB66" t="s">
        <v>254</v>
      </c>
      <c r="CC66">
        <v>1</v>
      </c>
      <c r="CD66" s="5" t="str">
        <f t="shared" ca="1" si="4"/>
        <v>Sheldon</v>
      </c>
      <c r="CE66" s="5" t="str">
        <f t="shared" ca="1" si="5"/>
        <v>Neues Säule 3a Gefäss III</v>
      </c>
      <c r="CF66" s="5" t="str">
        <f t="shared" ca="1" si="6"/>
        <v>Sheldon - Neues Säule 3a Gefäss III - Eröffnung neues Säule 3a Gefäss und Einzahlung Maximalbetrag</v>
      </c>
      <c r="CG66" s="5"/>
    </row>
    <row r="67" spans="1:85" x14ac:dyDescent="0.25">
      <c r="A67" s="57" t="str">
        <f ca="1"/>
        <v>Liegenschaft Pasadena</v>
      </c>
      <c r="B67" s="57">
        <f ca="1"/>
        <v>1</v>
      </c>
      <c r="C67" s="53" t="str">
        <f ca="1"/>
        <v>Sheldon</v>
      </c>
      <c r="D67" s="54">
        <f ca="1"/>
        <v>0</v>
      </c>
      <c r="E67" s="62">
        <f ca="1"/>
        <v>650000</v>
      </c>
      <c r="F67" s="59">
        <f ca="1"/>
        <v>650000</v>
      </c>
      <c r="G67" s="59">
        <f ca="1"/>
        <v>650000</v>
      </c>
      <c r="H67" s="59">
        <f ca="1"/>
        <v>650000</v>
      </c>
      <c r="I67" s="59">
        <f ca="1"/>
        <v>650000</v>
      </c>
      <c r="J67" s="59">
        <f ca="1"/>
        <v>650000</v>
      </c>
      <c r="K67" s="59">
        <f ca="1"/>
        <v>650000</v>
      </c>
      <c r="L67" s="59">
        <f ca="1"/>
        <v>650000</v>
      </c>
      <c r="M67" s="59">
        <f ca="1"/>
        <v>650000</v>
      </c>
      <c r="N67" s="59">
        <f ca="1"/>
        <v>650000</v>
      </c>
      <c r="O67" s="59">
        <f ca="1"/>
        <v>650000</v>
      </c>
      <c r="P67" s="59">
        <f ca="1"/>
        <v>650000</v>
      </c>
      <c r="Q67" s="59">
        <f ca="1"/>
        <v>650000</v>
      </c>
      <c r="R67" s="59">
        <f ca="1"/>
        <v>650000</v>
      </c>
      <c r="S67" s="59">
        <f ca="1"/>
        <v>650000</v>
      </c>
      <c r="T67" s="59">
        <f ca="1"/>
        <v>650000</v>
      </c>
      <c r="U67" s="59">
        <f ca="1"/>
        <v>650000</v>
      </c>
      <c r="V67" s="59">
        <f ca="1"/>
        <v>650000</v>
      </c>
      <c r="W67" s="59">
        <f ca="1"/>
        <v>650000</v>
      </c>
      <c r="X67" s="59">
        <f ca="1"/>
        <v>650000</v>
      </c>
      <c r="Y67" s="59">
        <f ca="1"/>
        <v>650000</v>
      </c>
      <c r="Z67" s="59">
        <f ca="1"/>
        <v>650000</v>
      </c>
      <c r="AA67" s="59">
        <f ca="1"/>
        <v>650000</v>
      </c>
      <c r="AB67" s="59">
        <f ca="1"/>
        <v>650000</v>
      </c>
      <c r="AC67" s="59">
        <f ca="1"/>
        <v>650000</v>
      </c>
      <c r="AD67" s="59">
        <f ca="1"/>
        <v>650000</v>
      </c>
      <c r="AE67" s="59">
        <f ca="1"/>
        <v>650000</v>
      </c>
      <c r="AF67" s="59">
        <f ca="1"/>
        <v>650000</v>
      </c>
      <c r="AG67" s="59">
        <f ca="1"/>
        <v>650000</v>
      </c>
      <c r="AH67" s="59">
        <f ca="1"/>
        <v>650000</v>
      </c>
      <c r="AI67" s="59">
        <f ca="1"/>
        <v>650000</v>
      </c>
      <c r="AJ67" s="59">
        <f ca="1"/>
        <v>650000</v>
      </c>
      <c r="AK67" s="59">
        <f ca="1"/>
        <v>650000</v>
      </c>
      <c r="AL67" s="59">
        <f ca="1"/>
        <v>650000</v>
      </c>
      <c r="AM67" s="59">
        <f ca="1"/>
        <v>650000</v>
      </c>
      <c r="AN67" s="59">
        <f ca="1"/>
        <v>650000</v>
      </c>
      <c r="AO67" s="59">
        <f ca="1"/>
        <v>650000</v>
      </c>
      <c r="AP67" s="59">
        <f ca="1"/>
        <v>650000</v>
      </c>
      <c r="AQ67" s="59">
        <f ca="1"/>
        <v>650000</v>
      </c>
      <c r="AR67" s="59">
        <f ca="1"/>
        <v>650000</v>
      </c>
      <c r="AS67" s="59">
        <f ca="1"/>
        <v>650000</v>
      </c>
      <c r="AT67" s="59">
        <f ca="1"/>
        <v>650000</v>
      </c>
      <c r="AU67" s="59">
        <f ca="1"/>
        <v>650000</v>
      </c>
      <c r="AV67" s="59">
        <f ca="1"/>
        <v>650000</v>
      </c>
      <c r="AW67" s="59">
        <f ca="1"/>
        <v>650000</v>
      </c>
      <c r="AX67" s="59">
        <f ca="1"/>
        <v>650000</v>
      </c>
      <c r="AY67" s="59">
        <f ca="1"/>
        <v>650000</v>
      </c>
      <c r="AZ67" s="59">
        <f ca="1"/>
        <v>650000</v>
      </c>
      <c r="BA67" s="59">
        <f ca="1"/>
        <v>650000</v>
      </c>
      <c r="BS67" s="5">
        <f t="shared" si="23"/>
        <v>0</v>
      </c>
      <c r="BT67" s="5" t="str">
        <f t="shared" si="24"/>
        <v>2030V_Vorsorg13</v>
      </c>
      <c r="BU67">
        <v>2030</v>
      </c>
      <c r="BV67" t="s">
        <v>95</v>
      </c>
      <c r="BW67">
        <v>13</v>
      </c>
      <c r="BX67">
        <v>1</v>
      </c>
      <c r="BY67" s="12">
        <v>0</v>
      </c>
      <c r="CB67" t="s">
        <v>244</v>
      </c>
      <c r="CC67">
        <v>1</v>
      </c>
      <c r="CD67" s="5" t="str">
        <f t="shared" ca="1" si="4"/>
        <v>Sheldon</v>
      </c>
      <c r="CE67" s="5" t="str">
        <f t="shared" ca="1" si="5"/>
        <v>Neues Säule 3a Gefäss III</v>
      </c>
      <c r="CF67" s="5" t="str">
        <f t="shared" ref="CF67:CF130" ca="1" si="25">_xlfn.TEXTJOIN(" - ",TRUE,CD67,CE67,CB67)</f>
        <v>Sheldon - Neues Säule 3a Gefäss III - Bezug</v>
      </c>
      <c r="CG67" s="5"/>
    </row>
    <row r="68" spans="1:85" hidden="1" x14ac:dyDescent="0.25">
      <c r="A68" s="57"/>
      <c r="B68" s="57"/>
      <c r="C68" s="53"/>
      <c r="D68" s="54"/>
      <c r="E68" s="62"/>
      <c r="F68" s="59"/>
      <c r="G68" s="59"/>
      <c r="H68" s="59"/>
      <c r="I68" s="59"/>
      <c r="J68" s="59"/>
      <c r="K68" s="59"/>
      <c r="L68" s="59"/>
      <c r="M68" s="59"/>
      <c r="N68" s="59"/>
      <c r="O68" s="59"/>
      <c r="P68" s="59"/>
      <c r="Q68" s="59"/>
      <c r="R68" s="59"/>
      <c r="S68" s="59"/>
      <c r="T68" s="59"/>
      <c r="U68" s="59"/>
      <c r="V68" s="59"/>
      <c r="W68" s="59"/>
      <c r="X68" s="59"/>
      <c r="Y68" s="59"/>
      <c r="Z68" s="59"/>
      <c r="AA68" s="59"/>
      <c r="AB68" s="59"/>
      <c r="AC68" s="59"/>
      <c r="AD68" s="59"/>
      <c r="AE68" s="59"/>
      <c r="AF68" s="59"/>
      <c r="AG68" s="59"/>
      <c r="AH68" s="59"/>
      <c r="AI68" s="59"/>
      <c r="AJ68" s="59"/>
      <c r="AK68" s="59"/>
      <c r="AL68" s="59"/>
      <c r="AM68" s="59"/>
      <c r="AN68" s="59"/>
      <c r="AO68" s="59"/>
      <c r="AP68" s="59"/>
      <c r="AQ68" s="59"/>
      <c r="AR68" s="59"/>
      <c r="AS68" s="59"/>
      <c r="AT68" s="59"/>
      <c r="AU68" s="59"/>
      <c r="AV68" s="59"/>
      <c r="AW68" s="59"/>
      <c r="AX68" s="59"/>
      <c r="AY68" s="59"/>
      <c r="AZ68" s="59"/>
      <c r="BA68" s="59"/>
      <c r="BS68" s="5">
        <f t="shared" si="23"/>
        <v>0</v>
      </c>
      <c r="BT68" s="5" t="str">
        <f t="shared" si="24"/>
        <v>2030V_Vorsorg12</v>
      </c>
      <c r="BU68">
        <v>2030</v>
      </c>
      <c r="BV68" t="s">
        <v>95</v>
      </c>
      <c r="BW68">
        <v>12</v>
      </c>
      <c r="CA68">
        <v>7056</v>
      </c>
      <c r="CB68" t="s">
        <v>243</v>
      </c>
      <c r="CC68">
        <v>1</v>
      </c>
      <c r="CD68" s="5" t="str">
        <f t="shared" ref="CD68:CD131" ca="1" si="26">INDEX(INDIRECT($BV68&amp;"[Zugehörigkeit Bezeichnung]"),MATCH($BW68,INDIRECT($BV68&amp;"[Id]"),0))</f>
        <v>Sheldon</v>
      </c>
      <c r="CE68" s="5" t="str">
        <f t="shared" ref="CE68:CE131" ca="1" si="27">INDEX(INDIRECT($BV68&amp;"[Titel]"),MATCH($BW68,INDIRECT($BV68&amp;"[Id]"),0))</f>
        <v>Neues Säule 3a Gefäss II</v>
      </c>
      <c r="CF68" s="5" t="str">
        <f t="shared" ca="1" si="25"/>
        <v>Sheldon - Neues Säule 3a Gefäss II - Einzahlung Maximalbetrag</v>
      </c>
      <c r="CG68" s="5"/>
    </row>
    <row r="69" spans="1:85" hidden="1" x14ac:dyDescent="0.25">
      <c r="A69" s="57"/>
      <c r="B69" s="57"/>
      <c r="C69" s="53"/>
      <c r="D69" s="54"/>
      <c r="E69" s="62"/>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c r="AE69" s="59"/>
      <c r="AF69" s="59"/>
      <c r="AG69" s="59"/>
      <c r="AH69" s="59"/>
      <c r="AI69" s="59"/>
      <c r="AJ69" s="59"/>
      <c r="AK69" s="59"/>
      <c r="AL69" s="59"/>
      <c r="AM69" s="59"/>
      <c r="AN69" s="59"/>
      <c r="AO69" s="59"/>
      <c r="AP69" s="59"/>
      <c r="AQ69" s="59"/>
      <c r="AR69" s="59"/>
      <c r="AS69" s="59"/>
      <c r="AT69" s="59"/>
      <c r="AU69" s="59"/>
      <c r="AV69" s="59"/>
      <c r="AW69" s="59"/>
      <c r="AX69" s="59"/>
      <c r="AY69" s="59"/>
      <c r="AZ69" s="59"/>
      <c r="BA69" s="59"/>
      <c r="BS69" s="5">
        <f t="shared" si="23"/>
        <v>0</v>
      </c>
      <c r="BT69" s="5" t="str">
        <f t="shared" si="24"/>
        <v>2025V_Vorsorg4</v>
      </c>
      <c r="BU69">
        <v>2025</v>
      </c>
      <c r="BV69" t="s">
        <v>95</v>
      </c>
      <c r="BW69">
        <v>4</v>
      </c>
      <c r="BX69">
        <v>1</v>
      </c>
      <c r="BY69" s="12">
        <v>0</v>
      </c>
      <c r="CB69" t="s">
        <v>244</v>
      </c>
      <c r="CC69">
        <v>1</v>
      </c>
      <c r="CD69" s="5" t="str">
        <f t="shared" ca="1" si="26"/>
        <v>Sheldon</v>
      </c>
      <c r="CE69" s="5" t="str">
        <f t="shared" ca="1" si="27"/>
        <v>PostFinance Säule 3a Depot II</v>
      </c>
      <c r="CF69" s="5" t="str">
        <f t="shared" ca="1" si="25"/>
        <v>Sheldon - PostFinance Säule 3a Depot II - Bezug</v>
      </c>
      <c r="CG69" s="5"/>
    </row>
    <row r="70" spans="1:85" ht="27.6" customHeight="1" x14ac:dyDescent="0.25">
      <c r="A70" s="56" t="s">
        <v>98</v>
      </c>
      <c r="B70" s="57" t="s">
        <v>99</v>
      </c>
      <c r="C70" s="53"/>
      <c r="D70" s="54"/>
      <c r="E70" s="64">
        <f ca="1">SUM(E71:E81)</f>
        <v>-880000</v>
      </c>
      <c r="F70" s="58">
        <f ca="1">SUM(F71:F81)</f>
        <v>-880000</v>
      </c>
      <c r="G70" s="58">
        <f t="shared" ref="G70:BA70" ca="1" si="28">SUM(G71:G81)</f>
        <v>-880000</v>
      </c>
      <c r="H70" s="58">
        <f t="shared" ca="1" si="28"/>
        <v>-880000</v>
      </c>
      <c r="I70" s="58">
        <f t="shared" ca="1" si="28"/>
        <v>-880000</v>
      </c>
      <c r="J70" s="58">
        <f t="shared" ca="1" si="28"/>
        <v>-880000</v>
      </c>
      <c r="K70" s="58">
        <f t="shared" ca="1" si="28"/>
        <v>-880000</v>
      </c>
      <c r="L70" s="58">
        <f t="shared" ca="1" si="28"/>
        <v>-880000</v>
      </c>
      <c r="M70" s="58">
        <f t="shared" ca="1" si="28"/>
        <v>-880000</v>
      </c>
      <c r="N70" s="58">
        <f t="shared" ca="1" si="28"/>
        <v>-880000</v>
      </c>
      <c r="O70" s="58">
        <f t="shared" ca="1" si="28"/>
        <v>-880000</v>
      </c>
      <c r="P70" s="58">
        <f t="shared" ca="1" si="28"/>
        <v>-880000</v>
      </c>
      <c r="Q70" s="58">
        <f t="shared" ca="1" si="28"/>
        <v>-880000</v>
      </c>
      <c r="R70" s="58">
        <f t="shared" ca="1" si="28"/>
        <v>-880000</v>
      </c>
      <c r="S70" s="58">
        <f t="shared" ca="1" si="28"/>
        <v>-880000</v>
      </c>
      <c r="T70" s="58">
        <f t="shared" ca="1" si="28"/>
        <v>-880000</v>
      </c>
      <c r="U70" s="58">
        <f t="shared" ca="1" si="28"/>
        <v>-880000</v>
      </c>
      <c r="V70" s="58">
        <f t="shared" ca="1" si="28"/>
        <v>-880000</v>
      </c>
      <c r="W70" s="58">
        <f t="shared" ca="1" si="28"/>
        <v>-880000</v>
      </c>
      <c r="X70" s="58">
        <f t="shared" ca="1" si="28"/>
        <v>-880000</v>
      </c>
      <c r="Y70" s="58">
        <f t="shared" ca="1" si="28"/>
        <v>-880000</v>
      </c>
      <c r="Z70" s="58">
        <f t="shared" ca="1" si="28"/>
        <v>-880000</v>
      </c>
      <c r="AA70" s="58">
        <f t="shared" ca="1" si="28"/>
        <v>-880000</v>
      </c>
      <c r="AB70" s="58">
        <f t="shared" ca="1" si="28"/>
        <v>-880000</v>
      </c>
      <c r="AC70" s="58">
        <f t="shared" ca="1" si="28"/>
        <v>-880000</v>
      </c>
      <c r="AD70" s="58">
        <f t="shared" ca="1" si="28"/>
        <v>-880000</v>
      </c>
      <c r="AE70" s="58">
        <f t="shared" ca="1" si="28"/>
        <v>-880000</v>
      </c>
      <c r="AF70" s="58">
        <f t="shared" ca="1" si="28"/>
        <v>-880000</v>
      </c>
      <c r="AG70" s="58">
        <f t="shared" ca="1" si="28"/>
        <v>-880000</v>
      </c>
      <c r="AH70" s="58">
        <f t="shared" ca="1" si="28"/>
        <v>-880000</v>
      </c>
      <c r="AI70" s="58">
        <f t="shared" ca="1" si="28"/>
        <v>-880000</v>
      </c>
      <c r="AJ70" s="58">
        <f t="shared" ca="1" si="28"/>
        <v>-880000</v>
      </c>
      <c r="AK70" s="58">
        <f t="shared" ca="1" si="28"/>
        <v>-880000</v>
      </c>
      <c r="AL70" s="58">
        <f t="shared" ca="1" si="28"/>
        <v>-880000</v>
      </c>
      <c r="AM70" s="58">
        <f t="shared" ca="1" si="28"/>
        <v>-880000</v>
      </c>
      <c r="AN70" s="58">
        <f t="shared" ca="1" si="28"/>
        <v>-880000</v>
      </c>
      <c r="AO70" s="58">
        <f t="shared" ca="1" si="28"/>
        <v>-880000</v>
      </c>
      <c r="AP70" s="58">
        <f t="shared" ca="1" si="28"/>
        <v>-880000</v>
      </c>
      <c r="AQ70" s="58">
        <f t="shared" ca="1" si="28"/>
        <v>-880000</v>
      </c>
      <c r="AR70" s="58">
        <f t="shared" ca="1" si="28"/>
        <v>-880000</v>
      </c>
      <c r="AS70" s="58">
        <f t="shared" ca="1" si="28"/>
        <v>-880000</v>
      </c>
      <c r="AT70" s="58">
        <f t="shared" ca="1" si="28"/>
        <v>-880000</v>
      </c>
      <c r="AU70" s="58">
        <f t="shared" ca="1" si="28"/>
        <v>-880000</v>
      </c>
      <c r="AV70" s="58">
        <f t="shared" ca="1" si="28"/>
        <v>-880000</v>
      </c>
      <c r="AW70" s="58">
        <f t="shared" ca="1" si="28"/>
        <v>-880000</v>
      </c>
      <c r="AX70" s="58">
        <f t="shared" ca="1" si="28"/>
        <v>-880000</v>
      </c>
      <c r="AY70" s="58">
        <f t="shared" ca="1" si="28"/>
        <v>-880000</v>
      </c>
      <c r="AZ70" s="58">
        <f t="shared" ca="1" si="28"/>
        <v>-880000</v>
      </c>
      <c r="BA70" s="58">
        <f t="shared" ca="1" si="28"/>
        <v>-880000</v>
      </c>
      <c r="BS70" s="5">
        <f t="shared" si="23"/>
        <v>0</v>
      </c>
      <c r="BT70" s="5" t="str">
        <f t="shared" si="24"/>
        <v>2026V_Vorsorg3</v>
      </c>
      <c r="BU70">
        <v>2026</v>
      </c>
      <c r="BV70" t="s">
        <v>95</v>
      </c>
      <c r="BW70">
        <v>3</v>
      </c>
      <c r="BX70">
        <v>1</v>
      </c>
      <c r="BY70" s="12">
        <v>0</v>
      </c>
      <c r="CB70" t="s">
        <v>244</v>
      </c>
      <c r="CC70">
        <v>1</v>
      </c>
      <c r="CD70" s="5" t="str">
        <f t="shared" ca="1" si="26"/>
        <v>Sheldon</v>
      </c>
      <c r="CE70" s="5" t="str">
        <f t="shared" ca="1" si="27"/>
        <v>PostFinance Säule 3a Depot I</v>
      </c>
      <c r="CF70" s="5" t="str">
        <f t="shared" ca="1" si="25"/>
        <v>Sheldon - PostFinance Säule 3a Depot I - Bezug</v>
      </c>
      <c r="CG70" s="5"/>
    </row>
    <row r="71" spans="1:85" x14ac:dyDescent="0.25">
      <c r="A71" s="57" t="str" cm="1">
        <f t="array" aca="1" ref="A71:A75" ca="1">INDIRECT($B70&amp;"[Titel]")</f>
        <v>MigrosBank SARON</v>
      </c>
      <c r="B71" s="57" cm="1">
        <f t="array" aca="1" ref="B71:B75" ca="1">INDIRECT($B70&amp;"[Id]")</f>
        <v>1</v>
      </c>
      <c r="C71" s="53" t="str" cm="1">
        <f t="array" aca="1" ref="C71:C75" ca="1">INDIRECT($B70&amp;"[Zugehörigkeit Bezeichnung]")</f>
        <v>Amy</v>
      </c>
      <c r="D71" s="54" cm="1">
        <f t="array" aca="1" ref="D71:D75" ca="1">INDIRECT($B70&amp;"[Rendite / Zins]")</f>
        <v>0.02</v>
      </c>
      <c r="E71" s="62" cm="1">
        <f t="array" aca="1" ref="E71:E75" ca="1">INDIRECT($B70&amp;"[Betrag]")</f>
        <v>-180000</v>
      </c>
      <c r="F71" s="59" cm="1">
        <f t="array" aca="1" ref="F71:F75" ca="1">_xlfn.SWITCH(IFERROR(VLOOKUP(F$3&amp;$B$70&amp;_xlfn.ANCHORARRAY($B71),$BT:$CA,5,0),0),
0,_xlfn.ANCHORARRAY(E71)+SUMIF($BT:$BT,F$3&amp;$B$70&amp;_xlfn.ANCHORARRAY($B71),$CA:$CA),
1,VLOOKUP(F$3&amp;$B$70&amp;_xlfn.ANCHORARRAY($B71),$BT:$CA,6,0),
2,_xlfn.ANCHORARRAY(E71)*VLOOKUP(F$3&amp;$B$70&amp;_xlfn.ANCHORARRAY($B71),$BT:$CA,7,0))</f>
        <v>-180000</v>
      </c>
      <c r="G71" s="59" cm="1">
        <f t="array" aca="1" ref="G71:G75" ca="1">_xlfn.SWITCH(IFERROR(VLOOKUP(G$3&amp;$B$70&amp;_xlfn.ANCHORARRAY($B71),$BT:$CA,5,0),0),
0,_xlfn.ANCHORARRAY(F71)+SUMIF($BT:$BT,G$3&amp;$B$70&amp;_xlfn.ANCHORARRAY($B71),$CA:$CA),
1,VLOOKUP(G$3&amp;$B$70&amp;_xlfn.ANCHORARRAY($B71),$BT:$CA,6,0),
2,_xlfn.ANCHORARRAY(F71)*VLOOKUP(G$3&amp;$B$70&amp;_xlfn.ANCHORARRAY($B71),$BT:$CA,7,0))</f>
        <v>-180000</v>
      </c>
      <c r="H71" s="59" cm="1">
        <f t="array" aca="1" ref="H71:H75" ca="1">_xlfn.SWITCH(IFERROR(VLOOKUP(H$3&amp;$B$70&amp;_xlfn.ANCHORARRAY($B71),$BT:$CA,5,0),0),
0,_xlfn.ANCHORARRAY(G71)+SUMIF($BT:$BT,H$3&amp;$B$70&amp;_xlfn.ANCHORARRAY($B71),$CA:$CA),
1,VLOOKUP(H$3&amp;$B$70&amp;_xlfn.ANCHORARRAY($B71),$BT:$CA,6,0),
2,_xlfn.ANCHORARRAY(G71)*VLOOKUP(H$3&amp;$B$70&amp;_xlfn.ANCHORARRAY($B71),$BT:$CA,7,0))</f>
        <v>-180000</v>
      </c>
      <c r="I71" s="59" cm="1">
        <f t="array" aca="1" ref="I71:I75" ca="1">_xlfn.SWITCH(IFERROR(VLOOKUP(I$3&amp;$B$70&amp;_xlfn.ANCHORARRAY($B71),$BT:$CA,5,0),0),
0,_xlfn.ANCHORARRAY(H71)+SUMIF($BT:$BT,I$3&amp;$B$70&amp;_xlfn.ANCHORARRAY($B71),$CA:$CA),
1,VLOOKUP(I$3&amp;$B$70&amp;_xlfn.ANCHORARRAY($B71),$BT:$CA,6,0),
2,_xlfn.ANCHORARRAY(H71)*VLOOKUP(I$3&amp;$B$70&amp;_xlfn.ANCHORARRAY($B71),$BT:$CA,7,0))</f>
        <v>-180000</v>
      </c>
      <c r="J71" s="59" cm="1">
        <f t="array" aca="1" ref="J71:J75" ca="1">_xlfn.SWITCH(IFERROR(VLOOKUP(J$3&amp;$B$70&amp;_xlfn.ANCHORARRAY($B71),$BT:$CA,5,0),0),
0,_xlfn.ANCHORARRAY(I71)+SUMIF($BT:$BT,J$3&amp;$B$70&amp;_xlfn.ANCHORARRAY($B71),$CA:$CA),
1,VLOOKUP(J$3&amp;$B$70&amp;_xlfn.ANCHORARRAY($B71),$BT:$CA,6,0),
2,_xlfn.ANCHORARRAY(I71)*VLOOKUP(J$3&amp;$B$70&amp;_xlfn.ANCHORARRAY($B71),$BT:$CA,7,0))</f>
        <v>0</v>
      </c>
      <c r="K71" s="59" cm="1">
        <f t="array" aca="1" ref="K71:K75" ca="1">_xlfn.SWITCH(IFERROR(VLOOKUP(K$3&amp;$B$70&amp;_xlfn.ANCHORARRAY($B71),$BT:$CA,5,0),0),
0,_xlfn.ANCHORARRAY(J71)+SUMIF($BT:$BT,K$3&amp;$B$70&amp;_xlfn.ANCHORARRAY($B71),$CA:$CA),
1,VLOOKUP(K$3&amp;$B$70&amp;_xlfn.ANCHORARRAY($B71),$BT:$CA,6,0),
2,_xlfn.ANCHORARRAY(J71)*VLOOKUP(K$3&amp;$B$70&amp;_xlfn.ANCHORARRAY($B71),$BT:$CA,7,0))</f>
        <v>0</v>
      </c>
      <c r="L71" s="59" cm="1">
        <f t="array" aca="1" ref="L71:L75" ca="1">_xlfn.SWITCH(IFERROR(VLOOKUP(L$3&amp;$B$70&amp;_xlfn.ANCHORARRAY($B71),$BT:$CA,5,0),0),
0,_xlfn.ANCHORARRAY(K71)+SUMIF($BT:$BT,L$3&amp;$B$70&amp;_xlfn.ANCHORARRAY($B71),$CA:$CA),
1,VLOOKUP(L$3&amp;$B$70&amp;_xlfn.ANCHORARRAY($B71),$BT:$CA,6,0),
2,_xlfn.ANCHORARRAY(K71)*VLOOKUP(L$3&amp;$B$70&amp;_xlfn.ANCHORARRAY($B71),$BT:$CA,7,0))</f>
        <v>0</v>
      </c>
      <c r="M71" s="59" cm="1">
        <f t="array" aca="1" ref="M71:M75" ca="1">_xlfn.SWITCH(IFERROR(VLOOKUP(M$3&amp;$B$70&amp;_xlfn.ANCHORARRAY($B71),$BT:$CA,5,0),0),
0,_xlfn.ANCHORARRAY(L71)+SUMIF($BT:$BT,M$3&amp;$B$70&amp;_xlfn.ANCHORARRAY($B71),$CA:$CA),
1,VLOOKUP(M$3&amp;$B$70&amp;_xlfn.ANCHORARRAY($B71),$BT:$CA,6,0),
2,_xlfn.ANCHORARRAY(L71)*VLOOKUP(M$3&amp;$B$70&amp;_xlfn.ANCHORARRAY($B71),$BT:$CA,7,0))</f>
        <v>0</v>
      </c>
      <c r="N71" s="59" cm="1">
        <f t="array" aca="1" ref="N71:N75" ca="1">_xlfn.SWITCH(IFERROR(VLOOKUP(N$3&amp;$B$70&amp;_xlfn.ANCHORARRAY($B71),$BT:$CA,5,0),0),
0,_xlfn.ANCHORARRAY(M71)+SUMIF($BT:$BT,N$3&amp;$B$70&amp;_xlfn.ANCHORARRAY($B71),$CA:$CA),
1,VLOOKUP(N$3&amp;$B$70&amp;_xlfn.ANCHORARRAY($B71),$BT:$CA,6,0),
2,_xlfn.ANCHORARRAY(M71)*VLOOKUP(N$3&amp;$B$70&amp;_xlfn.ANCHORARRAY($B71),$BT:$CA,7,0))</f>
        <v>0</v>
      </c>
      <c r="O71" s="59" cm="1">
        <f t="array" aca="1" ref="O71:O75" ca="1">_xlfn.SWITCH(IFERROR(VLOOKUP(O$3&amp;$B$70&amp;_xlfn.ANCHORARRAY($B71),$BT:$CA,5,0),0),
0,_xlfn.ANCHORARRAY(N71)+SUMIF($BT:$BT,O$3&amp;$B$70&amp;_xlfn.ANCHORARRAY($B71),$CA:$CA),
1,VLOOKUP(O$3&amp;$B$70&amp;_xlfn.ANCHORARRAY($B71),$BT:$CA,6,0),
2,_xlfn.ANCHORARRAY(N71)*VLOOKUP(O$3&amp;$B$70&amp;_xlfn.ANCHORARRAY($B71),$BT:$CA,7,0))</f>
        <v>0</v>
      </c>
      <c r="P71" s="59" cm="1">
        <f t="array" aca="1" ref="P71:P75" ca="1">_xlfn.SWITCH(IFERROR(VLOOKUP(P$3&amp;$B$70&amp;_xlfn.ANCHORARRAY($B71),$BT:$CA,5,0),0),
0,_xlfn.ANCHORARRAY(O71)+SUMIF($BT:$BT,P$3&amp;$B$70&amp;_xlfn.ANCHORARRAY($B71),$CA:$CA),
1,VLOOKUP(P$3&amp;$B$70&amp;_xlfn.ANCHORARRAY($B71),$BT:$CA,6,0),
2,_xlfn.ANCHORARRAY(O71)*VLOOKUP(P$3&amp;$B$70&amp;_xlfn.ANCHORARRAY($B71),$BT:$CA,7,0))</f>
        <v>0</v>
      </c>
      <c r="Q71" s="59" cm="1">
        <f t="array" aca="1" ref="Q71:Q75" ca="1">_xlfn.SWITCH(IFERROR(VLOOKUP(Q$3&amp;$B$70&amp;_xlfn.ANCHORARRAY($B71),$BT:$CA,5,0),0),
0,_xlfn.ANCHORARRAY(P71)+SUMIF($BT:$BT,Q$3&amp;$B$70&amp;_xlfn.ANCHORARRAY($B71),$CA:$CA),
1,VLOOKUP(Q$3&amp;$B$70&amp;_xlfn.ANCHORARRAY($B71),$BT:$CA,6,0),
2,_xlfn.ANCHORARRAY(P71)*VLOOKUP(Q$3&amp;$B$70&amp;_xlfn.ANCHORARRAY($B71),$BT:$CA,7,0))</f>
        <v>0</v>
      </c>
      <c r="R71" s="59" cm="1">
        <f t="array" aca="1" ref="R71:R75" ca="1">_xlfn.SWITCH(IFERROR(VLOOKUP(R$3&amp;$B$70&amp;_xlfn.ANCHORARRAY($B71),$BT:$CA,5,0),0),
0,_xlfn.ANCHORARRAY(Q71)+SUMIF($BT:$BT,R$3&amp;$B$70&amp;_xlfn.ANCHORARRAY($B71),$CA:$CA),
1,VLOOKUP(R$3&amp;$B$70&amp;_xlfn.ANCHORARRAY($B71),$BT:$CA,6,0),
2,_xlfn.ANCHORARRAY(Q71)*VLOOKUP(R$3&amp;$B$70&amp;_xlfn.ANCHORARRAY($B71),$BT:$CA,7,0))</f>
        <v>0</v>
      </c>
      <c r="S71" s="59" cm="1">
        <f t="array" aca="1" ref="S71:S75" ca="1">_xlfn.SWITCH(IFERROR(VLOOKUP(S$3&amp;$B$70&amp;_xlfn.ANCHORARRAY($B71),$BT:$CA,5,0),0),
0,_xlfn.ANCHORARRAY(R71)+SUMIF($BT:$BT,S$3&amp;$B$70&amp;_xlfn.ANCHORARRAY($B71),$CA:$CA),
1,VLOOKUP(S$3&amp;$B$70&amp;_xlfn.ANCHORARRAY($B71),$BT:$CA,6,0),
2,_xlfn.ANCHORARRAY(R71)*VLOOKUP(S$3&amp;$B$70&amp;_xlfn.ANCHORARRAY($B71),$BT:$CA,7,0))</f>
        <v>0</v>
      </c>
      <c r="T71" s="59" cm="1">
        <f t="array" aca="1" ref="T71:T75" ca="1">_xlfn.SWITCH(IFERROR(VLOOKUP(T$3&amp;$B$70&amp;_xlfn.ANCHORARRAY($B71),$BT:$CA,5,0),0),
0,_xlfn.ANCHORARRAY(S71)+SUMIF($BT:$BT,T$3&amp;$B$70&amp;_xlfn.ANCHORARRAY($B71),$CA:$CA),
1,VLOOKUP(T$3&amp;$B$70&amp;_xlfn.ANCHORARRAY($B71),$BT:$CA,6,0),
2,_xlfn.ANCHORARRAY(S71)*VLOOKUP(T$3&amp;$B$70&amp;_xlfn.ANCHORARRAY($B71),$BT:$CA,7,0))</f>
        <v>0</v>
      </c>
      <c r="U71" s="59" cm="1">
        <f t="array" aca="1" ref="U71:U75" ca="1">_xlfn.SWITCH(IFERROR(VLOOKUP(U$3&amp;$B$70&amp;_xlfn.ANCHORARRAY($B71),$BT:$CA,5,0),0),
0,_xlfn.ANCHORARRAY(T71)+SUMIF($BT:$BT,U$3&amp;$B$70&amp;_xlfn.ANCHORARRAY($B71),$CA:$CA),
1,VLOOKUP(U$3&amp;$B$70&amp;_xlfn.ANCHORARRAY($B71),$BT:$CA,6,0),
2,_xlfn.ANCHORARRAY(T71)*VLOOKUP(U$3&amp;$B$70&amp;_xlfn.ANCHORARRAY($B71),$BT:$CA,7,0))</f>
        <v>0</v>
      </c>
      <c r="V71" s="59" cm="1">
        <f t="array" aca="1" ref="V71:V75" ca="1">_xlfn.SWITCH(IFERROR(VLOOKUP(V$3&amp;$B$70&amp;_xlfn.ANCHORARRAY($B71),$BT:$CA,5,0),0),
0,_xlfn.ANCHORARRAY(U71)+SUMIF($BT:$BT,V$3&amp;$B$70&amp;_xlfn.ANCHORARRAY($B71),$CA:$CA),
1,VLOOKUP(V$3&amp;$B$70&amp;_xlfn.ANCHORARRAY($B71),$BT:$CA,6,0),
2,_xlfn.ANCHORARRAY(U71)*VLOOKUP(V$3&amp;$B$70&amp;_xlfn.ANCHORARRAY($B71),$BT:$CA,7,0))</f>
        <v>0</v>
      </c>
      <c r="W71" s="59" cm="1">
        <f t="array" aca="1" ref="W71:W75" ca="1">_xlfn.SWITCH(IFERROR(VLOOKUP(W$3&amp;$B$70&amp;_xlfn.ANCHORARRAY($B71),$BT:$CA,5,0),0),
0,_xlfn.ANCHORARRAY(V71)+SUMIF($BT:$BT,W$3&amp;$B$70&amp;_xlfn.ANCHORARRAY($B71),$CA:$CA),
1,VLOOKUP(W$3&amp;$B$70&amp;_xlfn.ANCHORARRAY($B71),$BT:$CA,6,0),
2,_xlfn.ANCHORARRAY(V71)*VLOOKUP(W$3&amp;$B$70&amp;_xlfn.ANCHORARRAY($B71),$BT:$CA,7,0))</f>
        <v>0</v>
      </c>
      <c r="X71" s="59" cm="1">
        <f t="array" aca="1" ref="X71:X75" ca="1">_xlfn.SWITCH(IFERROR(VLOOKUP(X$3&amp;$B$70&amp;_xlfn.ANCHORARRAY($B71),$BT:$CA,5,0),0),
0,_xlfn.ANCHORARRAY(W71)+SUMIF($BT:$BT,X$3&amp;$B$70&amp;_xlfn.ANCHORARRAY($B71),$CA:$CA),
1,VLOOKUP(X$3&amp;$B$70&amp;_xlfn.ANCHORARRAY($B71),$BT:$CA,6,0),
2,_xlfn.ANCHORARRAY(W71)*VLOOKUP(X$3&amp;$B$70&amp;_xlfn.ANCHORARRAY($B71),$BT:$CA,7,0))</f>
        <v>0</v>
      </c>
      <c r="Y71" s="59" cm="1">
        <f t="array" aca="1" ref="Y71:Y75" ca="1">_xlfn.SWITCH(IFERROR(VLOOKUP(Y$3&amp;$B$70&amp;_xlfn.ANCHORARRAY($B71),$BT:$CA,5,0),0),
0,_xlfn.ANCHORARRAY(X71)+SUMIF($BT:$BT,Y$3&amp;$B$70&amp;_xlfn.ANCHORARRAY($B71),$CA:$CA),
1,VLOOKUP(Y$3&amp;$B$70&amp;_xlfn.ANCHORARRAY($B71),$BT:$CA,6,0),
2,_xlfn.ANCHORARRAY(X71)*VLOOKUP(Y$3&amp;$B$70&amp;_xlfn.ANCHORARRAY($B71),$BT:$CA,7,0))</f>
        <v>0</v>
      </c>
      <c r="Z71" s="59" cm="1">
        <f t="array" aca="1" ref="Z71:Z75" ca="1">_xlfn.SWITCH(IFERROR(VLOOKUP(Z$3&amp;$B$70&amp;_xlfn.ANCHORARRAY($B71),$BT:$CA,5,0),0),
0,_xlfn.ANCHORARRAY(Y71)+SUMIF($BT:$BT,Z$3&amp;$B$70&amp;_xlfn.ANCHORARRAY($B71),$CA:$CA),
1,VLOOKUP(Z$3&amp;$B$70&amp;_xlfn.ANCHORARRAY($B71),$BT:$CA,6,0),
2,_xlfn.ANCHORARRAY(Y71)*VLOOKUP(Z$3&amp;$B$70&amp;_xlfn.ANCHORARRAY($B71),$BT:$CA,7,0))</f>
        <v>0</v>
      </c>
      <c r="AA71" s="59" cm="1">
        <f t="array" aca="1" ref="AA71:AA75" ca="1">_xlfn.SWITCH(IFERROR(VLOOKUP(AA$3&amp;$B$70&amp;_xlfn.ANCHORARRAY($B71),$BT:$CA,5,0),0),
0,_xlfn.ANCHORARRAY(Z71)+SUMIF($BT:$BT,AA$3&amp;$B$70&amp;_xlfn.ANCHORARRAY($B71),$CA:$CA),
1,VLOOKUP(AA$3&amp;$B$70&amp;_xlfn.ANCHORARRAY($B71),$BT:$CA,6,0),
2,_xlfn.ANCHORARRAY(Z71)*VLOOKUP(AA$3&amp;$B$70&amp;_xlfn.ANCHORARRAY($B71),$BT:$CA,7,0))</f>
        <v>0</v>
      </c>
      <c r="AB71" s="59" cm="1">
        <f t="array" aca="1" ref="AB71:AB75" ca="1">_xlfn.SWITCH(IFERROR(VLOOKUP(AB$3&amp;$B$70&amp;_xlfn.ANCHORARRAY($B71),$BT:$CA,5,0),0),
0,_xlfn.ANCHORARRAY(AA71)+SUMIF($BT:$BT,AB$3&amp;$B$70&amp;_xlfn.ANCHORARRAY($B71),$CA:$CA),
1,VLOOKUP(AB$3&amp;$B$70&amp;_xlfn.ANCHORARRAY($B71),$BT:$CA,6,0),
2,_xlfn.ANCHORARRAY(AA71)*VLOOKUP(AB$3&amp;$B$70&amp;_xlfn.ANCHORARRAY($B71),$BT:$CA,7,0))</f>
        <v>0</v>
      </c>
      <c r="AC71" s="59" cm="1">
        <f t="array" aca="1" ref="AC71:AC75" ca="1">_xlfn.SWITCH(IFERROR(VLOOKUP(AC$3&amp;$B$70&amp;_xlfn.ANCHORARRAY($B71),$BT:$CA,5,0),0),
0,_xlfn.ANCHORARRAY(AB71)+SUMIF($BT:$BT,AC$3&amp;$B$70&amp;_xlfn.ANCHORARRAY($B71),$CA:$CA),
1,VLOOKUP(AC$3&amp;$B$70&amp;_xlfn.ANCHORARRAY($B71),$BT:$CA,6,0),
2,_xlfn.ANCHORARRAY(AB71)*VLOOKUP(AC$3&amp;$B$70&amp;_xlfn.ANCHORARRAY($B71),$BT:$CA,7,0))</f>
        <v>0</v>
      </c>
      <c r="AD71" s="59" cm="1">
        <f t="array" aca="1" ref="AD71:AD75" ca="1">_xlfn.SWITCH(IFERROR(VLOOKUP(AD$3&amp;$B$70&amp;_xlfn.ANCHORARRAY($B71),$BT:$CA,5,0),0),
0,_xlfn.ANCHORARRAY(AC71)+SUMIF($BT:$BT,AD$3&amp;$B$70&amp;_xlfn.ANCHORARRAY($B71),$CA:$CA),
1,VLOOKUP(AD$3&amp;$B$70&amp;_xlfn.ANCHORARRAY($B71),$BT:$CA,6,0),
2,_xlfn.ANCHORARRAY(AC71)*VLOOKUP(AD$3&amp;$B$70&amp;_xlfn.ANCHORARRAY($B71),$BT:$CA,7,0))</f>
        <v>0</v>
      </c>
      <c r="AE71" s="59" cm="1">
        <f t="array" aca="1" ref="AE71:AE75" ca="1">_xlfn.SWITCH(IFERROR(VLOOKUP(AE$3&amp;$B$70&amp;_xlfn.ANCHORARRAY($B71),$BT:$CA,5,0),0),
0,_xlfn.ANCHORARRAY(AD71)+SUMIF($BT:$BT,AE$3&amp;$B$70&amp;_xlfn.ANCHORARRAY($B71),$CA:$CA),
1,VLOOKUP(AE$3&amp;$B$70&amp;_xlfn.ANCHORARRAY($B71),$BT:$CA,6,0),
2,_xlfn.ANCHORARRAY(AD71)*VLOOKUP(AE$3&amp;$B$70&amp;_xlfn.ANCHORARRAY($B71),$BT:$CA,7,0))</f>
        <v>0</v>
      </c>
      <c r="AF71" s="59" cm="1">
        <f t="array" aca="1" ref="AF71:AF75" ca="1">_xlfn.SWITCH(IFERROR(VLOOKUP(AF$3&amp;$B$70&amp;_xlfn.ANCHORARRAY($B71),$BT:$CA,5,0),0),
0,_xlfn.ANCHORARRAY(AE71)+SUMIF($BT:$BT,AF$3&amp;$B$70&amp;_xlfn.ANCHORARRAY($B71),$CA:$CA),
1,VLOOKUP(AF$3&amp;$B$70&amp;_xlfn.ANCHORARRAY($B71),$BT:$CA,6,0),
2,_xlfn.ANCHORARRAY(AE71)*VLOOKUP(AF$3&amp;$B$70&amp;_xlfn.ANCHORARRAY($B71),$BT:$CA,7,0))</f>
        <v>0</v>
      </c>
      <c r="AG71" s="59" cm="1">
        <f t="array" aca="1" ref="AG71:AG75" ca="1">_xlfn.SWITCH(IFERROR(VLOOKUP(AG$3&amp;$B$70&amp;_xlfn.ANCHORARRAY($B71),$BT:$CA,5,0),0),
0,_xlfn.ANCHORARRAY(AF71)+SUMIF($BT:$BT,AG$3&amp;$B$70&amp;_xlfn.ANCHORARRAY($B71),$CA:$CA),
1,VLOOKUP(AG$3&amp;$B$70&amp;_xlfn.ANCHORARRAY($B71),$BT:$CA,6,0),
2,_xlfn.ANCHORARRAY(AF71)*VLOOKUP(AG$3&amp;$B$70&amp;_xlfn.ANCHORARRAY($B71),$BT:$CA,7,0))</f>
        <v>0</v>
      </c>
      <c r="AH71" s="59" cm="1">
        <f t="array" aca="1" ref="AH71:AH75" ca="1">_xlfn.SWITCH(IFERROR(VLOOKUP(AH$3&amp;$B$70&amp;_xlfn.ANCHORARRAY($B71),$BT:$CA,5,0),0),
0,_xlfn.ANCHORARRAY(AG71)+SUMIF($BT:$BT,AH$3&amp;$B$70&amp;_xlfn.ANCHORARRAY($B71),$CA:$CA),
1,VLOOKUP(AH$3&amp;$B$70&amp;_xlfn.ANCHORARRAY($B71),$BT:$CA,6,0),
2,_xlfn.ANCHORARRAY(AG71)*VLOOKUP(AH$3&amp;$B$70&amp;_xlfn.ANCHORARRAY($B71),$BT:$CA,7,0))</f>
        <v>0</v>
      </c>
      <c r="AI71" s="59" cm="1">
        <f t="array" aca="1" ref="AI71:AI75" ca="1">_xlfn.SWITCH(IFERROR(VLOOKUP(AI$3&amp;$B$70&amp;_xlfn.ANCHORARRAY($B71),$BT:$CA,5,0),0),
0,_xlfn.ANCHORARRAY(AH71)+SUMIF($BT:$BT,AI$3&amp;$B$70&amp;_xlfn.ANCHORARRAY($B71),$CA:$CA),
1,VLOOKUP(AI$3&amp;$B$70&amp;_xlfn.ANCHORARRAY($B71),$BT:$CA,6,0),
2,_xlfn.ANCHORARRAY(AH71)*VLOOKUP(AI$3&amp;$B$70&amp;_xlfn.ANCHORARRAY($B71),$BT:$CA,7,0))</f>
        <v>0</v>
      </c>
      <c r="AJ71" s="59" cm="1">
        <f t="array" aca="1" ref="AJ71:AJ75" ca="1">_xlfn.SWITCH(IFERROR(VLOOKUP(AJ$3&amp;$B$70&amp;_xlfn.ANCHORARRAY($B71),$BT:$CA,5,0),0),
0,_xlfn.ANCHORARRAY(AI71)+SUMIF($BT:$BT,AJ$3&amp;$B$70&amp;_xlfn.ANCHORARRAY($B71),$CA:$CA),
1,VLOOKUP(AJ$3&amp;$B$70&amp;_xlfn.ANCHORARRAY($B71),$BT:$CA,6,0),
2,_xlfn.ANCHORARRAY(AI71)*VLOOKUP(AJ$3&amp;$B$70&amp;_xlfn.ANCHORARRAY($B71),$BT:$CA,7,0))</f>
        <v>0</v>
      </c>
      <c r="AK71" s="59" cm="1">
        <f t="array" aca="1" ref="AK71:AK75" ca="1">_xlfn.SWITCH(IFERROR(VLOOKUP(AK$3&amp;$B$70&amp;_xlfn.ANCHORARRAY($B71),$BT:$CA,5,0),0),
0,_xlfn.ANCHORARRAY(AJ71)+SUMIF($BT:$BT,AK$3&amp;$B$70&amp;_xlfn.ANCHORARRAY($B71),$CA:$CA),
1,VLOOKUP(AK$3&amp;$B$70&amp;_xlfn.ANCHORARRAY($B71),$BT:$CA,6,0),
2,_xlfn.ANCHORARRAY(AJ71)*VLOOKUP(AK$3&amp;$B$70&amp;_xlfn.ANCHORARRAY($B71),$BT:$CA,7,0))</f>
        <v>0</v>
      </c>
      <c r="AL71" s="59" cm="1">
        <f t="array" aca="1" ref="AL71:AL75" ca="1">_xlfn.SWITCH(IFERROR(VLOOKUP(AL$3&amp;$B$70&amp;_xlfn.ANCHORARRAY($B71),$BT:$CA,5,0),0),
0,_xlfn.ANCHORARRAY(AK71)+SUMIF($BT:$BT,AL$3&amp;$B$70&amp;_xlfn.ANCHORARRAY($B71),$CA:$CA),
1,VLOOKUP(AL$3&amp;$B$70&amp;_xlfn.ANCHORARRAY($B71),$BT:$CA,6,0),
2,_xlfn.ANCHORARRAY(AK71)*VLOOKUP(AL$3&amp;$B$70&amp;_xlfn.ANCHORARRAY($B71),$BT:$CA,7,0))</f>
        <v>0</v>
      </c>
      <c r="AM71" s="59" cm="1">
        <f t="array" aca="1" ref="AM71:AM75" ca="1">_xlfn.SWITCH(IFERROR(VLOOKUP(AM$3&amp;$B$70&amp;_xlfn.ANCHORARRAY($B71),$BT:$CA,5,0),0),
0,_xlfn.ANCHORARRAY(AL71)+SUMIF($BT:$BT,AM$3&amp;$B$70&amp;_xlfn.ANCHORARRAY($B71),$CA:$CA),
1,VLOOKUP(AM$3&amp;$B$70&amp;_xlfn.ANCHORARRAY($B71),$BT:$CA,6,0),
2,_xlfn.ANCHORARRAY(AL71)*VLOOKUP(AM$3&amp;$B$70&amp;_xlfn.ANCHORARRAY($B71),$BT:$CA,7,0))</f>
        <v>0</v>
      </c>
      <c r="AN71" s="59" cm="1">
        <f t="array" aca="1" ref="AN71:AN75" ca="1">_xlfn.SWITCH(IFERROR(VLOOKUP(AN$3&amp;$B$70&amp;_xlfn.ANCHORARRAY($B71),$BT:$CA,5,0),0),
0,_xlfn.ANCHORARRAY(AM71)+SUMIF($BT:$BT,AN$3&amp;$B$70&amp;_xlfn.ANCHORARRAY($B71),$CA:$CA),
1,VLOOKUP(AN$3&amp;$B$70&amp;_xlfn.ANCHORARRAY($B71),$BT:$CA,6,0),
2,_xlfn.ANCHORARRAY(AM71)*VLOOKUP(AN$3&amp;$B$70&amp;_xlfn.ANCHORARRAY($B71),$BT:$CA,7,0))</f>
        <v>0</v>
      </c>
      <c r="AO71" s="59" cm="1">
        <f t="array" aca="1" ref="AO71:AO75" ca="1">_xlfn.SWITCH(IFERROR(VLOOKUP(AO$3&amp;$B$70&amp;_xlfn.ANCHORARRAY($B71),$BT:$CA,5,0),0),
0,_xlfn.ANCHORARRAY(AN71)+SUMIF($BT:$BT,AO$3&amp;$B$70&amp;_xlfn.ANCHORARRAY($B71),$CA:$CA),
1,VLOOKUP(AO$3&amp;$B$70&amp;_xlfn.ANCHORARRAY($B71),$BT:$CA,6,0),
2,_xlfn.ANCHORARRAY(AN71)*VLOOKUP(AO$3&amp;$B$70&amp;_xlfn.ANCHORARRAY($B71),$BT:$CA,7,0))</f>
        <v>0</v>
      </c>
      <c r="AP71" s="59" cm="1">
        <f t="array" aca="1" ref="AP71:AP75" ca="1">_xlfn.SWITCH(IFERROR(VLOOKUP(AP$3&amp;$B$70&amp;_xlfn.ANCHORARRAY($B71),$BT:$CA,5,0),0),
0,_xlfn.ANCHORARRAY(AO71)+SUMIF($BT:$BT,AP$3&amp;$B$70&amp;_xlfn.ANCHORARRAY($B71),$CA:$CA),
1,VLOOKUP(AP$3&amp;$B$70&amp;_xlfn.ANCHORARRAY($B71),$BT:$CA,6,0),
2,_xlfn.ANCHORARRAY(AO71)*VLOOKUP(AP$3&amp;$B$70&amp;_xlfn.ANCHORARRAY($B71),$BT:$CA,7,0))</f>
        <v>0</v>
      </c>
      <c r="AQ71" s="59" cm="1">
        <f t="array" aca="1" ref="AQ71:AQ75" ca="1">_xlfn.SWITCH(IFERROR(VLOOKUP(AQ$3&amp;$B$70&amp;_xlfn.ANCHORARRAY($B71),$BT:$CA,5,0),0),
0,_xlfn.ANCHORARRAY(AP71)+SUMIF($BT:$BT,AQ$3&amp;$B$70&amp;_xlfn.ANCHORARRAY($B71),$CA:$CA),
1,VLOOKUP(AQ$3&amp;$B$70&amp;_xlfn.ANCHORARRAY($B71),$BT:$CA,6,0),
2,_xlfn.ANCHORARRAY(AP71)*VLOOKUP(AQ$3&amp;$B$70&amp;_xlfn.ANCHORARRAY($B71),$BT:$CA,7,0))</f>
        <v>0</v>
      </c>
      <c r="AR71" s="59" cm="1">
        <f t="array" aca="1" ref="AR71:AR75" ca="1">_xlfn.SWITCH(IFERROR(VLOOKUP(AR$3&amp;$B$70&amp;_xlfn.ANCHORARRAY($B71),$BT:$CA,5,0),0),
0,_xlfn.ANCHORARRAY(AQ71)+SUMIF($BT:$BT,AR$3&amp;$B$70&amp;_xlfn.ANCHORARRAY($B71),$CA:$CA),
1,VLOOKUP(AR$3&amp;$B$70&amp;_xlfn.ANCHORARRAY($B71),$BT:$CA,6,0),
2,_xlfn.ANCHORARRAY(AQ71)*VLOOKUP(AR$3&amp;$B$70&amp;_xlfn.ANCHORARRAY($B71),$BT:$CA,7,0))</f>
        <v>0</v>
      </c>
      <c r="AS71" s="59" cm="1">
        <f t="array" aca="1" ref="AS71:AS75" ca="1">_xlfn.SWITCH(IFERROR(VLOOKUP(AS$3&amp;$B$70&amp;_xlfn.ANCHORARRAY($B71),$BT:$CA,5,0),0),
0,_xlfn.ANCHORARRAY(AR71)+SUMIF($BT:$BT,AS$3&amp;$B$70&amp;_xlfn.ANCHORARRAY($B71),$CA:$CA),
1,VLOOKUP(AS$3&amp;$B$70&amp;_xlfn.ANCHORARRAY($B71),$BT:$CA,6,0),
2,_xlfn.ANCHORARRAY(AR71)*VLOOKUP(AS$3&amp;$B$70&amp;_xlfn.ANCHORARRAY($B71),$BT:$CA,7,0))</f>
        <v>0</v>
      </c>
      <c r="AT71" s="59" cm="1">
        <f t="array" aca="1" ref="AT71:AT75" ca="1">_xlfn.SWITCH(IFERROR(VLOOKUP(AT$3&amp;$B$70&amp;_xlfn.ANCHORARRAY($B71),$BT:$CA,5,0),0),
0,_xlfn.ANCHORARRAY(AS71)+SUMIF($BT:$BT,AT$3&amp;$B$70&amp;_xlfn.ANCHORARRAY($B71),$CA:$CA),
1,VLOOKUP(AT$3&amp;$B$70&amp;_xlfn.ANCHORARRAY($B71),$BT:$CA,6,0),
2,_xlfn.ANCHORARRAY(AS71)*VLOOKUP(AT$3&amp;$B$70&amp;_xlfn.ANCHORARRAY($B71),$BT:$CA,7,0))</f>
        <v>0</v>
      </c>
      <c r="AU71" s="59" cm="1">
        <f t="array" aca="1" ref="AU71:AU75" ca="1">_xlfn.SWITCH(IFERROR(VLOOKUP(AU$3&amp;$B$70&amp;_xlfn.ANCHORARRAY($B71),$BT:$CA,5,0),0),
0,_xlfn.ANCHORARRAY(AT71)+SUMIF($BT:$BT,AU$3&amp;$B$70&amp;_xlfn.ANCHORARRAY($B71),$CA:$CA),
1,VLOOKUP(AU$3&amp;$B$70&amp;_xlfn.ANCHORARRAY($B71),$BT:$CA,6,0),
2,_xlfn.ANCHORARRAY(AT71)*VLOOKUP(AU$3&amp;$B$70&amp;_xlfn.ANCHORARRAY($B71),$BT:$CA,7,0))</f>
        <v>0</v>
      </c>
      <c r="AV71" s="59" cm="1">
        <f t="array" aca="1" ref="AV71:AV75" ca="1">_xlfn.SWITCH(IFERROR(VLOOKUP(AV$3&amp;$B$70&amp;_xlfn.ANCHORARRAY($B71),$BT:$CA,5,0),0),
0,_xlfn.ANCHORARRAY(AU71)+SUMIF($BT:$BT,AV$3&amp;$B$70&amp;_xlfn.ANCHORARRAY($B71),$CA:$CA),
1,VLOOKUP(AV$3&amp;$B$70&amp;_xlfn.ANCHORARRAY($B71),$BT:$CA,6,0),
2,_xlfn.ANCHORARRAY(AU71)*VLOOKUP(AV$3&amp;$B$70&amp;_xlfn.ANCHORARRAY($B71),$BT:$CA,7,0))</f>
        <v>0</v>
      </c>
      <c r="AW71" s="59" cm="1">
        <f t="array" aca="1" ref="AW71:AW75" ca="1">_xlfn.SWITCH(IFERROR(VLOOKUP(AW$3&amp;$B$70&amp;_xlfn.ANCHORARRAY($B71),$BT:$CA,5,0),0),
0,_xlfn.ANCHORARRAY(AV71)+SUMIF($BT:$BT,AW$3&amp;$B$70&amp;_xlfn.ANCHORARRAY($B71),$CA:$CA),
1,VLOOKUP(AW$3&amp;$B$70&amp;_xlfn.ANCHORARRAY($B71),$BT:$CA,6,0),
2,_xlfn.ANCHORARRAY(AV71)*VLOOKUP(AW$3&amp;$B$70&amp;_xlfn.ANCHORARRAY($B71),$BT:$CA,7,0))</f>
        <v>0</v>
      </c>
      <c r="AX71" s="59" cm="1">
        <f t="array" aca="1" ref="AX71:AX75" ca="1">_xlfn.SWITCH(IFERROR(VLOOKUP(AX$3&amp;$B$70&amp;_xlfn.ANCHORARRAY($B71),$BT:$CA,5,0),0),
0,_xlfn.ANCHORARRAY(AW71)+SUMIF($BT:$BT,AX$3&amp;$B$70&amp;_xlfn.ANCHORARRAY($B71),$CA:$CA),
1,VLOOKUP(AX$3&amp;$B$70&amp;_xlfn.ANCHORARRAY($B71),$BT:$CA,6,0),
2,_xlfn.ANCHORARRAY(AW71)*VLOOKUP(AX$3&amp;$B$70&amp;_xlfn.ANCHORARRAY($B71),$BT:$CA,7,0))</f>
        <v>0</v>
      </c>
      <c r="AY71" s="59" cm="1">
        <f t="array" aca="1" ref="AY71:AY75" ca="1">_xlfn.SWITCH(IFERROR(VLOOKUP(AY$3&amp;$B$70&amp;_xlfn.ANCHORARRAY($B71),$BT:$CA,5,0),0),
0,_xlfn.ANCHORARRAY(AX71)+SUMIF($BT:$BT,AY$3&amp;$B$70&amp;_xlfn.ANCHORARRAY($B71),$CA:$CA),
1,VLOOKUP(AY$3&amp;$B$70&amp;_xlfn.ANCHORARRAY($B71),$BT:$CA,6,0),
2,_xlfn.ANCHORARRAY(AX71)*VLOOKUP(AY$3&amp;$B$70&amp;_xlfn.ANCHORARRAY($B71),$BT:$CA,7,0))</f>
        <v>0</v>
      </c>
      <c r="AZ71" s="59" cm="1">
        <f t="array" aca="1" ref="AZ71:AZ75" ca="1">_xlfn.SWITCH(IFERROR(VLOOKUP(AZ$3&amp;$B$70&amp;_xlfn.ANCHORARRAY($B71),$BT:$CA,5,0),0),
0,_xlfn.ANCHORARRAY(AY71)+SUMIF($BT:$BT,AZ$3&amp;$B$70&amp;_xlfn.ANCHORARRAY($B71),$CA:$CA),
1,VLOOKUP(AZ$3&amp;$B$70&amp;_xlfn.ANCHORARRAY($B71),$BT:$CA,6,0),
2,_xlfn.ANCHORARRAY(AY71)*VLOOKUP(AZ$3&amp;$B$70&amp;_xlfn.ANCHORARRAY($B71),$BT:$CA,7,0))</f>
        <v>0</v>
      </c>
      <c r="BA71" s="59" cm="1">
        <f t="array" aca="1" ref="BA71:BA75" ca="1">_xlfn.SWITCH(IFERROR(VLOOKUP(BA$3&amp;$B$70&amp;_xlfn.ANCHORARRAY($B71),$BT:$CA,5,0),0),
0,_xlfn.ANCHORARRAY(AZ71)+SUMIF($BT:$BT,BA$3&amp;$B$70&amp;_xlfn.ANCHORARRAY($B71),$CA:$CA),
1,VLOOKUP(BA$3&amp;$B$70&amp;_xlfn.ANCHORARRAY($B71),$BT:$CA,6,0),
2,_xlfn.ANCHORARRAY(AZ71)*VLOOKUP(BA$3&amp;$B$70&amp;_xlfn.ANCHORARRAY($B71),$BT:$CA,7,0))</f>
        <v>0</v>
      </c>
      <c r="BS71" s="5">
        <f t="shared" si="23"/>
        <v>0</v>
      </c>
      <c r="BT71" s="5" t="str">
        <f t="shared" si="24"/>
        <v>2027V_Vorsorg11</v>
      </c>
      <c r="BU71">
        <v>2027</v>
      </c>
      <c r="BV71" t="s">
        <v>95</v>
      </c>
      <c r="BW71">
        <v>11</v>
      </c>
      <c r="BX71">
        <v>1</v>
      </c>
      <c r="BY71" s="12">
        <v>0</v>
      </c>
      <c r="CB71" t="s">
        <v>244</v>
      </c>
      <c r="CC71">
        <v>1</v>
      </c>
      <c r="CD71" s="5" t="str">
        <f t="shared" ca="1" si="26"/>
        <v>Sheldon</v>
      </c>
      <c r="CE71" s="5" t="str">
        <f t="shared" ca="1" si="27"/>
        <v>Neues Säule 3a Gefäss I</v>
      </c>
      <c r="CF71" s="5" t="str">
        <f t="shared" ca="1" si="25"/>
        <v>Sheldon - Neues Säule 3a Gefäss I - Bezug</v>
      </c>
      <c r="CG71" s="5"/>
    </row>
    <row r="72" spans="1:85" x14ac:dyDescent="0.25">
      <c r="A72" s="57" t="str">
        <f ca="1"/>
        <v>MigrosBank Festhypo</v>
      </c>
      <c r="B72" s="57">
        <f ca="1"/>
        <v>2</v>
      </c>
      <c r="C72" s="53" t="str">
        <f ca="1"/>
        <v>Amy</v>
      </c>
      <c r="D72" s="54">
        <f ca="1"/>
        <v>1.2500000000000001E-2</v>
      </c>
      <c r="E72" s="62">
        <f ca="1"/>
        <v>-200000</v>
      </c>
      <c r="F72" s="59">
        <f ca="1"/>
        <v>-200000</v>
      </c>
      <c r="G72" s="59">
        <f ca="1"/>
        <v>-200000</v>
      </c>
      <c r="H72" s="59">
        <f ca="1"/>
        <v>-200000</v>
      </c>
      <c r="I72" s="59">
        <f ca="1"/>
        <v>0</v>
      </c>
      <c r="J72" s="59">
        <f ca="1"/>
        <v>0</v>
      </c>
      <c r="K72" s="59">
        <f ca="1"/>
        <v>0</v>
      </c>
      <c r="L72" s="59">
        <f ca="1"/>
        <v>0</v>
      </c>
      <c r="M72" s="59">
        <f ca="1"/>
        <v>0</v>
      </c>
      <c r="N72" s="59">
        <f ca="1"/>
        <v>0</v>
      </c>
      <c r="O72" s="59">
        <f ca="1"/>
        <v>0</v>
      </c>
      <c r="P72" s="59">
        <f ca="1"/>
        <v>0</v>
      </c>
      <c r="Q72" s="59">
        <f ca="1"/>
        <v>0</v>
      </c>
      <c r="R72" s="59">
        <f ca="1"/>
        <v>0</v>
      </c>
      <c r="S72" s="59">
        <f ca="1"/>
        <v>0</v>
      </c>
      <c r="T72" s="59">
        <f ca="1"/>
        <v>0</v>
      </c>
      <c r="U72" s="59">
        <f ca="1"/>
        <v>0</v>
      </c>
      <c r="V72" s="59">
        <f ca="1"/>
        <v>0</v>
      </c>
      <c r="W72" s="59">
        <f ca="1"/>
        <v>0</v>
      </c>
      <c r="X72" s="59">
        <f ca="1"/>
        <v>0</v>
      </c>
      <c r="Y72" s="59">
        <f ca="1"/>
        <v>0</v>
      </c>
      <c r="Z72" s="59">
        <f ca="1"/>
        <v>0</v>
      </c>
      <c r="AA72" s="59">
        <f ca="1"/>
        <v>0</v>
      </c>
      <c r="AB72" s="59">
        <f ca="1"/>
        <v>0</v>
      </c>
      <c r="AC72" s="59">
        <f ca="1"/>
        <v>0</v>
      </c>
      <c r="AD72" s="59">
        <f ca="1"/>
        <v>0</v>
      </c>
      <c r="AE72" s="59">
        <f ca="1"/>
        <v>0</v>
      </c>
      <c r="AF72" s="59">
        <f ca="1"/>
        <v>0</v>
      </c>
      <c r="AG72" s="59">
        <f ca="1"/>
        <v>0</v>
      </c>
      <c r="AH72" s="59">
        <f ca="1"/>
        <v>0</v>
      </c>
      <c r="AI72" s="59">
        <f ca="1"/>
        <v>0</v>
      </c>
      <c r="AJ72" s="59">
        <f ca="1"/>
        <v>0</v>
      </c>
      <c r="AK72" s="59">
        <f ca="1"/>
        <v>0</v>
      </c>
      <c r="AL72" s="59">
        <f ca="1"/>
        <v>0</v>
      </c>
      <c r="AM72" s="59">
        <f ca="1"/>
        <v>0</v>
      </c>
      <c r="AN72" s="59">
        <f ca="1"/>
        <v>0</v>
      </c>
      <c r="AO72" s="59">
        <f ca="1"/>
        <v>0</v>
      </c>
      <c r="AP72" s="59">
        <f ca="1"/>
        <v>0</v>
      </c>
      <c r="AQ72" s="59">
        <f ca="1"/>
        <v>0</v>
      </c>
      <c r="AR72" s="59">
        <f ca="1"/>
        <v>0</v>
      </c>
      <c r="AS72" s="59">
        <f ca="1"/>
        <v>0</v>
      </c>
      <c r="AT72" s="59">
        <f ca="1"/>
        <v>0</v>
      </c>
      <c r="AU72" s="59">
        <f ca="1"/>
        <v>0</v>
      </c>
      <c r="AV72" s="59">
        <f ca="1"/>
        <v>0</v>
      </c>
      <c r="AW72" s="59">
        <f ca="1"/>
        <v>0</v>
      </c>
      <c r="AX72" s="59">
        <f ca="1"/>
        <v>0</v>
      </c>
      <c r="AY72" s="59">
        <f ca="1"/>
        <v>0</v>
      </c>
      <c r="AZ72" s="59">
        <f ca="1"/>
        <v>0</v>
      </c>
      <c r="BA72" s="59">
        <f ca="1"/>
        <v>0</v>
      </c>
      <c r="BS72" s="5">
        <f t="shared" si="23"/>
        <v>0</v>
      </c>
      <c r="BT72" s="5" t="str">
        <f t="shared" si="24"/>
        <v>2030V_Vorsorg10</v>
      </c>
      <c r="BU72">
        <v>2030</v>
      </c>
      <c r="BV72" t="s">
        <v>95</v>
      </c>
      <c r="BW72">
        <v>10</v>
      </c>
      <c r="BX72">
        <v>1</v>
      </c>
      <c r="BY72" s="12">
        <v>0</v>
      </c>
      <c r="CB72" t="s">
        <v>244</v>
      </c>
      <c r="CC72">
        <v>1</v>
      </c>
      <c r="CD72" s="5" t="str">
        <f t="shared" ca="1" si="26"/>
        <v>Sheldon</v>
      </c>
      <c r="CE72" s="5" t="str">
        <f t="shared" ca="1" si="27"/>
        <v>MigrosBank Säule 3a Konto</v>
      </c>
      <c r="CF72" s="5" t="str">
        <f t="shared" ca="1" si="25"/>
        <v>Sheldon - MigrosBank Säule 3a Konto - Bezug</v>
      </c>
      <c r="CG72" s="5"/>
    </row>
    <row r="73" spans="1:85" x14ac:dyDescent="0.25">
      <c r="A73" s="57" t="str">
        <f ca="1"/>
        <v>MigrosBank Festhypo II</v>
      </c>
      <c r="B73" s="57">
        <f ca="1"/>
        <v>3</v>
      </c>
      <c r="C73" s="53" t="str">
        <f ca="1"/>
        <v>Amy</v>
      </c>
      <c r="D73" s="54">
        <f ca="1"/>
        <v>1.1900000000000001E-2</v>
      </c>
      <c r="E73" s="62">
        <f ca="1"/>
        <v>-200000</v>
      </c>
      <c r="F73" s="59">
        <f ca="1"/>
        <v>-200000</v>
      </c>
      <c r="G73" s="59">
        <f ca="1"/>
        <v>-200000</v>
      </c>
      <c r="H73" s="59">
        <f ca="1"/>
        <v>-200000</v>
      </c>
      <c r="I73" s="59">
        <f ca="1"/>
        <v>-200000</v>
      </c>
      <c r="J73" s="59">
        <f ca="1"/>
        <v>-200000</v>
      </c>
      <c r="K73" s="59">
        <f ca="1"/>
        <v>0</v>
      </c>
      <c r="L73" s="59">
        <f ca="1"/>
        <v>0</v>
      </c>
      <c r="M73" s="59">
        <f ca="1"/>
        <v>0</v>
      </c>
      <c r="N73" s="59">
        <f ca="1"/>
        <v>0</v>
      </c>
      <c r="O73" s="59">
        <f ca="1"/>
        <v>0</v>
      </c>
      <c r="P73" s="59">
        <f ca="1"/>
        <v>0</v>
      </c>
      <c r="Q73" s="59">
        <f ca="1"/>
        <v>0</v>
      </c>
      <c r="R73" s="59">
        <f ca="1"/>
        <v>0</v>
      </c>
      <c r="S73" s="59">
        <f ca="1"/>
        <v>0</v>
      </c>
      <c r="T73" s="59">
        <f ca="1"/>
        <v>0</v>
      </c>
      <c r="U73" s="59">
        <f ca="1"/>
        <v>0</v>
      </c>
      <c r="V73" s="59">
        <f ca="1"/>
        <v>0</v>
      </c>
      <c r="W73" s="59">
        <f ca="1"/>
        <v>0</v>
      </c>
      <c r="X73" s="59">
        <f ca="1"/>
        <v>0</v>
      </c>
      <c r="Y73" s="59">
        <f ca="1"/>
        <v>0</v>
      </c>
      <c r="Z73" s="59">
        <f ca="1"/>
        <v>0</v>
      </c>
      <c r="AA73" s="59">
        <f ca="1"/>
        <v>0</v>
      </c>
      <c r="AB73" s="59">
        <f ca="1"/>
        <v>0</v>
      </c>
      <c r="AC73" s="59">
        <f ca="1"/>
        <v>0</v>
      </c>
      <c r="AD73" s="59">
        <f ca="1"/>
        <v>0</v>
      </c>
      <c r="AE73" s="59">
        <f ca="1"/>
        <v>0</v>
      </c>
      <c r="AF73" s="59">
        <f ca="1"/>
        <v>0</v>
      </c>
      <c r="AG73" s="59">
        <f ca="1"/>
        <v>0</v>
      </c>
      <c r="AH73" s="59">
        <f ca="1"/>
        <v>0</v>
      </c>
      <c r="AI73" s="59">
        <f ca="1"/>
        <v>0</v>
      </c>
      <c r="AJ73" s="59">
        <f ca="1"/>
        <v>0</v>
      </c>
      <c r="AK73" s="59">
        <f ca="1"/>
        <v>0</v>
      </c>
      <c r="AL73" s="59">
        <f ca="1"/>
        <v>0</v>
      </c>
      <c r="AM73" s="59">
        <f ca="1"/>
        <v>0</v>
      </c>
      <c r="AN73" s="59">
        <f ca="1"/>
        <v>0</v>
      </c>
      <c r="AO73" s="59">
        <f ca="1"/>
        <v>0</v>
      </c>
      <c r="AP73" s="59">
        <f ca="1"/>
        <v>0</v>
      </c>
      <c r="AQ73" s="59">
        <f ca="1"/>
        <v>0</v>
      </c>
      <c r="AR73" s="59">
        <f ca="1"/>
        <v>0</v>
      </c>
      <c r="AS73" s="59">
        <f ca="1"/>
        <v>0</v>
      </c>
      <c r="AT73" s="59">
        <f ca="1"/>
        <v>0</v>
      </c>
      <c r="AU73" s="59">
        <f ca="1"/>
        <v>0</v>
      </c>
      <c r="AV73" s="59">
        <f ca="1"/>
        <v>0</v>
      </c>
      <c r="AW73" s="59">
        <f ca="1"/>
        <v>0</v>
      </c>
      <c r="AX73" s="59">
        <f ca="1"/>
        <v>0</v>
      </c>
      <c r="AY73" s="59">
        <f ca="1"/>
        <v>0</v>
      </c>
      <c r="AZ73" s="59">
        <f ca="1"/>
        <v>0</v>
      </c>
      <c r="BA73" s="59">
        <f ca="1"/>
        <v>0</v>
      </c>
      <c r="BS73" s="5">
        <f t="shared" si="23"/>
        <v>0</v>
      </c>
      <c r="BT73" s="5" t="str">
        <f t="shared" si="24"/>
        <v>2032V_Vorsorg12</v>
      </c>
      <c r="BU73">
        <v>2032</v>
      </c>
      <c r="BV73" t="s">
        <v>95</v>
      </c>
      <c r="BW73">
        <v>12</v>
      </c>
      <c r="BX73">
        <v>1</v>
      </c>
      <c r="BY73" s="12">
        <v>0</v>
      </c>
      <c r="CB73" t="s">
        <v>244</v>
      </c>
      <c r="CC73">
        <v>1</v>
      </c>
      <c r="CD73" s="5" t="str">
        <f t="shared" ca="1" si="26"/>
        <v>Sheldon</v>
      </c>
      <c r="CE73" s="5" t="str">
        <f t="shared" ca="1" si="27"/>
        <v>Neues Säule 3a Gefäss II</v>
      </c>
      <c r="CF73" s="5" t="str">
        <f t="shared" ca="1" si="25"/>
        <v>Sheldon - Neues Säule 3a Gefäss II - Bezug</v>
      </c>
      <c r="CG73" s="5"/>
    </row>
    <row r="74" spans="1:85" x14ac:dyDescent="0.25">
      <c r="A74" s="66" t="str">
        <f ca="1"/>
        <v>PostFinance Festhypo</v>
      </c>
      <c r="B74" s="66">
        <f ca="1"/>
        <v>4</v>
      </c>
      <c r="C74" s="67" t="str">
        <f ca="1"/>
        <v>Sheldon</v>
      </c>
      <c r="D74" s="68">
        <f ca="1"/>
        <v>1.9699999999999999E-2</v>
      </c>
      <c r="E74" s="62">
        <f ca="1"/>
        <v>-300000</v>
      </c>
      <c r="F74" s="70">
        <f ca="1"/>
        <v>-300000</v>
      </c>
      <c r="G74" s="70">
        <f ca="1"/>
        <v>-300000</v>
      </c>
      <c r="H74" s="70">
        <f ca="1"/>
        <v>-300000</v>
      </c>
      <c r="I74" s="70">
        <f ca="1"/>
        <v>-300000</v>
      </c>
      <c r="J74" s="70">
        <f ca="1"/>
        <v>-300000</v>
      </c>
      <c r="K74" s="70">
        <f ca="1"/>
        <v>0</v>
      </c>
      <c r="L74" s="70">
        <f ca="1"/>
        <v>0</v>
      </c>
      <c r="M74" s="70">
        <f ca="1"/>
        <v>0</v>
      </c>
      <c r="N74" s="70">
        <f ca="1"/>
        <v>0</v>
      </c>
      <c r="O74" s="70">
        <f ca="1"/>
        <v>0</v>
      </c>
      <c r="P74" s="70">
        <f ca="1"/>
        <v>0</v>
      </c>
      <c r="Q74" s="70">
        <f ca="1"/>
        <v>0</v>
      </c>
      <c r="R74" s="70">
        <f ca="1"/>
        <v>0</v>
      </c>
      <c r="S74" s="70">
        <f ca="1"/>
        <v>0</v>
      </c>
      <c r="T74" s="70">
        <f ca="1"/>
        <v>0</v>
      </c>
      <c r="U74" s="70">
        <f ca="1"/>
        <v>0</v>
      </c>
      <c r="V74" s="70">
        <f ca="1"/>
        <v>0</v>
      </c>
      <c r="W74" s="70">
        <f ca="1"/>
        <v>0</v>
      </c>
      <c r="X74" s="70">
        <f ca="1"/>
        <v>0</v>
      </c>
      <c r="Y74" s="70">
        <f ca="1"/>
        <v>0</v>
      </c>
      <c r="Z74" s="70">
        <f ca="1"/>
        <v>0</v>
      </c>
      <c r="AA74" s="70">
        <f ca="1"/>
        <v>0</v>
      </c>
      <c r="AB74" s="70">
        <f ca="1"/>
        <v>0</v>
      </c>
      <c r="AC74" s="70">
        <f ca="1"/>
        <v>0</v>
      </c>
      <c r="AD74" s="70">
        <f ca="1"/>
        <v>0</v>
      </c>
      <c r="AE74" s="70">
        <f ca="1"/>
        <v>0</v>
      </c>
      <c r="AF74" s="70">
        <f ca="1"/>
        <v>0</v>
      </c>
      <c r="AG74" s="70">
        <f ca="1"/>
        <v>0</v>
      </c>
      <c r="AH74" s="70">
        <f ca="1"/>
        <v>0</v>
      </c>
      <c r="AI74" s="70">
        <f ca="1"/>
        <v>0</v>
      </c>
      <c r="AJ74" s="70">
        <f ca="1"/>
        <v>0</v>
      </c>
      <c r="AK74" s="70">
        <f ca="1"/>
        <v>0</v>
      </c>
      <c r="AL74" s="70">
        <f ca="1"/>
        <v>0</v>
      </c>
      <c r="AM74" s="70">
        <f ca="1"/>
        <v>0</v>
      </c>
      <c r="AN74" s="70">
        <f ca="1"/>
        <v>0</v>
      </c>
      <c r="AO74" s="70">
        <f ca="1"/>
        <v>0</v>
      </c>
      <c r="AP74" s="70">
        <f ca="1"/>
        <v>0</v>
      </c>
      <c r="AQ74" s="70">
        <f ca="1"/>
        <v>0</v>
      </c>
      <c r="AR74" s="70">
        <f ca="1"/>
        <v>0</v>
      </c>
      <c r="AS74" s="70">
        <f ca="1"/>
        <v>0</v>
      </c>
      <c r="AT74" s="70">
        <f ca="1"/>
        <v>0</v>
      </c>
      <c r="AU74" s="70">
        <f ca="1"/>
        <v>0</v>
      </c>
      <c r="AV74" s="70">
        <f ca="1"/>
        <v>0</v>
      </c>
      <c r="AW74" s="70">
        <f ca="1"/>
        <v>0</v>
      </c>
      <c r="AX74" s="70">
        <f ca="1"/>
        <v>0</v>
      </c>
      <c r="AY74" s="70">
        <f ca="1"/>
        <v>0</v>
      </c>
      <c r="AZ74" s="70">
        <f ca="1"/>
        <v>0</v>
      </c>
      <c r="BA74" s="70">
        <f ca="1"/>
        <v>0</v>
      </c>
      <c r="BS74" s="5">
        <f t="shared" si="23"/>
        <v>0</v>
      </c>
      <c r="BT74" s="5" t="str">
        <f t="shared" si="24"/>
        <v>2031A_Allg5</v>
      </c>
      <c r="BU74">
        <v>2031</v>
      </c>
      <c r="BV74" t="s">
        <v>85</v>
      </c>
      <c r="BW74">
        <v>5</v>
      </c>
      <c r="BX74">
        <v>1</v>
      </c>
      <c r="BY74" s="12">
        <v>0</v>
      </c>
      <c r="CD74" s="5" t="str">
        <f t="shared" ca="1" si="26"/>
        <v>Sheldon</v>
      </c>
      <c r="CE74" s="5" t="str">
        <f t="shared" ca="1" si="27"/>
        <v>Säule 3a Beitrag</v>
      </c>
      <c r="CF74" s="5" t="str">
        <f t="shared" ca="1" si="25"/>
        <v>Sheldon - Säule 3a Beitrag</v>
      </c>
      <c r="CG74" s="5"/>
    </row>
    <row r="75" spans="1:85" x14ac:dyDescent="0.25">
      <c r="A75" s="66" t="str">
        <f ca="1"/>
        <v>Nachfolgehypothek</v>
      </c>
      <c r="B75" s="66">
        <f ca="1"/>
        <v>5</v>
      </c>
      <c r="C75" s="67" t="str">
        <f ca="1"/>
        <v>-</v>
      </c>
      <c r="D75" s="68">
        <f ca="1"/>
        <v>0.02</v>
      </c>
      <c r="E75" s="62">
        <f ca="1"/>
        <v>0</v>
      </c>
      <c r="F75" s="70">
        <f ca="1"/>
        <v>0</v>
      </c>
      <c r="G75" s="70">
        <f ca="1"/>
        <v>0</v>
      </c>
      <c r="H75" s="70">
        <f ca="1"/>
        <v>0</v>
      </c>
      <c r="I75" s="70">
        <f ca="1"/>
        <v>-200000</v>
      </c>
      <c r="J75" s="70">
        <f ca="1"/>
        <v>-380000</v>
      </c>
      <c r="K75" s="70">
        <f ca="1"/>
        <v>-880000</v>
      </c>
      <c r="L75" s="70">
        <f ca="1"/>
        <v>-880000</v>
      </c>
      <c r="M75" s="70">
        <f ca="1"/>
        <v>-880000</v>
      </c>
      <c r="N75" s="70">
        <f ca="1"/>
        <v>-880000</v>
      </c>
      <c r="O75" s="70">
        <f ca="1"/>
        <v>-880000</v>
      </c>
      <c r="P75" s="70">
        <f ca="1"/>
        <v>-880000</v>
      </c>
      <c r="Q75" s="70">
        <f ca="1"/>
        <v>-880000</v>
      </c>
      <c r="R75" s="70">
        <f ca="1"/>
        <v>-880000</v>
      </c>
      <c r="S75" s="70">
        <f ca="1"/>
        <v>-880000</v>
      </c>
      <c r="T75" s="70">
        <f ca="1"/>
        <v>-880000</v>
      </c>
      <c r="U75" s="70">
        <f ca="1"/>
        <v>-880000</v>
      </c>
      <c r="V75" s="70">
        <f ca="1"/>
        <v>-880000</v>
      </c>
      <c r="W75" s="70">
        <f ca="1"/>
        <v>-880000</v>
      </c>
      <c r="X75" s="70">
        <f ca="1"/>
        <v>-880000</v>
      </c>
      <c r="Y75" s="70">
        <f ca="1"/>
        <v>-880000</v>
      </c>
      <c r="Z75" s="70">
        <f ca="1"/>
        <v>-880000</v>
      </c>
      <c r="AA75" s="70">
        <f ca="1"/>
        <v>-880000</v>
      </c>
      <c r="AB75" s="70">
        <f ca="1"/>
        <v>-880000</v>
      </c>
      <c r="AC75" s="70">
        <f ca="1"/>
        <v>-880000</v>
      </c>
      <c r="AD75" s="70">
        <f ca="1"/>
        <v>-880000</v>
      </c>
      <c r="AE75" s="70">
        <f ca="1"/>
        <v>-880000</v>
      </c>
      <c r="AF75" s="70">
        <f ca="1"/>
        <v>-880000</v>
      </c>
      <c r="AG75" s="70">
        <f ca="1"/>
        <v>-880000</v>
      </c>
      <c r="AH75" s="70">
        <f ca="1"/>
        <v>-880000</v>
      </c>
      <c r="AI75" s="70">
        <f ca="1"/>
        <v>-880000</v>
      </c>
      <c r="AJ75" s="70">
        <f ca="1"/>
        <v>-880000</v>
      </c>
      <c r="AK75" s="70">
        <f ca="1"/>
        <v>-880000</v>
      </c>
      <c r="AL75" s="70">
        <f ca="1"/>
        <v>-880000</v>
      </c>
      <c r="AM75" s="70">
        <f ca="1"/>
        <v>-880000</v>
      </c>
      <c r="AN75" s="70">
        <f ca="1"/>
        <v>-880000</v>
      </c>
      <c r="AO75" s="70">
        <f ca="1"/>
        <v>-880000</v>
      </c>
      <c r="AP75" s="70">
        <f ca="1"/>
        <v>-880000</v>
      </c>
      <c r="AQ75" s="70">
        <f ca="1"/>
        <v>-880000</v>
      </c>
      <c r="AR75" s="70">
        <f ca="1"/>
        <v>-880000</v>
      </c>
      <c r="AS75" s="70">
        <f ca="1"/>
        <v>-880000</v>
      </c>
      <c r="AT75" s="70">
        <f ca="1"/>
        <v>-880000</v>
      </c>
      <c r="AU75" s="70">
        <f ca="1"/>
        <v>-880000</v>
      </c>
      <c r="AV75" s="70">
        <f ca="1"/>
        <v>-880000</v>
      </c>
      <c r="AW75" s="70">
        <f ca="1"/>
        <v>-880000</v>
      </c>
      <c r="AX75" s="70">
        <f ca="1"/>
        <v>-880000</v>
      </c>
      <c r="AY75" s="70">
        <f ca="1"/>
        <v>-880000</v>
      </c>
      <c r="AZ75" s="70">
        <f ca="1"/>
        <v>-880000</v>
      </c>
      <c r="BA75" s="70">
        <f ca="1"/>
        <v>-880000</v>
      </c>
      <c r="BS75" s="5">
        <f t="shared" si="23"/>
        <v>0</v>
      </c>
      <c r="BT75" s="5" t="str">
        <f t="shared" si="24"/>
        <v>2031ST_Abz6</v>
      </c>
      <c r="BU75">
        <v>2031</v>
      </c>
      <c r="BV75" t="s">
        <v>110</v>
      </c>
      <c r="BW75">
        <v>6</v>
      </c>
      <c r="BX75">
        <v>1</v>
      </c>
      <c r="BY75" s="12">
        <v>0</v>
      </c>
      <c r="CD75" s="5" t="str">
        <f t="shared" ca="1" si="26"/>
        <v>Sheldon</v>
      </c>
      <c r="CE75" s="5" t="str">
        <f t="shared" ca="1" si="27"/>
        <v>Fahrkosten</v>
      </c>
      <c r="CF75" s="5" t="str">
        <f t="shared" ca="1" si="25"/>
        <v>Sheldon - Fahrkosten</v>
      </c>
      <c r="CG75" s="5"/>
    </row>
    <row r="76" spans="1:85" hidden="1" x14ac:dyDescent="0.25">
      <c r="A76" s="66"/>
      <c r="B76" s="66"/>
      <c r="C76" s="67"/>
      <c r="D76" s="68"/>
      <c r="E76" s="62"/>
      <c r="F76" s="70"/>
      <c r="G76" s="70"/>
      <c r="H76" s="70"/>
      <c r="I76" s="70"/>
      <c r="J76" s="70"/>
      <c r="K76" s="70"/>
      <c r="L76" s="70"/>
      <c r="M76" s="70"/>
      <c r="N76" s="70"/>
      <c r="O76" s="70"/>
      <c r="P76" s="70"/>
      <c r="Q76" s="70"/>
      <c r="R76" s="70"/>
      <c r="S76" s="70"/>
      <c r="T76" s="70"/>
      <c r="U76" s="70"/>
      <c r="V76" s="70"/>
      <c r="W76" s="70"/>
      <c r="X76" s="70"/>
      <c r="Y76" s="70"/>
      <c r="Z76" s="70"/>
      <c r="AA76" s="70"/>
      <c r="AB76" s="70"/>
      <c r="AC76" s="70"/>
      <c r="AD76" s="70"/>
      <c r="AE76" s="70"/>
      <c r="AF76" s="70"/>
      <c r="AG76" s="70"/>
      <c r="AH76" s="70"/>
      <c r="AI76" s="70"/>
      <c r="AJ76" s="70"/>
      <c r="AK76" s="70"/>
      <c r="AL76" s="70"/>
      <c r="AM76" s="70"/>
      <c r="AN76" s="70"/>
      <c r="AO76" s="70"/>
      <c r="AP76" s="70"/>
      <c r="AQ76" s="70"/>
      <c r="AR76" s="70"/>
      <c r="AS76" s="70"/>
      <c r="AT76" s="70"/>
      <c r="AU76" s="70"/>
      <c r="AV76" s="70"/>
      <c r="AW76" s="70"/>
      <c r="AX76" s="70"/>
      <c r="AY76" s="70"/>
      <c r="AZ76" s="70"/>
      <c r="BA76" s="70"/>
      <c r="BS76" s="5">
        <f t="shared" si="23"/>
        <v>0</v>
      </c>
      <c r="BT76" s="5" t="str">
        <f t="shared" si="24"/>
        <v>2031ST_Abz7</v>
      </c>
      <c r="BU76">
        <v>2031</v>
      </c>
      <c r="BV76" t="s">
        <v>110</v>
      </c>
      <c r="BW76">
        <v>7</v>
      </c>
      <c r="BX76">
        <v>1</v>
      </c>
      <c r="BY76" s="12">
        <v>0</v>
      </c>
      <c r="CD76" s="5" t="str">
        <f t="shared" ca="1" si="26"/>
        <v>Sheldon</v>
      </c>
      <c r="CE76" s="5" t="str">
        <f t="shared" ca="1" si="27"/>
        <v>Auswärtige Verpflegung</v>
      </c>
      <c r="CF76" s="5" t="str">
        <f t="shared" ca="1" si="25"/>
        <v>Sheldon - Auswärtige Verpflegung</v>
      </c>
      <c r="CG76" s="5"/>
    </row>
    <row r="77" spans="1:85" hidden="1" x14ac:dyDescent="0.25">
      <c r="A77" s="66"/>
      <c r="B77" s="66"/>
      <c r="C77" s="67"/>
      <c r="D77" s="68"/>
      <c r="E77" s="62"/>
      <c r="F77" s="70"/>
      <c r="G77" s="70"/>
      <c r="H77" s="70"/>
      <c r="I77" s="70"/>
      <c r="J77" s="70"/>
      <c r="K77" s="70"/>
      <c r="L77" s="70"/>
      <c r="M77" s="70"/>
      <c r="N77" s="70"/>
      <c r="O77" s="70"/>
      <c r="P77" s="70"/>
      <c r="Q77" s="70"/>
      <c r="R77" s="70"/>
      <c r="S77" s="70"/>
      <c r="T77" s="70"/>
      <c r="U77" s="70"/>
      <c r="V77" s="70"/>
      <c r="W77" s="70"/>
      <c r="X77" s="70"/>
      <c r="Y77" s="70"/>
      <c r="Z77" s="70"/>
      <c r="AA77" s="70"/>
      <c r="AB77" s="70"/>
      <c r="AC77" s="70"/>
      <c r="AD77" s="70"/>
      <c r="AE77" s="70"/>
      <c r="AF77" s="70"/>
      <c r="AG77" s="70"/>
      <c r="AH77" s="70"/>
      <c r="AI77" s="70"/>
      <c r="AJ77" s="70"/>
      <c r="AK77" s="70"/>
      <c r="AL77" s="70"/>
      <c r="AM77" s="70"/>
      <c r="AN77" s="70"/>
      <c r="AO77" s="70"/>
      <c r="AP77" s="70"/>
      <c r="AQ77" s="70"/>
      <c r="AR77" s="70"/>
      <c r="AS77" s="70"/>
      <c r="AT77" s="70"/>
      <c r="AU77" s="70"/>
      <c r="AV77" s="70"/>
      <c r="AW77" s="70"/>
      <c r="AX77" s="70"/>
      <c r="AY77" s="70"/>
      <c r="AZ77" s="70"/>
      <c r="BA77" s="70"/>
      <c r="BS77" s="5">
        <f t="shared" si="23"/>
        <v>0</v>
      </c>
      <c r="BT77" s="5" t="str">
        <f t="shared" si="24"/>
        <v>2031ST_Abz8</v>
      </c>
      <c r="BU77">
        <v>2031</v>
      </c>
      <c r="BV77" t="s">
        <v>110</v>
      </c>
      <c r="BW77">
        <v>8</v>
      </c>
      <c r="BX77">
        <v>1</v>
      </c>
      <c r="BY77" s="12">
        <v>0</v>
      </c>
      <c r="CD77" s="5" t="str">
        <f t="shared" ca="1" si="26"/>
        <v>Sheldon</v>
      </c>
      <c r="CE77" s="5" t="str">
        <f t="shared" ca="1" si="27"/>
        <v>Übrige Berufskosten</v>
      </c>
      <c r="CF77" s="5" t="str">
        <f t="shared" ca="1" si="25"/>
        <v>Sheldon - Übrige Berufskosten</v>
      </c>
      <c r="CG77" s="5"/>
    </row>
    <row r="78" spans="1:85" hidden="1" x14ac:dyDescent="0.25">
      <c r="A78" s="66"/>
      <c r="B78" s="66"/>
      <c r="C78" s="67"/>
      <c r="D78" s="68"/>
      <c r="E78" s="62"/>
      <c r="F78" s="70"/>
      <c r="G78" s="70"/>
      <c r="H78" s="70"/>
      <c r="I78" s="70"/>
      <c r="J78" s="70"/>
      <c r="K78" s="70"/>
      <c r="L78" s="70"/>
      <c r="M78" s="70"/>
      <c r="N78" s="70"/>
      <c r="O78" s="70"/>
      <c r="P78" s="70"/>
      <c r="Q78" s="70"/>
      <c r="R78" s="70"/>
      <c r="S78" s="70"/>
      <c r="T78" s="70"/>
      <c r="U78" s="70"/>
      <c r="V78" s="70"/>
      <c r="W78" s="70"/>
      <c r="X78" s="70"/>
      <c r="Y78" s="70"/>
      <c r="Z78" s="70"/>
      <c r="AA78" s="70"/>
      <c r="AB78" s="70"/>
      <c r="AC78" s="70"/>
      <c r="AD78" s="70"/>
      <c r="AE78" s="70"/>
      <c r="AF78" s="70"/>
      <c r="AG78" s="70"/>
      <c r="AH78" s="70"/>
      <c r="AI78" s="70"/>
      <c r="AJ78" s="70"/>
      <c r="AK78" s="70"/>
      <c r="AL78" s="70"/>
      <c r="AM78" s="70"/>
      <c r="AN78" s="70"/>
      <c r="AO78" s="70"/>
      <c r="AP78" s="70"/>
      <c r="AQ78" s="70"/>
      <c r="AR78" s="70"/>
      <c r="AS78" s="70"/>
      <c r="AT78" s="70"/>
      <c r="AU78" s="70"/>
      <c r="AV78" s="70"/>
      <c r="AW78" s="70"/>
      <c r="AX78" s="70"/>
      <c r="AY78" s="70"/>
      <c r="AZ78" s="70"/>
      <c r="BA78" s="70"/>
      <c r="BS78" s="5">
        <f t="shared" si="23"/>
        <v>0</v>
      </c>
      <c r="BT78" s="5" t="str">
        <f t="shared" si="24"/>
        <v>2029ST_Abz14</v>
      </c>
      <c r="BU78">
        <v>2029</v>
      </c>
      <c r="BV78" t="s">
        <v>110</v>
      </c>
      <c r="BW78">
        <v>14</v>
      </c>
      <c r="BX78">
        <v>1</v>
      </c>
      <c r="BY78" s="12">
        <v>0</v>
      </c>
      <c r="CD78" s="5" t="str">
        <f t="shared" ca="1" si="26"/>
        <v>Amy</v>
      </c>
      <c r="CE78" s="5" t="str">
        <f t="shared" ca="1" si="27"/>
        <v>Auswärtiger Wochenaufenthalt</v>
      </c>
      <c r="CF78" s="5" t="str">
        <f t="shared" ca="1" si="25"/>
        <v>Amy - Auswärtiger Wochenaufenthalt</v>
      </c>
      <c r="CG78" s="5"/>
    </row>
    <row r="79" spans="1:85" hidden="1" x14ac:dyDescent="0.25">
      <c r="A79" s="66"/>
      <c r="B79" s="66"/>
      <c r="C79" s="67"/>
      <c r="D79" s="68"/>
      <c r="E79" s="62"/>
      <c r="F79" s="70"/>
      <c r="G79" s="70"/>
      <c r="H79" s="70"/>
      <c r="I79" s="70"/>
      <c r="J79" s="70"/>
      <c r="K79" s="70"/>
      <c r="L79" s="70"/>
      <c r="M79" s="70"/>
      <c r="N79" s="70"/>
      <c r="O79" s="70"/>
      <c r="P79" s="70"/>
      <c r="Q79" s="70"/>
      <c r="R79" s="70"/>
      <c r="S79" s="70"/>
      <c r="T79" s="70"/>
      <c r="U79" s="70"/>
      <c r="V79" s="70"/>
      <c r="W79" s="70"/>
      <c r="X79" s="70"/>
      <c r="Y79" s="70"/>
      <c r="Z79" s="70"/>
      <c r="AA79" s="70"/>
      <c r="AB79" s="70"/>
      <c r="AC79" s="70"/>
      <c r="AD79" s="70"/>
      <c r="AE79" s="70"/>
      <c r="AF79" s="70"/>
      <c r="AG79" s="70"/>
      <c r="AH79" s="70"/>
      <c r="AI79" s="70"/>
      <c r="AJ79" s="70"/>
      <c r="AK79" s="70"/>
      <c r="AL79" s="70"/>
      <c r="AM79" s="70"/>
      <c r="AN79" s="70"/>
      <c r="AO79" s="70"/>
      <c r="AP79" s="70"/>
      <c r="AQ79" s="70"/>
      <c r="AR79" s="70"/>
      <c r="AS79" s="70"/>
      <c r="AT79" s="70"/>
      <c r="AU79" s="70"/>
      <c r="AV79" s="70"/>
      <c r="AW79" s="70"/>
      <c r="AX79" s="70"/>
      <c r="AY79" s="70"/>
      <c r="AZ79" s="70"/>
      <c r="BA79" s="70"/>
      <c r="BS79" s="5">
        <f t="shared" si="23"/>
        <v>0</v>
      </c>
      <c r="BT79" s="5" t="str">
        <f t="shared" si="24"/>
        <v>2029ST_Abz15</v>
      </c>
      <c r="BU79">
        <v>2029</v>
      </c>
      <c r="BV79" t="s">
        <v>110</v>
      </c>
      <c r="BW79">
        <v>15</v>
      </c>
      <c r="BX79">
        <v>1</v>
      </c>
      <c r="BY79" s="12">
        <v>0</v>
      </c>
      <c r="CD79" s="5" t="str">
        <f t="shared" ca="1" si="26"/>
        <v>Amy</v>
      </c>
      <c r="CE79" s="5" t="str">
        <f t="shared" ca="1" si="27"/>
        <v>Berufskosten</v>
      </c>
      <c r="CF79" s="5" t="str">
        <f t="shared" ca="1" si="25"/>
        <v>Amy - Berufskosten</v>
      </c>
      <c r="CG79" s="5"/>
    </row>
    <row r="80" spans="1:85" hidden="1" x14ac:dyDescent="0.25">
      <c r="A80" s="66"/>
      <c r="B80" s="66"/>
      <c r="C80" s="67"/>
      <c r="D80" s="68"/>
      <c r="E80" s="62"/>
      <c r="F80" s="70"/>
      <c r="G80" s="70"/>
      <c r="H80" s="70"/>
      <c r="I80" s="70"/>
      <c r="J80" s="70"/>
      <c r="K80" s="70"/>
      <c r="L80" s="70"/>
      <c r="M80" s="70"/>
      <c r="N80" s="70"/>
      <c r="O80" s="70"/>
      <c r="P80" s="70"/>
      <c r="Q80" s="70"/>
      <c r="R80" s="70"/>
      <c r="S80" s="70"/>
      <c r="T80" s="70"/>
      <c r="U80" s="70"/>
      <c r="V80" s="70"/>
      <c r="W80" s="70"/>
      <c r="X80" s="70"/>
      <c r="Y80" s="70"/>
      <c r="Z80" s="70"/>
      <c r="AA80" s="70"/>
      <c r="AB80" s="70"/>
      <c r="AC80" s="70"/>
      <c r="AD80" s="70"/>
      <c r="AE80" s="70"/>
      <c r="AF80" s="70"/>
      <c r="AG80" s="70"/>
      <c r="AH80" s="70"/>
      <c r="AI80" s="70"/>
      <c r="AJ80" s="70"/>
      <c r="AK80" s="70"/>
      <c r="AL80" s="70"/>
      <c r="AM80" s="70"/>
      <c r="AN80" s="70"/>
      <c r="AO80" s="70"/>
      <c r="AP80" s="70"/>
      <c r="AQ80" s="70"/>
      <c r="AR80" s="70"/>
      <c r="AS80" s="70"/>
      <c r="AT80" s="70"/>
      <c r="AU80" s="70"/>
      <c r="AV80" s="70"/>
      <c r="AW80" s="70"/>
      <c r="AX80" s="70"/>
      <c r="AY80" s="70"/>
      <c r="AZ80" s="70"/>
      <c r="BA80" s="70"/>
      <c r="BS80" s="5">
        <f t="shared" si="23"/>
        <v>0</v>
      </c>
      <c r="BT80" s="5" t="str">
        <f t="shared" si="24"/>
        <v>2030A_Allg7</v>
      </c>
      <c r="BU80">
        <v>2030</v>
      </c>
      <c r="BV80" t="s">
        <v>85</v>
      </c>
      <c r="BW80">
        <v>7</v>
      </c>
      <c r="BX80">
        <v>1</v>
      </c>
      <c r="BY80" s="12">
        <v>0</v>
      </c>
      <c r="CD80" s="5" t="str">
        <f t="shared" ca="1" si="26"/>
        <v>Amy</v>
      </c>
      <c r="CE80" s="5" t="str">
        <f t="shared" ca="1" si="27"/>
        <v>Säule 3b Beitrag</v>
      </c>
      <c r="CF80" s="5" t="str">
        <f t="shared" ca="1" si="25"/>
        <v>Amy - Säule 3b Beitrag</v>
      </c>
      <c r="CG80" s="5"/>
    </row>
    <row r="81" spans="1:85" hidden="1" x14ac:dyDescent="0.25">
      <c r="A81" s="66"/>
      <c r="B81" s="66"/>
      <c r="C81" s="67"/>
      <c r="D81" s="68"/>
      <c r="E81" s="69"/>
      <c r="F81" s="70"/>
      <c r="G81" s="70"/>
      <c r="H81" s="70"/>
      <c r="I81" s="70"/>
      <c r="J81" s="70"/>
      <c r="K81" s="70"/>
      <c r="L81" s="70"/>
      <c r="M81" s="70"/>
      <c r="N81" s="70"/>
      <c r="O81" s="70"/>
      <c r="P81" s="70"/>
      <c r="Q81" s="70"/>
      <c r="R81" s="70"/>
      <c r="S81" s="70"/>
      <c r="T81" s="70"/>
      <c r="U81" s="70"/>
      <c r="V81" s="70"/>
      <c r="W81" s="70"/>
      <c r="X81" s="70"/>
      <c r="Y81" s="70"/>
      <c r="Z81" s="70"/>
      <c r="AA81" s="70"/>
      <c r="AB81" s="70"/>
      <c r="AC81" s="70"/>
      <c r="AD81" s="70"/>
      <c r="AE81" s="70"/>
      <c r="AF81" s="70"/>
      <c r="AG81" s="70"/>
      <c r="AH81" s="70"/>
      <c r="AI81" s="70"/>
      <c r="AJ81" s="70"/>
      <c r="AK81" s="70"/>
      <c r="AL81" s="70"/>
      <c r="AM81" s="70"/>
      <c r="AN81" s="70"/>
      <c r="AO81" s="70"/>
      <c r="AP81" s="70"/>
      <c r="AQ81" s="70"/>
      <c r="AR81" s="70"/>
      <c r="AS81" s="70"/>
      <c r="AT81" s="70"/>
      <c r="AU81" s="70"/>
      <c r="AV81" s="70"/>
      <c r="AW81" s="70"/>
      <c r="AX81" s="70"/>
      <c r="AY81" s="70"/>
      <c r="AZ81" s="70"/>
      <c r="BA81" s="70"/>
      <c r="BS81" s="5">
        <f t="shared" si="23"/>
        <v>1048495</v>
      </c>
      <c r="BT81" s="5" t="str">
        <f t="shared" si="24"/>
        <v/>
      </c>
      <c r="CD81" s="5" t="e">
        <f t="shared" ca="1" si="26"/>
        <v>#REF!</v>
      </c>
      <c r="CE81" s="5" t="e">
        <f t="shared" ca="1" si="27"/>
        <v>#REF!</v>
      </c>
      <c r="CF81" s="5" t="e">
        <f t="shared" ca="1" si="25"/>
        <v>#REF!</v>
      </c>
      <c r="CG81" s="5"/>
    </row>
    <row r="82" spans="1:85" ht="27.75" customHeight="1" x14ac:dyDescent="0.25">
      <c r="A82" s="71" t="s">
        <v>111</v>
      </c>
      <c r="B82" s="72"/>
      <c r="C82" s="73"/>
      <c r="D82" s="74"/>
      <c r="E82" s="75"/>
      <c r="F82" s="76">
        <f t="shared" ref="F82:BA82" ca="1" si="29">SUM(F83:F89)</f>
        <v>188099.4</v>
      </c>
      <c r="G82" s="76">
        <f t="shared" ca="1" si="29"/>
        <v>277708.08076921757</v>
      </c>
      <c r="H82" s="76">
        <f t="shared" ca="1" si="29"/>
        <v>370281.41250069806</v>
      </c>
      <c r="I82" s="76">
        <f t="shared" ca="1" si="29"/>
        <v>455071.68244706228</v>
      </c>
      <c r="J82" s="76">
        <f t="shared" ca="1" si="29"/>
        <v>746292.9945368364</v>
      </c>
      <c r="K82" s="76">
        <f t="shared" ca="1" si="29"/>
        <v>1132872.2038225033</v>
      </c>
      <c r="L82" s="76">
        <f t="shared" ca="1" si="29"/>
        <v>1196067.1612583613</v>
      </c>
      <c r="M82" s="76">
        <f t="shared" ca="1" si="29"/>
        <v>1209772.3359598164</v>
      </c>
      <c r="N82" s="76">
        <f t="shared" ca="1" si="29"/>
        <v>1233372.4885817275</v>
      </c>
      <c r="O82" s="76">
        <f t="shared" ca="1" si="29"/>
        <v>1240564.0257335403</v>
      </c>
      <c r="P82" s="76">
        <f t="shared" ca="1" si="29"/>
        <v>1244394.9774927439</v>
      </c>
      <c r="Q82" s="76">
        <f t="shared" ca="1" si="29"/>
        <v>1246980.0856288695</v>
      </c>
      <c r="R82" s="76">
        <f t="shared" ca="1" si="29"/>
        <v>1248277.8850604575</v>
      </c>
      <c r="S82" s="76">
        <f t="shared" ca="1" si="29"/>
        <v>1248231.124064378</v>
      </c>
      <c r="T82" s="76">
        <f t="shared" ca="1" si="29"/>
        <v>1246791.2135983985</v>
      </c>
      <c r="U82" s="76">
        <f t="shared" ca="1" si="29"/>
        <v>1243902.8734096878</v>
      </c>
      <c r="V82" s="76">
        <f t="shared" ca="1" si="29"/>
        <v>1239514.3375721304</v>
      </c>
      <c r="W82" s="76">
        <f t="shared" ca="1" si="29"/>
        <v>1233561.843789316</v>
      </c>
      <c r="X82" s="76">
        <f t="shared" ca="1" si="29"/>
        <v>1225989.5925472032</v>
      </c>
      <c r="Y82" s="76">
        <f t="shared" ca="1" si="29"/>
        <v>1216735.9309230479</v>
      </c>
      <c r="Z82" s="76">
        <f t="shared" ca="1" si="29"/>
        <v>1205742.0004483343</v>
      </c>
      <c r="AA82" s="76">
        <f t="shared" ca="1" si="29"/>
        <v>1192936.2647465484</v>
      </c>
      <c r="AB82" s="76">
        <f t="shared" ca="1" si="29"/>
        <v>1178261.6034648623</v>
      </c>
      <c r="AC82" s="76">
        <f t="shared" ca="1" si="29"/>
        <v>1161642.6069926806</v>
      </c>
      <c r="AD82" s="76">
        <f t="shared" ca="1" si="29"/>
        <v>1143012.948951436</v>
      </c>
      <c r="AE82" s="76">
        <f t="shared" ca="1" si="29"/>
        <v>1122298.6341303103</v>
      </c>
      <c r="AF82" s="76">
        <f t="shared" ca="1" si="29"/>
        <v>1099423.4475997738</v>
      </c>
      <c r="AG82" s="76">
        <f t="shared" ca="1" si="29"/>
        <v>1074313.9914664449</v>
      </c>
      <c r="AH82" s="76">
        <f t="shared" ca="1" si="29"/>
        <v>1046890.0509707084</v>
      </c>
      <c r="AI82" s="76">
        <f t="shared" ca="1" si="29"/>
        <v>1017067.9998224459</v>
      </c>
      <c r="AJ82" s="76">
        <f t="shared" ca="1" si="29"/>
        <v>984768.26101615676</v>
      </c>
      <c r="AK82" s="76">
        <f t="shared" ca="1" si="29"/>
        <v>949908.28958122339</v>
      </c>
      <c r="AL82" s="76">
        <f t="shared" ca="1" si="29"/>
        <v>912392.05593619507</v>
      </c>
      <c r="AM82" s="76">
        <f t="shared" ca="1" si="29"/>
        <v>872137.54945616191</v>
      </c>
      <c r="AN82" s="76">
        <f t="shared" ca="1" si="29"/>
        <v>829043.93076962687</v>
      </c>
      <c r="AO82" s="76">
        <f t="shared" ca="1" si="29"/>
        <v>783023.50423683098</v>
      </c>
      <c r="AP82" s="76">
        <f t="shared" ca="1" si="29"/>
        <v>733937.28851076041</v>
      </c>
      <c r="AQ82" s="76">
        <f t="shared" ca="1" si="29"/>
        <v>681668.49105566414</v>
      </c>
      <c r="AR82" s="76">
        <f t="shared" ca="1" si="29"/>
        <v>626106.30094676022</v>
      </c>
      <c r="AS82" s="76">
        <f t="shared" ca="1" si="29"/>
        <v>567131.10641064565</v>
      </c>
      <c r="AT82" s="76">
        <f t="shared" ca="1" si="29"/>
        <v>504629.37717239582</v>
      </c>
      <c r="AU82" s="76">
        <f t="shared" ca="1" si="29"/>
        <v>438484.33703206957</v>
      </c>
      <c r="AV82" s="76">
        <f t="shared" ca="1" si="29"/>
        <v>368553.5805371367</v>
      </c>
      <c r="AW82" s="76">
        <f t="shared" ca="1" si="29"/>
        <v>294652.3319312958</v>
      </c>
      <c r="AX82" s="76">
        <f t="shared" ca="1" si="29"/>
        <v>216652.41600197132</v>
      </c>
      <c r="AY82" s="76">
        <f t="shared" ca="1" si="29"/>
        <v>134398.80225524609</v>
      </c>
      <c r="AZ82" s="76">
        <f t="shared" ca="1" si="29"/>
        <v>47705.236116742664</v>
      </c>
      <c r="BA82" s="76">
        <f t="shared" ca="1" si="29"/>
        <v>-43732.075317357529</v>
      </c>
      <c r="BS82" s="5">
        <f t="shared" si="23"/>
        <v>-1</v>
      </c>
      <c r="BT82" s="5"/>
      <c r="CD82" s="5" t="e">
        <f t="shared" ca="1" si="26"/>
        <v>#REF!</v>
      </c>
      <c r="CE82" s="5" t="e">
        <f t="shared" ca="1" si="27"/>
        <v>#REF!</v>
      </c>
      <c r="CF82" s="5" t="e">
        <f t="shared" ca="1" si="25"/>
        <v>#REF!</v>
      </c>
      <c r="CG82" s="5"/>
    </row>
    <row r="83" spans="1:85" x14ac:dyDescent="0.25">
      <c r="A83" s="57" t="s">
        <v>114</v>
      </c>
      <c r="B83" s="57"/>
      <c r="C83" s="53"/>
      <c r="D83" s="54"/>
      <c r="E83" s="63"/>
      <c r="F83" s="59">
        <f t="shared" ref="F83:BA83" si="30">E45</f>
        <v>74700</v>
      </c>
      <c r="G83" s="59">
        <f t="shared" ca="1" si="30"/>
        <v>188099.4</v>
      </c>
      <c r="H83" s="59">
        <f t="shared" ca="1" si="30"/>
        <v>277708.08076921757</v>
      </c>
      <c r="I83" s="59">
        <f t="shared" ca="1" si="30"/>
        <v>370281.41250069806</v>
      </c>
      <c r="J83" s="59">
        <f t="shared" ca="1" si="30"/>
        <v>455071.68244706228</v>
      </c>
      <c r="K83" s="59">
        <f t="shared" ca="1" si="30"/>
        <v>746292.9945368364</v>
      </c>
      <c r="L83" s="59">
        <f t="shared" ca="1" si="30"/>
        <v>1132872.2038225033</v>
      </c>
      <c r="M83" s="59">
        <f t="shared" ca="1" si="30"/>
        <v>1196067.1612583613</v>
      </c>
      <c r="N83" s="59">
        <f t="shared" ca="1" si="30"/>
        <v>1209772.3359598164</v>
      </c>
      <c r="O83" s="59">
        <f t="shared" ca="1" si="30"/>
        <v>1233372.4885817275</v>
      </c>
      <c r="P83" s="59">
        <f t="shared" ca="1" si="30"/>
        <v>1240564.0257335403</v>
      </c>
      <c r="Q83" s="59">
        <f t="shared" ca="1" si="30"/>
        <v>1244394.9774927439</v>
      </c>
      <c r="R83" s="59">
        <f t="shared" ca="1" si="30"/>
        <v>1246980.0856288695</v>
      </c>
      <c r="S83" s="59">
        <f t="shared" ca="1" si="30"/>
        <v>1248277.8850604575</v>
      </c>
      <c r="T83" s="59">
        <f t="shared" ca="1" si="30"/>
        <v>1248231.124064378</v>
      </c>
      <c r="U83" s="59">
        <f t="shared" ca="1" si="30"/>
        <v>1246791.2135983985</v>
      </c>
      <c r="V83" s="59">
        <f t="shared" ca="1" si="30"/>
        <v>1243902.8734096878</v>
      </c>
      <c r="W83" s="59">
        <f t="shared" ca="1" si="30"/>
        <v>1239514.3375721304</v>
      </c>
      <c r="X83" s="59">
        <f t="shared" ca="1" si="30"/>
        <v>1233561.843789316</v>
      </c>
      <c r="Y83" s="59">
        <f t="shared" ca="1" si="30"/>
        <v>1225989.5925472032</v>
      </c>
      <c r="Z83" s="59">
        <f t="shared" ca="1" si="30"/>
        <v>1216735.9309230479</v>
      </c>
      <c r="AA83" s="59">
        <f t="shared" ca="1" si="30"/>
        <v>1205742.0004483343</v>
      </c>
      <c r="AB83" s="59">
        <f t="shared" ca="1" si="30"/>
        <v>1192936.2647465484</v>
      </c>
      <c r="AC83" s="59">
        <f t="shared" ca="1" si="30"/>
        <v>1178261.6034648623</v>
      </c>
      <c r="AD83" s="59">
        <f t="shared" ca="1" si="30"/>
        <v>1161642.6069926806</v>
      </c>
      <c r="AE83" s="59">
        <f t="shared" ca="1" si="30"/>
        <v>1143012.948951436</v>
      </c>
      <c r="AF83" s="59">
        <f t="shared" ca="1" si="30"/>
        <v>1122298.6341303103</v>
      </c>
      <c r="AG83" s="59">
        <f t="shared" ca="1" si="30"/>
        <v>1099423.4475997738</v>
      </c>
      <c r="AH83" s="59">
        <f t="shared" ca="1" si="30"/>
        <v>1074313.9914664449</v>
      </c>
      <c r="AI83" s="59">
        <f t="shared" ca="1" si="30"/>
        <v>1046890.0509707084</v>
      </c>
      <c r="AJ83" s="59">
        <f t="shared" ca="1" si="30"/>
        <v>1017067.9998224459</v>
      </c>
      <c r="AK83" s="59">
        <f t="shared" ca="1" si="30"/>
        <v>984768.26101615676</v>
      </c>
      <c r="AL83" s="59">
        <f t="shared" ca="1" si="30"/>
        <v>949908.28958122339</v>
      </c>
      <c r="AM83" s="59">
        <f t="shared" ca="1" si="30"/>
        <v>912392.05593619507</v>
      </c>
      <c r="AN83" s="59">
        <f t="shared" ca="1" si="30"/>
        <v>872137.54945616191</v>
      </c>
      <c r="AO83" s="59">
        <f t="shared" ca="1" si="30"/>
        <v>829043.93076962687</v>
      </c>
      <c r="AP83" s="59">
        <f t="shared" ca="1" si="30"/>
        <v>783023.50423683098</v>
      </c>
      <c r="AQ83" s="59">
        <f t="shared" ca="1" si="30"/>
        <v>733937.28851076041</v>
      </c>
      <c r="AR83" s="59">
        <f t="shared" ca="1" si="30"/>
        <v>681668.49105566414</v>
      </c>
      <c r="AS83" s="59">
        <f t="shared" ca="1" si="30"/>
        <v>626106.30094676022</v>
      </c>
      <c r="AT83" s="59">
        <f t="shared" ca="1" si="30"/>
        <v>567131.10641064565</v>
      </c>
      <c r="AU83" s="59">
        <f t="shared" ca="1" si="30"/>
        <v>504629.37717239582</v>
      </c>
      <c r="AV83" s="59">
        <f t="shared" ca="1" si="30"/>
        <v>438484.33703206957</v>
      </c>
      <c r="AW83" s="59">
        <f t="shared" ca="1" si="30"/>
        <v>368553.5805371367</v>
      </c>
      <c r="AX83" s="59">
        <f t="shared" ca="1" si="30"/>
        <v>294652.3319312958</v>
      </c>
      <c r="AY83" s="59">
        <f t="shared" ca="1" si="30"/>
        <v>216652.41600197132</v>
      </c>
      <c r="AZ83" s="59">
        <f t="shared" ca="1" si="30"/>
        <v>134398.80225524609</v>
      </c>
      <c r="BA83" s="59">
        <f t="shared" ca="1" si="30"/>
        <v>47705.236116742664</v>
      </c>
      <c r="BS83" s="5">
        <f>COUNTIF(BT:BT,BT83)-1</f>
        <v>-1</v>
      </c>
      <c r="BT83" s="5"/>
      <c r="CD83" s="5" t="e">
        <f t="shared" ca="1" si="26"/>
        <v>#REF!</v>
      </c>
      <c r="CE83" s="5" t="e">
        <f t="shared" ca="1" si="27"/>
        <v>#REF!</v>
      </c>
      <c r="CF83" s="5" t="e">
        <f t="shared" ca="1" si="25"/>
        <v>#REF!</v>
      </c>
      <c r="CG83" s="5"/>
    </row>
    <row r="84" spans="1:85" x14ac:dyDescent="0.25">
      <c r="A84" s="57" t="s">
        <v>115</v>
      </c>
      <c r="B84" s="57"/>
      <c r="C84" s="53"/>
      <c r="D84" s="54"/>
      <c r="E84" s="63"/>
      <c r="F84" s="59">
        <f t="shared" ref="F84:BA84" ca="1" si="31">SUM(F40:F41)</f>
        <v>59880</v>
      </c>
      <c r="G84" s="59">
        <f t="shared" ca="1" si="31"/>
        <v>39920.751615938672</v>
      </c>
      <c r="H84" s="59">
        <f t="shared" ca="1" si="31"/>
        <v>38093.955366641632</v>
      </c>
      <c r="I84" s="59">
        <f t="shared" ca="1" si="31"/>
        <v>34475.332527115301</v>
      </c>
      <c r="J84" s="59">
        <f t="shared" ca="1" si="31"/>
        <v>25841.575630591542</v>
      </c>
      <c r="K84" s="59">
        <f t="shared" ca="1" si="31"/>
        <v>9296.2697561449895</v>
      </c>
      <c r="L84" s="59">
        <f t="shared" ca="1" si="31"/>
        <v>-12842.131628582749</v>
      </c>
      <c r="M84" s="59">
        <f t="shared" ca="1" si="31"/>
        <v>-56941.092425147595</v>
      </c>
      <c r="N84" s="59">
        <f t="shared" ca="1" si="31"/>
        <v>-47072.896118671284</v>
      </c>
      <c r="O84" s="59">
        <f t="shared" ca="1" si="31"/>
        <v>-35357.739507172257</v>
      </c>
      <c r="P84" s="59">
        <f t="shared" ca="1" si="31"/>
        <v>-38907.900876137777</v>
      </c>
      <c r="Q84" s="59">
        <f t="shared" ca="1" si="31"/>
        <v>-40264.094423705479</v>
      </c>
      <c r="R84" s="59">
        <f t="shared" ca="1" si="31"/>
        <v>-41618.185322282312</v>
      </c>
      <c r="S84" s="59">
        <f t="shared" ca="1" si="31"/>
        <v>-42984.262381518929</v>
      </c>
      <c r="T84" s="59">
        <f t="shared" ca="1" si="31"/>
        <v>-44351.842563373706</v>
      </c>
      <c r="U84" s="59">
        <f t="shared" ca="1" si="31"/>
        <v>-45725.830628653319</v>
      </c>
      <c r="V84" s="59">
        <f t="shared" ca="1" si="31"/>
        <v>-47100.87116156891</v>
      </c>
      <c r="W84" s="59">
        <f t="shared" ca="1" si="31"/>
        <v>-48486.973560529848</v>
      </c>
      <c r="X84" s="59">
        <f t="shared" ca="1" si="31"/>
        <v>-49874.118697532045</v>
      </c>
      <c r="Y84" s="59">
        <f t="shared" ca="1" si="31"/>
        <v>-51266.139914798405</v>
      </c>
      <c r="Z84" s="59">
        <f t="shared" ca="1" si="31"/>
        <v>-52658.170080609678</v>
      </c>
      <c r="AA84" s="59">
        <f t="shared" ca="1" si="31"/>
        <v>-54060.644439781434</v>
      </c>
      <c r="AB84" s="59">
        <f t="shared" ca="1" si="31"/>
        <v>-55456.934199327021</v>
      </c>
      <c r="AC84" s="59">
        <f t="shared" ca="1" si="31"/>
        <v>-56863.04923189379</v>
      </c>
      <c r="AD84" s="59">
        <f t="shared" ca="1" si="31"/>
        <v>-58267.46858573801</v>
      </c>
      <c r="AE84" s="59">
        <f t="shared" ca="1" si="31"/>
        <v>-59675.447699681506</v>
      </c>
      <c r="AF84" s="59">
        <f t="shared" ca="1" si="31"/>
        <v>-61086.622825648665</v>
      </c>
      <c r="AG84" s="59">
        <f t="shared" ca="1" si="31"/>
        <v>-62495.603733976226</v>
      </c>
      <c r="AH84" s="59">
        <f t="shared" ca="1" si="31"/>
        <v>-63906.565304238</v>
      </c>
      <c r="AI84" s="59">
        <f t="shared" ca="1" si="31"/>
        <v>-65320.101161903935</v>
      </c>
      <c r="AJ84" s="59">
        <f t="shared" ca="1" si="31"/>
        <v>-66729.355086068681</v>
      </c>
      <c r="AK84" s="59">
        <f t="shared" ca="1" si="31"/>
        <v>-68134.50670319295</v>
      </c>
      <c r="AL84" s="59">
        <f t="shared" ca="1" si="31"/>
        <v>-69545.969317318057</v>
      </c>
      <c r="AM84" s="59">
        <f t="shared" ca="1" si="31"/>
        <v>-70946.661855331797</v>
      </c>
      <c r="AN84" s="59">
        <f t="shared" ca="1" si="31"/>
        <v>-72352.268223587889</v>
      </c>
      <c r="AO84" s="59">
        <f t="shared" ca="1" si="31"/>
        <v>-73746.402073447418</v>
      </c>
      <c r="AP84" s="59">
        <f t="shared" ca="1" si="31"/>
        <v>-75176.450490771269</v>
      </c>
      <c r="AQ84" s="59">
        <f t="shared" ca="1" si="31"/>
        <v>-76615.825604887388</v>
      </c>
      <c r="AR84" s="59">
        <f t="shared" ca="1" si="31"/>
        <v>-78054.631248994789</v>
      </c>
      <c r="AS84" s="59">
        <f t="shared" ca="1" si="31"/>
        <v>-79497.705227765313</v>
      </c>
      <c r="AT84" s="59">
        <f t="shared" ca="1" si="31"/>
        <v>-80934.956228621537</v>
      </c>
      <c r="AU84" s="59">
        <f t="shared" ca="1" si="31"/>
        <v>-82365.669131557865</v>
      </c>
      <c r="AV84" s="59">
        <f t="shared" ca="1" si="31"/>
        <v>-83811.01551946468</v>
      </c>
      <c r="AW84" s="59">
        <f t="shared" ca="1" si="31"/>
        <v>-85307.738500875392</v>
      </c>
      <c r="AX84" s="59">
        <f t="shared" ca="1" si="31"/>
        <v>-86793.855082967901</v>
      </c>
      <c r="AY84" s="59">
        <f t="shared" ca="1" si="31"/>
        <v>-88291.349687267037</v>
      </c>
      <c r="AZ84" s="59">
        <f t="shared" ca="1" si="31"/>
        <v>-89825.576626473747</v>
      </c>
      <c r="BA84" s="59">
        <f t="shared" ca="1" si="31"/>
        <v>-91505.645895023277</v>
      </c>
      <c r="BS84" s="5">
        <f t="shared" si="23"/>
        <v>-1</v>
      </c>
      <c r="BT84" s="5"/>
      <c r="CD84" s="5" t="e">
        <f t="shared" ca="1" si="26"/>
        <v>#REF!</v>
      </c>
      <c r="CE84" s="5" t="e">
        <f t="shared" ca="1" si="27"/>
        <v>#REF!</v>
      </c>
      <c r="CF84" s="5" t="e">
        <f t="shared" ca="1" si="25"/>
        <v>#REF!</v>
      </c>
      <c r="CG84" s="5"/>
    </row>
    <row r="85" spans="1:85" x14ac:dyDescent="0.25">
      <c r="A85" s="57" t="s">
        <v>103</v>
      </c>
      <c r="B85" s="57"/>
      <c r="C85" s="53"/>
      <c r="D85" s="54">
        <v>3.5000000000000003E-2</v>
      </c>
      <c r="E85" s="63"/>
      <c r="F85" s="59">
        <f t="shared" ref="F85:BA85" ca="1" si="32">(F83+F84*0.5)*$D85</f>
        <v>3662.4000000000005</v>
      </c>
      <c r="G85" s="59">
        <f t="shared" ca="1" si="32"/>
        <v>7282.0921532789271</v>
      </c>
      <c r="H85" s="59">
        <f t="shared" ca="1" si="32"/>
        <v>10386.427045838846</v>
      </c>
      <c r="I85" s="59">
        <f t="shared" ca="1" si="32"/>
        <v>13563.167756748951</v>
      </c>
      <c r="J85" s="59">
        <f t="shared" ca="1" si="32"/>
        <v>16379.736459182534</v>
      </c>
      <c r="K85" s="59">
        <f t="shared" ca="1" si="32"/>
        <v>26282.939529521816</v>
      </c>
      <c r="L85" s="59">
        <f t="shared" ca="1" si="32"/>
        <v>39425.789830287424</v>
      </c>
      <c r="M85" s="59">
        <f t="shared" ca="1" si="32"/>
        <v>40865.88152660257</v>
      </c>
      <c r="N85" s="59">
        <f t="shared" ca="1" si="32"/>
        <v>41518.256076516831</v>
      </c>
      <c r="O85" s="59">
        <f t="shared" ca="1" si="32"/>
        <v>42549.276658984949</v>
      </c>
      <c r="P85" s="59">
        <f t="shared" ca="1" si="32"/>
        <v>42738.8526353415</v>
      </c>
      <c r="Q85" s="59">
        <f t="shared" ca="1" si="32"/>
        <v>42849.202559831196</v>
      </c>
      <c r="R85" s="59">
        <f t="shared" ca="1" si="32"/>
        <v>42915.984753870493</v>
      </c>
      <c r="S85" s="59">
        <f t="shared" ca="1" si="32"/>
        <v>42937.501385439442</v>
      </c>
      <c r="T85" s="59">
        <f t="shared" ca="1" si="32"/>
        <v>42911.932097394194</v>
      </c>
      <c r="U85" s="59">
        <f t="shared" ca="1" si="32"/>
        <v>42837.490439942514</v>
      </c>
      <c r="V85" s="59">
        <f t="shared" ca="1" si="32"/>
        <v>42712.335324011619</v>
      </c>
      <c r="W85" s="59">
        <f t="shared" ca="1" si="32"/>
        <v>42534.4797777153</v>
      </c>
      <c r="X85" s="59">
        <f t="shared" ca="1" si="32"/>
        <v>42301.867455419255</v>
      </c>
      <c r="Y85" s="59">
        <f t="shared" ca="1" si="32"/>
        <v>42012.478290643143</v>
      </c>
      <c r="Z85" s="59">
        <f t="shared" ca="1" si="32"/>
        <v>41664.239605896015</v>
      </c>
      <c r="AA85" s="59">
        <f t="shared" ca="1" si="32"/>
        <v>41254.908737995524</v>
      </c>
      <c r="AB85" s="59">
        <f t="shared" ca="1" si="32"/>
        <v>40782.27291764097</v>
      </c>
      <c r="AC85" s="59">
        <f t="shared" ca="1" si="32"/>
        <v>40244.052759712045</v>
      </c>
      <c r="AD85" s="59">
        <f t="shared" ca="1" si="32"/>
        <v>39637.810544493412</v>
      </c>
      <c r="AE85" s="59">
        <f t="shared" ca="1" si="32"/>
        <v>38961.132878555836</v>
      </c>
      <c r="AF85" s="59">
        <f t="shared" ca="1" si="32"/>
        <v>38211.436295112013</v>
      </c>
      <c r="AG85" s="59">
        <f t="shared" ca="1" si="32"/>
        <v>37386.147600647499</v>
      </c>
      <c r="AH85" s="59">
        <f t="shared" ca="1" si="32"/>
        <v>36482.624808501416</v>
      </c>
      <c r="AI85" s="59">
        <f t="shared" ca="1" si="32"/>
        <v>35498.050013641478</v>
      </c>
      <c r="AJ85" s="59">
        <f t="shared" ca="1" si="32"/>
        <v>34429.61627977941</v>
      </c>
      <c r="AK85" s="59">
        <f t="shared" ca="1" si="32"/>
        <v>33274.535268259613</v>
      </c>
      <c r="AL85" s="59">
        <f t="shared" ca="1" si="32"/>
        <v>32029.735672289757</v>
      </c>
      <c r="AM85" s="59">
        <f t="shared" ca="1" si="32"/>
        <v>30692.155375298524</v>
      </c>
      <c r="AN85" s="59">
        <f t="shared" ca="1" si="32"/>
        <v>29258.649537052883</v>
      </c>
      <c r="AO85" s="59">
        <f t="shared" ca="1" si="32"/>
        <v>27725.975540651612</v>
      </c>
      <c r="AP85" s="59">
        <f t="shared" ca="1" si="32"/>
        <v>26090.234764700588</v>
      </c>
      <c r="AQ85" s="59">
        <f t="shared" ca="1" si="32"/>
        <v>24347.028149791087</v>
      </c>
      <c r="AR85" s="59">
        <f t="shared" ca="1" si="32"/>
        <v>22492.441140090839</v>
      </c>
      <c r="AS85" s="59">
        <f t="shared" ca="1" si="32"/>
        <v>20522.510691650717</v>
      </c>
      <c r="AT85" s="59">
        <f t="shared" ca="1" si="32"/>
        <v>18433.226990371724</v>
      </c>
      <c r="AU85" s="59">
        <f t="shared" ca="1" si="32"/>
        <v>16220.628991231591</v>
      </c>
      <c r="AV85" s="59">
        <f t="shared" ca="1" si="32"/>
        <v>13880.259024531806</v>
      </c>
      <c r="AW85" s="59">
        <f t="shared" ca="1" si="32"/>
        <v>11406.489895034465</v>
      </c>
      <c r="AX85" s="59">
        <f t="shared" ca="1" si="32"/>
        <v>8793.9391536434159</v>
      </c>
      <c r="AY85" s="59">
        <f t="shared" ca="1" si="32"/>
        <v>6037.7359405418238</v>
      </c>
      <c r="AZ85" s="59">
        <f t="shared" ca="1" si="32"/>
        <v>3132.0104879703231</v>
      </c>
      <c r="BA85" s="59">
        <f t="shared" ca="1" si="32"/>
        <v>68.334460923085899</v>
      </c>
      <c r="BS85" s="5">
        <f t="shared" si="23"/>
        <v>-1</v>
      </c>
      <c r="BT85" s="5"/>
      <c r="CD85" s="5" t="e">
        <f t="shared" ca="1" si="26"/>
        <v>#REF!</v>
      </c>
      <c r="CE85" s="5" t="e">
        <f t="shared" ca="1" si="27"/>
        <v>#REF!</v>
      </c>
      <c r="CF85" s="5" t="e">
        <f t="shared" ca="1" si="25"/>
        <v>#REF!</v>
      </c>
      <c r="CG85" s="5"/>
    </row>
    <row r="86" spans="1:85" x14ac:dyDescent="0.25">
      <c r="A86" s="57" t="s">
        <v>117</v>
      </c>
      <c r="B86" s="57"/>
      <c r="C86" s="53"/>
      <c r="D86" s="54"/>
      <c r="E86" s="63"/>
      <c r="F86" s="59">
        <f t="shared" ref="F86:BA86" ca="1" si="33">-(F70-E70)</f>
        <v>0</v>
      </c>
      <c r="G86" s="59">
        <f t="shared" ca="1" si="33"/>
        <v>0</v>
      </c>
      <c r="H86" s="59">
        <f t="shared" ca="1" si="33"/>
        <v>0</v>
      </c>
      <c r="I86" s="59">
        <f t="shared" ca="1" si="33"/>
        <v>0</v>
      </c>
      <c r="J86" s="59">
        <f t="shared" ca="1" si="33"/>
        <v>0</v>
      </c>
      <c r="K86" s="59">
        <f t="shared" ca="1" si="33"/>
        <v>0</v>
      </c>
      <c r="L86" s="59">
        <f t="shared" ca="1" si="33"/>
        <v>0</v>
      </c>
      <c r="M86" s="59">
        <f t="shared" ca="1" si="33"/>
        <v>0</v>
      </c>
      <c r="N86" s="59">
        <f t="shared" ca="1" si="33"/>
        <v>0</v>
      </c>
      <c r="O86" s="59">
        <f t="shared" ca="1" si="33"/>
        <v>0</v>
      </c>
      <c r="P86" s="59">
        <f t="shared" ca="1" si="33"/>
        <v>0</v>
      </c>
      <c r="Q86" s="59">
        <f t="shared" ca="1" si="33"/>
        <v>0</v>
      </c>
      <c r="R86" s="59">
        <f t="shared" ca="1" si="33"/>
        <v>0</v>
      </c>
      <c r="S86" s="59">
        <f t="shared" ca="1" si="33"/>
        <v>0</v>
      </c>
      <c r="T86" s="59">
        <f t="shared" ca="1" si="33"/>
        <v>0</v>
      </c>
      <c r="U86" s="59">
        <f t="shared" ca="1" si="33"/>
        <v>0</v>
      </c>
      <c r="V86" s="59">
        <f t="shared" ca="1" si="33"/>
        <v>0</v>
      </c>
      <c r="W86" s="59">
        <f t="shared" ca="1" si="33"/>
        <v>0</v>
      </c>
      <c r="X86" s="59">
        <f t="shared" ca="1" si="33"/>
        <v>0</v>
      </c>
      <c r="Y86" s="59">
        <f t="shared" ca="1" si="33"/>
        <v>0</v>
      </c>
      <c r="Z86" s="59">
        <f t="shared" ca="1" si="33"/>
        <v>0</v>
      </c>
      <c r="AA86" s="59">
        <f t="shared" ca="1" si="33"/>
        <v>0</v>
      </c>
      <c r="AB86" s="59">
        <f t="shared" ca="1" si="33"/>
        <v>0</v>
      </c>
      <c r="AC86" s="59">
        <f t="shared" ca="1" si="33"/>
        <v>0</v>
      </c>
      <c r="AD86" s="59">
        <f t="shared" ca="1" si="33"/>
        <v>0</v>
      </c>
      <c r="AE86" s="59">
        <f t="shared" ca="1" si="33"/>
        <v>0</v>
      </c>
      <c r="AF86" s="59">
        <f t="shared" ca="1" si="33"/>
        <v>0</v>
      </c>
      <c r="AG86" s="59">
        <f t="shared" ca="1" si="33"/>
        <v>0</v>
      </c>
      <c r="AH86" s="59">
        <f t="shared" ca="1" si="33"/>
        <v>0</v>
      </c>
      <c r="AI86" s="59">
        <f t="shared" ca="1" si="33"/>
        <v>0</v>
      </c>
      <c r="AJ86" s="59">
        <f t="shared" ca="1" si="33"/>
        <v>0</v>
      </c>
      <c r="AK86" s="59">
        <f t="shared" ca="1" si="33"/>
        <v>0</v>
      </c>
      <c r="AL86" s="59">
        <f t="shared" ca="1" si="33"/>
        <v>0</v>
      </c>
      <c r="AM86" s="59">
        <f t="shared" ca="1" si="33"/>
        <v>0</v>
      </c>
      <c r="AN86" s="59">
        <f t="shared" ca="1" si="33"/>
        <v>0</v>
      </c>
      <c r="AO86" s="59">
        <f t="shared" ca="1" si="33"/>
        <v>0</v>
      </c>
      <c r="AP86" s="59">
        <f t="shared" ca="1" si="33"/>
        <v>0</v>
      </c>
      <c r="AQ86" s="59">
        <f t="shared" ca="1" si="33"/>
        <v>0</v>
      </c>
      <c r="AR86" s="59">
        <f t="shared" ca="1" si="33"/>
        <v>0</v>
      </c>
      <c r="AS86" s="59">
        <f t="shared" ca="1" si="33"/>
        <v>0</v>
      </c>
      <c r="AT86" s="59">
        <f t="shared" ca="1" si="33"/>
        <v>0</v>
      </c>
      <c r="AU86" s="59">
        <f t="shared" ca="1" si="33"/>
        <v>0</v>
      </c>
      <c r="AV86" s="59">
        <f t="shared" ca="1" si="33"/>
        <v>0</v>
      </c>
      <c r="AW86" s="59">
        <f t="shared" ca="1" si="33"/>
        <v>0</v>
      </c>
      <c r="AX86" s="59">
        <f t="shared" ca="1" si="33"/>
        <v>0</v>
      </c>
      <c r="AY86" s="59">
        <f t="shared" ca="1" si="33"/>
        <v>0</v>
      </c>
      <c r="AZ86" s="59">
        <f t="shared" ca="1" si="33"/>
        <v>0</v>
      </c>
      <c r="BA86" s="59">
        <f t="shared" ca="1" si="33"/>
        <v>0</v>
      </c>
      <c r="BS86" s="5">
        <f t="shared" si="23"/>
        <v>-1</v>
      </c>
      <c r="BT86" s="5"/>
      <c r="CD86" s="5" t="e">
        <f t="shared" ca="1" si="26"/>
        <v>#REF!</v>
      </c>
      <c r="CE86" s="5" t="e">
        <f t="shared" ca="1" si="27"/>
        <v>#REF!</v>
      </c>
      <c r="CF86" s="5" t="e">
        <f t="shared" ca="1" si="25"/>
        <v>#REF!</v>
      </c>
      <c r="CG86" s="5"/>
    </row>
    <row r="87" spans="1:85" x14ac:dyDescent="0.25">
      <c r="A87" s="57" t="s">
        <v>116</v>
      </c>
      <c r="B87" s="57"/>
      <c r="C87" s="53"/>
      <c r="D87" s="54"/>
      <c r="E87" s="63"/>
      <c r="F87" s="59"/>
      <c r="G87" s="59"/>
      <c r="H87" s="59"/>
      <c r="I87" s="59"/>
      <c r="J87" s="59"/>
      <c r="K87" s="59">
        <v>100000</v>
      </c>
      <c r="L87" s="59"/>
      <c r="M87" s="59"/>
      <c r="N87" s="59"/>
      <c r="O87" s="59"/>
      <c r="P87" s="59"/>
      <c r="Q87" s="59"/>
      <c r="R87" s="59"/>
      <c r="S87" s="59"/>
      <c r="T87" s="59"/>
      <c r="U87" s="59"/>
      <c r="V87" s="59"/>
      <c r="W87" s="59"/>
      <c r="X87" s="59"/>
      <c r="Y87" s="59"/>
      <c r="Z87" s="59"/>
      <c r="AA87" s="59"/>
      <c r="AB87" s="59"/>
      <c r="AC87" s="59"/>
      <c r="AD87" s="59"/>
      <c r="AE87" s="59"/>
      <c r="AF87" s="59"/>
      <c r="AG87" s="59"/>
      <c r="AH87" s="59"/>
      <c r="AI87" s="59"/>
      <c r="AJ87" s="59"/>
      <c r="AK87" s="59"/>
      <c r="AL87" s="59"/>
      <c r="AM87" s="59"/>
      <c r="AN87" s="59"/>
      <c r="AO87" s="59"/>
      <c r="AP87" s="59"/>
      <c r="AQ87" s="59"/>
      <c r="AR87" s="59"/>
      <c r="AS87" s="59"/>
      <c r="AT87" s="59"/>
      <c r="AU87" s="59"/>
      <c r="AV87" s="59"/>
      <c r="AW87" s="59"/>
      <c r="AX87" s="59"/>
      <c r="AY87" s="59"/>
      <c r="AZ87" s="59"/>
      <c r="BA87" s="59"/>
      <c r="BS87" s="5">
        <f t="shared" si="23"/>
        <v>-1</v>
      </c>
      <c r="BT87" s="5"/>
      <c r="CD87" s="5" t="e">
        <f t="shared" ca="1" si="26"/>
        <v>#REF!</v>
      </c>
      <c r="CE87" s="5" t="e">
        <f t="shared" ca="1" si="27"/>
        <v>#REF!</v>
      </c>
      <c r="CF87" s="5" t="e">
        <f t="shared" ca="1" si="25"/>
        <v>#REF!</v>
      </c>
      <c r="CG87" s="5"/>
    </row>
    <row r="88" spans="1:85" x14ac:dyDescent="0.25">
      <c r="A88" s="57" t="s">
        <v>269</v>
      </c>
      <c r="B88" s="57"/>
      <c r="C88" s="53" t="str">
        <f>PD_Bez1</f>
        <v>Sheldon</v>
      </c>
      <c r="D88" s="54"/>
      <c r="E88" s="63"/>
      <c r="F88" s="59"/>
      <c r="G88" s="59">
        <v>20718.837</v>
      </c>
      <c r="H88" s="59"/>
      <c r="I88" s="59">
        <v>14324.385600000001</v>
      </c>
      <c r="J88" s="59"/>
      <c r="K88" s="59"/>
      <c r="L88" s="59">
        <v>36611.299234153194</v>
      </c>
      <c r="M88" s="59">
        <v>7056</v>
      </c>
      <c r="N88" s="59"/>
      <c r="O88" s="59"/>
      <c r="P88" s="59"/>
      <c r="Q88" s="59"/>
      <c r="R88" s="59"/>
      <c r="S88" s="59"/>
      <c r="T88" s="59"/>
      <c r="U88" s="59"/>
      <c r="V88" s="59"/>
      <c r="W88" s="59"/>
      <c r="X88" s="59"/>
      <c r="Y88" s="59"/>
      <c r="Z88" s="59"/>
      <c r="AA88" s="59"/>
      <c r="AB88" s="59"/>
      <c r="AC88" s="59"/>
      <c r="AD88" s="59"/>
      <c r="AE88" s="59"/>
      <c r="AF88" s="59"/>
      <c r="AG88" s="59"/>
      <c r="AH88" s="59"/>
      <c r="AI88" s="59"/>
      <c r="AJ88" s="59"/>
      <c r="AK88" s="59"/>
      <c r="AL88" s="59"/>
      <c r="AM88" s="59"/>
      <c r="AN88" s="59"/>
      <c r="AO88" s="59"/>
      <c r="AP88" s="59"/>
      <c r="AQ88" s="59"/>
      <c r="AR88" s="59"/>
      <c r="AS88" s="59"/>
      <c r="AT88" s="59"/>
      <c r="AU88" s="59"/>
      <c r="AV88" s="59"/>
      <c r="AW88" s="59"/>
      <c r="AX88" s="59"/>
      <c r="AY88" s="59"/>
      <c r="AZ88" s="59"/>
      <c r="BA88" s="59"/>
      <c r="BS88" s="5">
        <f t="shared" si="23"/>
        <v>-1</v>
      </c>
      <c r="BT88" s="5"/>
      <c r="CD88" s="5" t="e">
        <f t="shared" ca="1" si="26"/>
        <v>#REF!</v>
      </c>
      <c r="CE88" s="5" t="e">
        <f t="shared" ca="1" si="27"/>
        <v>#REF!</v>
      </c>
      <c r="CF88" s="5" t="e">
        <f t="shared" ca="1" si="25"/>
        <v>#REF!</v>
      </c>
      <c r="CG88" s="5"/>
    </row>
    <row r="89" spans="1:85" x14ac:dyDescent="0.25">
      <c r="A89" s="66" t="s">
        <v>269</v>
      </c>
      <c r="B89" s="66"/>
      <c r="C89" s="67" t="str">
        <f>PD_Bez2</f>
        <v>Amy</v>
      </c>
      <c r="D89" s="68"/>
      <c r="E89" s="69"/>
      <c r="F89" s="70">
        <v>49857</v>
      </c>
      <c r="G89" s="70">
        <v>21687</v>
      </c>
      <c r="H89" s="70">
        <v>44092.949318999985</v>
      </c>
      <c r="I89" s="70">
        <v>22427.384062499998</v>
      </c>
      <c r="J89" s="70">
        <v>249000</v>
      </c>
      <c r="K89" s="70">
        <v>251000</v>
      </c>
      <c r="L89" s="70"/>
      <c r="M89" s="70">
        <v>22724.385600000001</v>
      </c>
      <c r="N89" s="70">
        <v>29154.792664065601</v>
      </c>
      <c r="O89" s="70"/>
      <c r="P89" s="70"/>
      <c r="Q89" s="70"/>
      <c r="R89" s="70"/>
      <c r="S89" s="70"/>
      <c r="T89" s="70"/>
      <c r="U89" s="70"/>
      <c r="V89" s="70"/>
      <c r="W89" s="70"/>
      <c r="X89" s="70"/>
      <c r="Y89" s="70"/>
      <c r="Z89" s="70"/>
      <c r="AA89" s="70"/>
      <c r="AB89" s="70"/>
      <c r="AC89" s="70"/>
      <c r="AD89" s="70"/>
      <c r="AE89" s="70"/>
      <c r="AF89" s="70"/>
      <c r="AG89" s="70"/>
      <c r="AH89" s="70"/>
      <c r="AI89" s="70"/>
      <c r="AJ89" s="70"/>
      <c r="AK89" s="70"/>
      <c r="AL89" s="70"/>
      <c r="AM89" s="70"/>
      <c r="AN89" s="70"/>
      <c r="AO89" s="70"/>
      <c r="AP89" s="70"/>
      <c r="AQ89" s="70"/>
      <c r="AR89" s="70"/>
      <c r="AS89" s="70"/>
      <c r="AT89" s="70"/>
      <c r="AU89" s="70"/>
      <c r="AV89" s="70"/>
      <c r="AW89" s="70"/>
      <c r="AX89" s="70"/>
      <c r="AY89" s="70"/>
      <c r="AZ89" s="70"/>
      <c r="BA89" s="70"/>
      <c r="BS89" s="5">
        <f t="shared" si="23"/>
        <v>-1</v>
      </c>
      <c r="BT89" s="5"/>
      <c r="CD89" s="5" t="e">
        <f t="shared" ca="1" si="26"/>
        <v>#REF!</v>
      </c>
      <c r="CE89" s="5" t="e">
        <f t="shared" ca="1" si="27"/>
        <v>#REF!</v>
      </c>
      <c r="CF89" s="5" t="e">
        <f t="shared" ca="1" si="25"/>
        <v>#REF!</v>
      </c>
      <c r="CG89" s="5"/>
    </row>
    <row r="90" spans="1:85" ht="27.75" customHeight="1" x14ac:dyDescent="0.25">
      <c r="A90" s="71" t="s">
        <v>16</v>
      </c>
      <c r="B90" s="72" t="s">
        <v>110</v>
      </c>
      <c r="C90" s="73"/>
      <c r="D90" s="74"/>
      <c r="E90" s="75"/>
      <c r="F90" s="76">
        <f t="shared" ref="F90:BA90" ca="1" si="34">SUM(F91:F136)</f>
        <v>130911.20000000001</v>
      </c>
      <c r="G90" s="76">
        <f t="shared" ca="1" si="34"/>
        <v>132721.04607663947</v>
      </c>
      <c r="H90" s="76">
        <f t="shared" ca="1" si="34"/>
        <v>134273.21352291942</v>
      </c>
      <c r="I90" s="76">
        <f t="shared" ca="1" si="34"/>
        <v>134361.58387837448</v>
      </c>
      <c r="J90" s="76">
        <f t="shared" ca="1" si="34"/>
        <v>128436.53489625794</v>
      </c>
      <c r="K90" s="76">
        <f t="shared" ca="1" si="34"/>
        <v>155819.02532031646</v>
      </c>
      <c r="L90" s="76">
        <f t="shared" ca="1" si="34"/>
        <v>152402.89491514373</v>
      </c>
      <c r="M90" s="76">
        <f t="shared" ca="1" si="34"/>
        <v>97900.940763301289</v>
      </c>
      <c r="N90" s="76">
        <f t="shared" ca="1" si="34"/>
        <v>90702.128038258408</v>
      </c>
      <c r="O90" s="76">
        <f t="shared" ca="1" si="34"/>
        <v>102242.63832949247</v>
      </c>
      <c r="P90" s="76">
        <f t="shared" ca="1" si="34"/>
        <v>102337.42631767075</v>
      </c>
      <c r="Q90" s="76">
        <f t="shared" ca="1" si="34"/>
        <v>102392.6012799156</v>
      </c>
      <c r="R90" s="76">
        <f t="shared" ca="1" si="34"/>
        <v>102425.99237693525</v>
      </c>
      <c r="S90" s="76">
        <f t="shared" ca="1" si="34"/>
        <v>102436.75069271972</v>
      </c>
      <c r="T90" s="76">
        <f t="shared" ca="1" si="34"/>
        <v>102423.9660486971</v>
      </c>
      <c r="U90" s="76">
        <f t="shared" ca="1" si="34"/>
        <v>102386.74521997126</v>
      </c>
      <c r="V90" s="76">
        <f t="shared" ca="1" si="34"/>
        <v>102324.16766200581</v>
      </c>
      <c r="W90" s="76">
        <f t="shared" ca="1" si="34"/>
        <v>102235.23988885764</v>
      </c>
      <c r="X90" s="76">
        <f t="shared" ca="1" si="34"/>
        <v>102118.93372770963</v>
      </c>
      <c r="Y90" s="76">
        <f t="shared" ca="1" si="34"/>
        <v>101974.23914532157</v>
      </c>
      <c r="Z90" s="76">
        <f t="shared" ca="1" si="34"/>
        <v>101800.119802948</v>
      </c>
      <c r="AA90" s="76">
        <f t="shared" ca="1" si="34"/>
        <v>101595.45436899776</v>
      </c>
      <c r="AB90" s="76">
        <f t="shared" ca="1" si="34"/>
        <v>101359.13645882049</v>
      </c>
      <c r="AC90" s="76">
        <f t="shared" ca="1" si="34"/>
        <v>101090.02637985602</v>
      </c>
      <c r="AD90" s="76">
        <f t="shared" ca="1" si="34"/>
        <v>100786.9052722467</v>
      </c>
      <c r="AE90" s="76">
        <f t="shared" ca="1" si="34"/>
        <v>100448.56643927791</v>
      </c>
      <c r="AF90" s="76">
        <f t="shared" ca="1" si="34"/>
        <v>100073.71814755601</v>
      </c>
      <c r="AG90" s="76">
        <f t="shared" ca="1" si="34"/>
        <v>99661.073800323749</v>
      </c>
      <c r="AH90" s="76">
        <f t="shared" ca="1" si="34"/>
        <v>99209.312404250712</v>
      </c>
      <c r="AI90" s="76">
        <f t="shared" ca="1" si="34"/>
        <v>98717.025006820739</v>
      </c>
      <c r="AJ90" s="76">
        <f t="shared" ca="1" si="34"/>
        <v>98182.808139889705</v>
      </c>
      <c r="AK90" s="76">
        <f t="shared" ca="1" si="34"/>
        <v>97605.267634129807</v>
      </c>
      <c r="AL90" s="76">
        <f t="shared" ca="1" si="34"/>
        <v>96982.867836144884</v>
      </c>
      <c r="AM90" s="76">
        <f t="shared" ca="1" si="34"/>
        <v>96314.07768764926</v>
      </c>
      <c r="AN90" s="76">
        <f t="shared" ca="1" si="34"/>
        <v>95597.324768526436</v>
      </c>
      <c r="AO90" s="76">
        <f t="shared" ca="1" si="34"/>
        <v>94830.98777032581</v>
      </c>
      <c r="AP90" s="76">
        <f t="shared" ca="1" si="34"/>
        <v>94013.11738235029</v>
      </c>
      <c r="AQ90" s="76">
        <f t="shared" ca="1" si="34"/>
        <v>93141.514074895545</v>
      </c>
      <c r="AR90" s="76">
        <f t="shared" ca="1" si="34"/>
        <v>92214.220570045421</v>
      </c>
      <c r="AS90" s="76">
        <f t="shared" ca="1" si="34"/>
        <v>91229.255345825353</v>
      </c>
      <c r="AT90" s="76">
        <f t="shared" ca="1" si="34"/>
        <v>90184.613495185855</v>
      </c>
      <c r="AU90" s="76">
        <f t="shared" ca="1" si="34"/>
        <v>89078.314495615792</v>
      </c>
      <c r="AV90" s="76">
        <f t="shared" ca="1" si="34"/>
        <v>87908.129512265907</v>
      </c>
      <c r="AW90" s="76">
        <f t="shared" ca="1" si="34"/>
        <v>86671.244947517233</v>
      </c>
      <c r="AX90" s="76">
        <f t="shared" ca="1" si="34"/>
        <v>85364.969576821706</v>
      </c>
      <c r="AY90" s="76">
        <f t="shared" ca="1" si="34"/>
        <v>83986.867970270905</v>
      </c>
      <c r="AZ90" s="76">
        <f t="shared" ca="1" si="34"/>
        <v>82534.005243985157</v>
      </c>
      <c r="BA90" s="76">
        <f t="shared" ca="1" si="34"/>
        <v>81002.167230461549</v>
      </c>
      <c r="BS90" s="5">
        <f t="shared" si="23"/>
        <v>-1</v>
      </c>
      <c r="BT90" s="5"/>
      <c r="CD90" s="5" t="e">
        <f t="shared" ca="1" si="26"/>
        <v>#REF!</v>
      </c>
      <c r="CE90" s="5" t="e">
        <f t="shared" ca="1" si="27"/>
        <v>#REF!</v>
      </c>
      <c r="CF90" s="5" t="e">
        <f t="shared" ca="1" si="25"/>
        <v>#REF!</v>
      </c>
      <c r="CG90" s="5"/>
    </row>
    <row r="91" spans="1:85" x14ac:dyDescent="0.25">
      <c r="A91" s="57" t="s">
        <v>225</v>
      </c>
      <c r="B91" s="57"/>
      <c r="C91" s="53"/>
      <c r="D91" s="54"/>
      <c r="E91" s="63"/>
      <c r="F91" s="59">
        <f t="shared" ref="F91:BA91" ca="1" si="35">F6</f>
        <v>200000</v>
      </c>
      <c r="G91" s="59">
        <f t="shared" ca="1" si="35"/>
        <v>200000</v>
      </c>
      <c r="H91" s="59">
        <f t="shared" ca="1" si="35"/>
        <v>200000</v>
      </c>
      <c r="I91" s="59">
        <f t="shared" ca="1" si="35"/>
        <v>200000</v>
      </c>
      <c r="J91" s="59">
        <f t="shared" ca="1" si="35"/>
        <v>192666.66666666669</v>
      </c>
      <c r="K91" s="59">
        <f t="shared" ca="1" si="35"/>
        <v>189755.55555555556</v>
      </c>
      <c r="L91" s="59">
        <f t="shared" ca="1" si="35"/>
        <v>170312</v>
      </c>
      <c r="M91" s="59">
        <f t="shared" ca="1" si="35"/>
        <v>100062</v>
      </c>
      <c r="N91" s="59">
        <f t="shared" ca="1" si="35"/>
        <v>89737</v>
      </c>
      <c r="O91" s="59">
        <f t="shared" ca="1" si="35"/>
        <v>100762</v>
      </c>
      <c r="P91" s="59">
        <f t="shared" ca="1" si="35"/>
        <v>100762</v>
      </c>
      <c r="Q91" s="59">
        <f t="shared" ca="1" si="35"/>
        <v>100762</v>
      </c>
      <c r="R91" s="59">
        <f t="shared" ca="1" si="35"/>
        <v>100762</v>
      </c>
      <c r="S91" s="59">
        <f t="shared" ca="1" si="35"/>
        <v>100762</v>
      </c>
      <c r="T91" s="59">
        <f t="shared" ca="1" si="35"/>
        <v>100762</v>
      </c>
      <c r="U91" s="59">
        <f t="shared" ca="1" si="35"/>
        <v>100762</v>
      </c>
      <c r="V91" s="59">
        <f t="shared" ca="1" si="35"/>
        <v>100762</v>
      </c>
      <c r="W91" s="59">
        <f t="shared" ca="1" si="35"/>
        <v>100762</v>
      </c>
      <c r="X91" s="59">
        <f t="shared" ca="1" si="35"/>
        <v>100762</v>
      </c>
      <c r="Y91" s="59">
        <f t="shared" ca="1" si="35"/>
        <v>100762</v>
      </c>
      <c r="Z91" s="59">
        <f t="shared" ca="1" si="35"/>
        <v>100762</v>
      </c>
      <c r="AA91" s="59">
        <f t="shared" ca="1" si="35"/>
        <v>100762</v>
      </c>
      <c r="AB91" s="59">
        <f t="shared" ca="1" si="35"/>
        <v>100762</v>
      </c>
      <c r="AC91" s="59">
        <f t="shared" ca="1" si="35"/>
        <v>100762</v>
      </c>
      <c r="AD91" s="59">
        <f t="shared" ca="1" si="35"/>
        <v>100762</v>
      </c>
      <c r="AE91" s="59">
        <f t="shared" ca="1" si="35"/>
        <v>100762</v>
      </c>
      <c r="AF91" s="59">
        <f t="shared" ca="1" si="35"/>
        <v>100762</v>
      </c>
      <c r="AG91" s="59">
        <f t="shared" ca="1" si="35"/>
        <v>100762</v>
      </c>
      <c r="AH91" s="59">
        <f t="shared" ca="1" si="35"/>
        <v>100762</v>
      </c>
      <c r="AI91" s="59">
        <f t="shared" ca="1" si="35"/>
        <v>100762</v>
      </c>
      <c r="AJ91" s="59">
        <f t="shared" ca="1" si="35"/>
        <v>100762</v>
      </c>
      <c r="AK91" s="59">
        <f t="shared" ca="1" si="35"/>
        <v>100762</v>
      </c>
      <c r="AL91" s="59">
        <f t="shared" ca="1" si="35"/>
        <v>100762</v>
      </c>
      <c r="AM91" s="59">
        <f t="shared" ca="1" si="35"/>
        <v>100762</v>
      </c>
      <c r="AN91" s="59">
        <f t="shared" ca="1" si="35"/>
        <v>100762</v>
      </c>
      <c r="AO91" s="59">
        <f t="shared" ca="1" si="35"/>
        <v>100762</v>
      </c>
      <c r="AP91" s="59">
        <f t="shared" ca="1" si="35"/>
        <v>100762</v>
      </c>
      <c r="AQ91" s="59">
        <f t="shared" ca="1" si="35"/>
        <v>100762</v>
      </c>
      <c r="AR91" s="59">
        <f t="shared" ca="1" si="35"/>
        <v>100762</v>
      </c>
      <c r="AS91" s="59">
        <f t="shared" ca="1" si="35"/>
        <v>100762</v>
      </c>
      <c r="AT91" s="59">
        <f t="shared" ca="1" si="35"/>
        <v>100762</v>
      </c>
      <c r="AU91" s="59">
        <f t="shared" ca="1" si="35"/>
        <v>100762</v>
      </c>
      <c r="AV91" s="59">
        <f t="shared" ca="1" si="35"/>
        <v>100762</v>
      </c>
      <c r="AW91" s="59">
        <f t="shared" ca="1" si="35"/>
        <v>100762</v>
      </c>
      <c r="AX91" s="59">
        <f t="shared" ca="1" si="35"/>
        <v>100762</v>
      </c>
      <c r="AY91" s="59">
        <f t="shared" ca="1" si="35"/>
        <v>100762</v>
      </c>
      <c r="AZ91" s="59">
        <f t="shared" ca="1" si="35"/>
        <v>100762</v>
      </c>
      <c r="BA91" s="59">
        <f t="shared" ca="1" si="35"/>
        <v>100762</v>
      </c>
      <c r="BS91" s="5">
        <f t="shared" si="23"/>
        <v>-1</v>
      </c>
      <c r="BT91" s="5"/>
      <c r="CD91" s="5" t="e">
        <f t="shared" ca="1" si="26"/>
        <v>#REF!</v>
      </c>
      <c r="CE91" s="5" t="e">
        <f t="shared" ca="1" si="27"/>
        <v>#REF!</v>
      </c>
      <c r="CF91" s="5" t="e">
        <f t="shared" ca="1" si="25"/>
        <v>#REF!</v>
      </c>
      <c r="CG91" s="5"/>
    </row>
    <row r="92" spans="1:85" x14ac:dyDescent="0.25">
      <c r="A92" s="57" t="s">
        <v>107</v>
      </c>
      <c r="B92" s="57"/>
      <c r="C92" s="34"/>
      <c r="D92" s="61">
        <v>0.5</v>
      </c>
      <c r="E92" s="65"/>
      <c r="F92" s="59">
        <f t="shared" ref="F92:BA92" ca="1" si="36">F85*$D92</f>
        <v>1831.2000000000003</v>
      </c>
      <c r="G92" s="59">
        <f t="shared" ca="1" si="36"/>
        <v>3641.0460766394635</v>
      </c>
      <c r="H92" s="59">
        <f t="shared" ca="1" si="36"/>
        <v>5193.2135229194228</v>
      </c>
      <c r="I92" s="59">
        <f t="shared" ca="1" si="36"/>
        <v>6781.5838783744757</v>
      </c>
      <c r="J92" s="59">
        <f t="shared" ca="1" si="36"/>
        <v>8189.8682295912668</v>
      </c>
      <c r="K92" s="59">
        <f t="shared" ca="1" si="36"/>
        <v>13141.469764760908</v>
      </c>
      <c r="L92" s="59">
        <f t="shared" ca="1" si="36"/>
        <v>19712.894915143712</v>
      </c>
      <c r="M92" s="59">
        <f t="shared" ca="1" si="36"/>
        <v>20432.940763301285</v>
      </c>
      <c r="N92" s="59">
        <f t="shared" ca="1" si="36"/>
        <v>20759.128038258415</v>
      </c>
      <c r="O92" s="59">
        <f t="shared" ca="1" si="36"/>
        <v>21274.638329492474</v>
      </c>
      <c r="P92" s="59">
        <f t="shared" ca="1" si="36"/>
        <v>21369.42631767075</v>
      </c>
      <c r="Q92" s="59">
        <f t="shared" ca="1" si="36"/>
        <v>21424.601279915598</v>
      </c>
      <c r="R92" s="59">
        <f t="shared" ca="1" si="36"/>
        <v>21457.992376935246</v>
      </c>
      <c r="S92" s="59">
        <f t="shared" ca="1" si="36"/>
        <v>21468.750692719721</v>
      </c>
      <c r="T92" s="59">
        <f t="shared" ca="1" si="36"/>
        <v>21455.966048697097</v>
      </c>
      <c r="U92" s="59">
        <f t="shared" ca="1" si="36"/>
        <v>21418.745219971257</v>
      </c>
      <c r="V92" s="59">
        <f t="shared" ca="1" si="36"/>
        <v>21356.16766200581</v>
      </c>
      <c r="W92" s="59">
        <f t="shared" ca="1" si="36"/>
        <v>21267.23988885765</v>
      </c>
      <c r="X92" s="59">
        <f t="shared" ca="1" si="36"/>
        <v>21150.933727709627</v>
      </c>
      <c r="Y92" s="59">
        <f t="shared" ca="1" si="36"/>
        <v>21006.239145321571</v>
      </c>
      <c r="Z92" s="59">
        <f t="shared" ca="1" si="36"/>
        <v>20832.119802948007</v>
      </c>
      <c r="AA92" s="59">
        <f t="shared" ca="1" si="36"/>
        <v>20627.454368997762</v>
      </c>
      <c r="AB92" s="59">
        <f t="shared" ca="1" si="36"/>
        <v>20391.136458820485</v>
      </c>
      <c r="AC92" s="59">
        <f t="shared" ca="1" si="36"/>
        <v>20122.026379856023</v>
      </c>
      <c r="AD92" s="59">
        <f t="shared" ca="1" si="36"/>
        <v>19818.905272246706</v>
      </c>
      <c r="AE92" s="59">
        <f t="shared" ca="1" si="36"/>
        <v>19480.566439277918</v>
      </c>
      <c r="AF92" s="59">
        <f t="shared" ca="1" si="36"/>
        <v>19105.718147556006</v>
      </c>
      <c r="AG92" s="59">
        <f t="shared" ca="1" si="36"/>
        <v>18693.073800323749</v>
      </c>
      <c r="AH92" s="59">
        <f t="shared" ca="1" si="36"/>
        <v>18241.312404250708</v>
      </c>
      <c r="AI92" s="59">
        <f t="shared" ca="1" si="36"/>
        <v>17749.025006820739</v>
      </c>
      <c r="AJ92" s="59">
        <f t="shared" ca="1" si="36"/>
        <v>17214.808139889705</v>
      </c>
      <c r="AK92" s="59">
        <f t="shared" ca="1" si="36"/>
        <v>16637.267634129807</v>
      </c>
      <c r="AL92" s="59">
        <f t="shared" ca="1" si="36"/>
        <v>16014.867836144878</v>
      </c>
      <c r="AM92" s="59">
        <f t="shared" ca="1" si="36"/>
        <v>15346.077687649262</v>
      </c>
      <c r="AN92" s="59">
        <f t="shared" ca="1" si="36"/>
        <v>14629.324768526441</v>
      </c>
      <c r="AO92" s="59">
        <f t="shared" ca="1" si="36"/>
        <v>13862.987770325806</v>
      </c>
      <c r="AP92" s="59">
        <f t="shared" ca="1" si="36"/>
        <v>13045.117382350294</v>
      </c>
      <c r="AQ92" s="59">
        <f t="shared" ca="1" si="36"/>
        <v>12173.514074895544</v>
      </c>
      <c r="AR92" s="59">
        <f t="shared" ca="1" si="36"/>
        <v>11246.22057004542</v>
      </c>
      <c r="AS92" s="59">
        <f t="shared" ca="1" si="36"/>
        <v>10261.255345825359</v>
      </c>
      <c r="AT92" s="59">
        <f t="shared" ca="1" si="36"/>
        <v>9216.6134951858621</v>
      </c>
      <c r="AU92" s="59">
        <f t="shared" ca="1" si="36"/>
        <v>8110.3144956157957</v>
      </c>
      <c r="AV92" s="59">
        <f t="shared" ca="1" si="36"/>
        <v>6940.129512265903</v>
      </c>
      <c r="AW92" s="59">
        <f t="shared" ca="1" si="36"/>
        <v>5703.2449475172325</v>
      </c>
      <c r="AX92" s="59">
        <f t="shared" ca="1" si="36"/>
        <v>4396.969576821708</v>
      </c>
      <c r="AY92" s="59">
        <f t="shared" ca="1" si="36"/>
        <v>3018.8679702709119</v>
      </c>
      <c r="AZ92" s="59">
        <f t="shared" ca="1" si="36"/>
        <v>1566.0052439851615</v>
      </c>
      <c r="BA92" s="59">
        <f t="shared" ca="1" si="36"/>
        <v>34.16723046154295</v>
      </c>
      <c r="BS92" s="5">
        <f t="shared" si="23"/>
        <v>-1</v>
      </c>
      <c r="BT92" s="5"/>
      <c r="CD92" s="5" t="e">
        <f t="shared" ca="1" si="26"/>
        <v>#REF!</v>
      </c>
      <c r="CE92" s="5" t="e">
        <f t="shared" ca="1" si="27"/>
        <v>#REF!</v>
      </c>
      <c r="CF92" s="5" t="e">
        <f t="shared" ca="1" si="25"/>
        <v>#REF!</v>
      </c>
      <c r="CG92" s="5"/>
    </row>
    <row r="93" spans="1:85" x14ac:dyDescent="0.25">
      <c r="A93" s="57" t="s">
        <v>100</v>
      </c>
      <c r="B93" s="57"/>
      <c r="C93" s="53"/>
      <c r="D93" s="54"/>
      <c r="E93" s="63"/>
      <c r="F93" s="59">
        <f t="shared" ref="F93:BA93" ca="1" si="37">F37</f>
        <v>-14390</v>
      </c>
      <c r="G93" s="59">
        <f t="shared" ca="1" si="37"/>
        <v>-14390</v>
      </c>
      <c r="H93" s="59">
        <f t="shared" ca="1" si="37"/>
        <v>-14390</v>
      </c>
      <c r="I93" s="59">
        <f t="shared" ca="1" si="37"/>
        <v>-15890</v>
      </c>
      <c r="J93" s="59">
        <f t="shared" ca="1" si="37"/>
        <v>-15890</v>
      </c>
      <c r="K93" s="59">
        <f t="shared" ca="1" si="37"/>
        <v>-17600</v>
      </c>
      <c r="L93" s="59">
        <f t="shared" ca="1" si="37"/>
        <v>-17600</v>
      </c>
      <c r="M93" s="59">
        <f t="shared" ca="1" si="37"/>
        <v>-17600</v>
      </c>
      <c r="N93" s="59">
        <f t="shared" ca="1" si="37"/>
        <v>-17600</v>
      </c>
      <c r="O93" s="59">
        <f t="shared" ca="1" si="37"/>
        <v>-17600</v>
      </c>
      <c r="P93" s="59">
        <f t="shared" ca="1" si="37"/>
        <v>-17600</v>
      </c>
      <c r="Q93" s="59">
        <f t="shared" ca="1" si="37"/>
        <v>-17600</v>
      </c>
      <c r="R93" s="59">
        <f t="shared" ca="1" si="37"/>
        <v>-17600</v>
      </c>
      <c r="S93" s="59">
        <f t="shared" ca="1" si="37"/>
        <v>-17600</v>
      </c>
      <c r="T93" s="59">
        <f t="shared" ca="1" si="37"/>
        <v>-17600</v>
      </c>
      <c r="U93" s="59">
        <f t="shared" ca="1" si="37"/>
        <v>-17600</v>
      </c>
      <c r="V93" s="59">
        <f t="shared" ca="1" si="37"/>
        <v>-17600</v>
      </c>
      <c r="W93" s="59">
        <f t="shared" ca="1" si="37"/>
        <v>-17600</v>
      </c>
      <c r="X93" s="59">
        <f t="shared" ca="1" si="37"/>
        <v>-17600</v>
      </c>
      <c r="Y93" s="59">
        <f t="shared" ca="1" si="37"/>
        <v>-17600</v>
      </c>
      <c r="Z93" s="59">
        <f t="shared" ca="1" si="37"/>
        <v>-17600</v>
      </c>
      <c r="AA93" s="59">
        <f t="shared" ca="1" si="37"/>
        <v>-17600</v>
      </c>
      <c r="AB93" s="59">
        <f t="shared" ca="1" si="37"/>
        <v>-17600</v>
      </c>
      <c r="AC93" s="59">
        <f t="shared" ca="1" si="37"/>
        <v>-17600</v>
      </c>
      <c r="AD93" s="59">
        <f t="shared" ca="1" si="37"/>
        <v>-17600</v>
      </c>
      <c r="AE93" s="59">
        <f t="shared" ca="1" si="37"/>
        <v>-17600</v>
      </c>
      <c r="AF93" s="59">
        <f t="shared" ca="1" si="37"/>
        <v>-17600</v>
      </c>
      <c r="AG93" s="59">
        <f t="shared" ca="1" si="37"/>
        <v>-17600</v>
      </c>
      <c r="AH93" s="59">
        <f t="shared" ca="1" si="37"/>
        <v>-17600</v>
      </c>
      <c r="AI93" s="59">
        <f t="shared" ca="1" si="37"/>
        <v>-17600</v>
      </c>
      <c r="AJ93" s="59">
        <f t="shared" ca="1" si="37"/>
        <v>-17600</v>
      </c>
      <c r="AK93" s="59">
        <f t="shared" ca="1" si="37"/>
        <v>-17600</v>
      </c>
      <c r="AL93" s="59">
        <f t="shared" ca="1" si="37"/>
        <v>-17600</v>
      </c>
      <c r="AM93" s="59">
        <f t="shared" ca="1" si="37"/>
        <v>-17600</v>
      </c>
      <c r="AN93" s="59">
        <f t="shared" ca="1" si="37"/>
        <v>-17600</v>
      </c>
      <c r="AO93" s="59">
        <f t="shared" ca="1" si="37"/>
        <v>-17600</v>
      </c>
      <c r="AP93" s="59">
        <f t="shared" ca="1" si="37"/>
        <v>-17600</v>
      </c>
      <c r="AQ93" s="59">
        <f t="shared" ca="1" si="37"/>
        <v>-17600</v>
      </c>
      <c r="AR93" s="59">
        <f t="shared" ca="1" si="37"/>
        <v>-17600</v>
      </c>
      <c r="AS93" s="59">
        <f t="shared" ca="1" si="37"/>
        <v>-17600</v>
      </c>
      <c r="AT93" s="59">
        <f t="shared" ca="1" si="37"/>
        <v>-17600</v>
      </c>
      <c r="AU93" s="59">
        <f t="shared" ca="1" si="37"/>
        <v>-17600</v>
      </c>
      <c r="AV93" s="59">
        <f t="shared" ca="1" si="37"/>
        <v>-17600</v>
      </c>
      <c r="AW93" s="59">
        <f t="shared" ca="1" si="37"/>
        <v>-17600</v>
      </c>
      <c r="AX93" s="59">
        <f t="shared" ca="1" si="37"/>
        <v>-17600</v>
      </c>
      <c r="AY93" s="59">
        <f t="shared" ca="1" si="37"/>
        <v>-17600</v>
      </c>
      <c r="AZ93" s="59">
        <f t="shared" ca="1" si="37"/>
        <v>-17600</v>
      </c>
      <c r="BA93" s="59">
        <f t="shared" ca="1" si="37"/>
        <v>-17600</v>
      </c>
      <c r="BS93" s="5">
        <f t="shared" si="23"/>
        <v>-1</v>
      </c>
      <c r="BT93" s="5"/>
      <c r="CD93" s="5" t="e">
        <f t="shared" ca="1" si="26"/>
        <v>#REF!</v>
      </c>
      <c r="CE93" s="5" t="e">
        <f t="shared" ca="1" si="27"/>
        <v>#REF!</v>
      </c>
      <c r="CF93" s="5" t="e">
        <f t="shared" ca="1" si="25"/>
        <v>#REF!</v>
      </c>
      <c r="CG93" s="5"/>
    </row>
    <row r="94" spans="1:85" hidden="1" x14ac:dyDescent="0.25">
      <c r="A94" s="57"/>
      <c r="B94" s="57"/>
      <c r="C94" s="53"/>
      <c r="D94" s="54"/>
      <c r="E94" s="63"/>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c r="AE94" s="59"/>
      <c r="AF94" s="59"/>
      <c r="AG94" s="59"/>
      <c r="AH94" s="59"/>
      <c r="AI94" s="59"/>
      <c r="AJ94" s="59"/>
      <c r="AK94" s="59"/>
      <c r="AL94" s="59"/>
      <c r="AM94" s="59"/>
      <c r="AN94" s="59"/>
      <c r="AO94" s="59"/>
      <c r="AP94" s="59"/>
      <c r="AQ94" s="59"/>
      <c r="AR94" s="59"/>
      <c r="AS94" s="59"/>
      <c r="AT94" s="59"/>
      <c r="AU94" s="59"/>
      <c r="AV94" s="59"/>
      <c r="AW94" s="59"/>
      <c r="AX94" s="59"/>
      <c r="AY94" s="59"/>
      <c r="AZ94" s="59"/>
      <c r="BA94" s="59"/>
      <c r="BS94" s="5">
        <f t="shared" si="23"/>
        <v>-1</v>
      </c>
      <c r="BT94" s="5"/>
      <c r="CD94" s="5" t="e">
        <f t="shared" ca="1" si="26"/>
        <v>#REF!</v>
      </c>
      <c r="CE94" s="5" t="e">
        <f t="shared" ca="1" si="27"/>
        <v>#REF!</v>
      </c>
      <c r="CF94" s="5" t="e">
        <f t="shared" ca="1" si="25"/>
        <v>#REF!</v>
      </c>
      <c r="CG94" s="5"/>
    </row>
    <row r="95" spans="1:85" hidden="1" x14ac:dyDescent="0.25">
      <c r="A95" s="57"/>
      <c r="B95" s="57"/>
      <c r="C95" s="53"/>
      <c r="D95" s="54"/>
      <c r="E95" s="63"/>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c r="AE95" s="59"/>
      <c r="AF95" s="59"/>
      <c r="AG95" s="59"/>
      <c r="AH95" s="59"/>
      <c r="AI95" s="59"/>
      <c r="AJ95" s="59"/>
      <c r="AK95" s="59"/>
      <c r="AL95" s="59"/>
      <c r="AM95" s="59"/>
      <c r="AN95" s="59"/>
      <c r="AO95" s="59"/>
      <c r="AP95" s="59"/>
      <c r="AQ95" s="59"/>
      <c r="AR95" s="59"/>
      <c r="AS95" s="59"/>
      <c r="AT95" s="59"/>
      <c r="AU95" s="59"/>
      <c r="AV95" s="59"/>
      <c r="AW95" s="59"/>
      <c r="AX95" s="59"/>
      <c r="AY95" s="59"/>
      <c r="AZ95" s="59"/>
      <c r="BA95" s="59"/>
      <c r="BS95" s="5">
        <f t="shared" si="23"/>
        <v>-1</v>
      </c>
      <c r="BT95" s="5"/>
      <c r="CD95" s="5" t="e">
        <f t="shared" ca="1" si="26"/>
        <v>#REF!</v>
      </c>
      <c r="CE95" s="5" t="e">
        <f t="shared" ca="1" si="27"/>
        <v>#REF!</v>
      </c>
      <c r="CF95" s="5" t="e">
        <f t="shared" ca="1" si="25"/>
        <v>#REF!</v>
      </c>
      <c r="CG95" s="5"/>
    </row>
    <row r="96" spans="1:85" hidden="1" x14ac:dyDescent="0.25">
      <c r="A96" s="57"/>
      <c r="B96" s="57" t="s">
        <v>85</v>
      </c>
      <c r="C96" s="53"/>
      <c r="D96" s="54"/>
      <c r="E96" s="63"/>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c r="AE96" s="59"/>
      <c r="AF96" s="59"/>
      <c r="AG96" s="59"/>
      <c r="AH96" s="59"/>
      <c r="AI96" s="59"/>
      <c r="AJ96" s="59"/>
      <c r="AK96" s="59"/>
      <c r="AL96" s="59"/>
      <c r="AM96" s="59"/>
      <c r="AN96" s="59"/>
      <c r="AO96" s="59"/>
      <c r="AP96" s="59"/>
      <c r="AQ96" s="59"/>
      <c r="AR96" s="59"/>
      <c r="AS96" s="59"/>
      <c r="AT96" s="59"/>
      <c r="AU96" s="59"/>
      <c r="AV96" s="59"/>
      <c r="AW96" s="59"/>
      <c r="AX96" s="59"/>
      <c r="AY96" s="59"/>
      <c r="AZ96" s="59"/>
      <c r="BA96" s="59"/>
      <c r="BS96" s="5">
        <f t="shared" si="23"/>
        <v>-1</v>
      </c>
      <c r="BT96" s="5"/>
      <c r="CD96" s="5" t="e">
        <f t="shared" ca="1" si="26"/>
        <v>#REF!</v>
      </c>
      <c r="CE96" s="5" t="e">
        <f t="shared" ca="1" si="27"/>
        <v>#REF!</v>
      </c>
      <c r="CF96" s="5" t="e">
        <f t="shared" ca="1" si="25"/>
        <v>#REF!</v>
      </c>
      <c r="CG96" s="5"/>
    </row>
    <row r="97" spans="1:85" x14ac:dyDescent="0.25">
      <c r="A97" s="57" t="str" cm="1">
        <f t="array" aca="1" ref="A97:A99" ca="1">_xlfn._xlws.FILTER(INDIRECT($B96&amp;"[Titel]"),INDIRECT($B96&amp;"[Abziehb]")=1)</f>
        <v>Unterhaltskosten Leonard</v>
      </c>
      <c r="B97" s="57" cm="1">
        <f t="array" aca="1" ref="B97:B99" ca="1">_xlfn._xlws.FILTER(INDIRECT($B96&amp;"[Id]"),INDIRECT($B96&amp;"[Abziehb]")=1)</f>
        <v>4</v>
      </c>
      <c r="C97" s="53" t="str" cm="1">
        <f t="array" aca="1" ref="C97:C99" ca="1">_xlfn._xlws.FILTER(INDIRECT($B96&amp;"[Zugehörigkeit Bezeichnung]"),INDIRECT($B96&amp;"[Abziehb]")=1)</f>
        <v>Amy</v>
      </c>
      <c r="D97" s="54" cm="1">
        <f t="array" aca="1" ref="D97:D99" ca="1">_xlfn._xlws.FILTER(INDIRECT($B96&amp;"[Rendite / Zins]"),INDIRECT($B96&amp;"[Abziehb]")=1)</f>
        <v>0</v>
      </c>
      <c r="E97" s="54"/>
      <c r="F97" s="59" cm="1">
        <f t="array" aca="1" ref="F97:F99" ca="1">_xlfn._xlws.FILTER(INDIRECT($B96&amp;"[Betrag]"),INDIRECT($B96&amp;"[Abziehb]")=1)</f>
        <v>-12000</v>
      </c>
      <c r="G97" s="59" cm="1">
        <f t="array" aca="1" ref="G97:G99" ca="1">_xlfn.SWITCH(IFERROR(VLOOKUP(G$3&amp;$B$96&amp;_xlfn.ANCHORARRAY($B97),$BT:$CA,5,0),0),
0,_xlfn.ANCHORARRAY(F97)*(1+_xlfn.ANCHORARRAY($D97))+SUMIF($BT:$BT,G$3&amp;$B$96&amp;_xlfn.ANCHORARRAY($B97),$CA:$CA),
1,VLOOKUP(G$3&amp;$B$96&amp;_xlfn.ANCHORARRAY($B97),$BT:$CA,6,0),
2,_xlfn.ANCHORARRAY(F97)*(1+_xlfn.ANCHORARRAY($D97))*VLOOKUP(G$3&amp;$B$96&amp;_xlfn.ANCHORARRAY($B97),$BT:$CA,7,0))</f>
        <v>-12000</v>
      </c>
      <c r="H97" s="59" cm="1">
        <f t="array" aca="1" ref="H97:H99" ca="1">_xlfn.SWITCH(IFERROR(VLOOKUP(H$3&amp;$B$20&amp;_xlfn.ANCHORARRAY($B97),$BT:$CA,5,0),0),
0,_xlfn.ANCHORARRAY(G97)*(1+_xlfn.ANCHORARRAY($D97))+SUMIF($BT:$BT,H$3&amp;$B$20&amp;_xlfn.ANCHORARRAY($B97),$CA:$CA),
1,VLOOKUP(H$3&amp;$B$20&amp;_xlfn.ANCHORARRAY($B97),$BT:$CA,6,0),
2,_xlfn.ANCHORARRAY(G97)*(1+_xlfn.ANCHORARRAY($D97))*VLOOKUP(H$3&amp;$B$20&amp;_xlfn.ANCHORARRAY($B97),$BT:$CA,7,0))</f>
        <v>-12000</v>
      </c>
      <c r="I97" s="59" cm="1">
        <f t="array" aca="1" ref="I97:I99" ca="1">_xlfn.SWITCH(IFERROR(VLOOKUP(I$3&amp;$B$20&amp;_xlfn.ANCHORARRAY($B97),$BT:$CA,5,0),0),
0,_xlfn.ANCHORARRAY(H97)*(1+_xlfn.ANCHORARRAY($D97))+SUMIF($BT:$BT,I$3&amp;$B$20&amp;_xlfn.ANCHORARRAY($B97),$CA:$CA),
1,VLOOKUP(I$3&amp;$B$20&amp;_xlfn.ANCHORARRAY($B97),$BT:$CA,6,0),
2,_xlfn.ANCHORARRAY(H97)*(1+_xlfn.ANCHORARRAY($D97))*VLOOKUP(I$3&amp;$B$20&amp;_xlfn.ANCHORARRAY($B97),$BT:$CA,7,0))</f>
        <v>-12000</v>
      </c>
      <c r="J97" s="59" cm="1">
        <f t="array" aca="1" ref="J97:J99" ca="1">_xlfn.SWITCH(IFERROR(VLOOKUP(J$3&amp;$B$20&amp;_xlfn.ANCHORARRAY($B97),$BT:$CA,5,0),0),
0,_xlfn.ANCHORARRAY(I97)*(1+_xlfn.ANCHORARRAY($D97))+SUMIF($BT:$BT,J$3&amp;$B$20&amp;_xlfn.ANCHORARRAY($B97),$CA:$CA),
1,VLOOKUP(J$3&amp;$B$20&amp;_xlfn.ANCHORARRAY($B97),$BT:$CA,6,0),
2,_xlfn.ANCHORARRAY(I97)*(1+_xlfn.ANCHORARRAY($D97))*VLOOKUP(J$3&amp;$B$20&amp;_xlfn.ANCHORARRAY($B97),$BT:$CA,7,0))</f>
        <v>-12000</v>
      </c>
      <c r="K97" s="59" cm="1">
        <f t="array" aca="1" ref="K97:K99" ca="1">_xlfn.SWITCH(IFERROR(VLOOKUP(K$3&amp;$B$20&amp;_xlfn.ANCHORARRAY($B97),$BT:$CA,5,0),0),
0,_xlfn.ANCHORARRAY(J97)*(1+_xlfn.ANCHORARRAY($D97))+SUMIF($BT:$BT,K$3&amp;$B$20&amp;_xlfn.ANCHORARRAY($B97),$CA:$CA),
1,VLOOKUP(K$3&amp;$B$20&amp;_xlfn.ANCHORARRAY($B97),$BT:$CA,6,0),
2,_xlfn.ANCHORARRAY(J97)*(1+_xlfn.ANCHORARRAY($D97))*VLOOKUP(K$3&amp;$B$20&amp;_xlfn.ANCHORARRAY($B97),$BT:$CA,7,0))</f>
        <v>-8000</v>
      </c>
      <c r="L97" s="59" cm="1">
        <f t="array" aca="1" ref="L97:L99" ca="1">_xlfn.SWITCH(IFERROR(VLOOKUP(L$3&amp;$B$20&amp;_xlfn.ANCHORARRAY($B97),$BT:$CA,5,0),0),
0,_xlfn.ANCHORARRAY(K97)*(1+_xlfn.ANCHORARRAY($D97))+SUMIF($BT:$BT,L$3&amp;$B$20&amp;_xlfn.ANCHORARRAY($B97),$CA:$CA),
1,VLOOKUP(L$3&amp;$B$20&amp;_xlfn.ANCHORARRAY($B97),$BT:$CA,6,0),
2,_xlfn.ANCHORARRAY(K97)*(1+_xlfn.ANCHORARRAY($D97))*VLOOKUP(L$3&amp;$B$20&amp;_xlfn.ANCHORARRAY($B97),$BT:$CA,7,0))</f>
        <v>0</v>
      </c>
      <c r="M97" s="59" cm="1">
        <f t="array" aca="1" ref="M97:M99" ca="1">_xlfn.SWITCH(IFERROR(VLOOKUP(M$3&amp;$B$20&amp;_xlfn.ANCHORARRAY($B97),$BT:$CA,5,0),0),
0,_xlfn.ANCHORARRAY(L97)*(1+_xlfn.ANCHORARRAY($D97))+SUMIF($BT:$BT,M$3&amp;$B$20&amp;_xlfn.ANCHORARRAY($B97),$CA:$CA),
1,VLOOKUP(M$3&amp;$B$20&amp;_xlfn.ANCHORARRAY($B97),$BT:$CA,6,0),
2,_xlfn.ANCHORARRAY(L97)*(1+_xlfn.ANCHORARRAY($D97))*VLOOKUP(M$3&amp;$B$20&amp;_xlfn.ANCHORARRAY($B97),$BT:$CA,7,0))</f>
        <v>0</v>
      </c>
      <c r="N97" s="59" cm="1">
        <f t="array" aca="1" ref="N97:N99" ca="1">_xlfn.SWITCH(IFERROR(VLOOKUP(N$3&amp;$B$20&amp;_xlfn.ANCHORARRAY($B97),$BT:$CA,5,0),0),
0,_xlfn.ANCHORARRAY(M97)*(1+_xlfn.ANCHORARRAY($D97))+SUMIF($BT:$BT,N$3&amp;$B$20&amp;_xlfn.ANCHORARRAY($B97),$CA:$CA),
1,VLOOKUP(N$3&amp;$B$20&amp;_xlfn.ANCHORARRAY($B97),$BT:$CA,6,0),
2,_xlfn.ANCHORARRAY(M97)*(1+_xlfn.ANCHORARRAY($D97))*VLOOKUP(N$3&amp;$B$20&amp;_xlfn.ANCHORARRAY($B97),$BT:$CA,7,0))</f>
        <v>0</v>
      </c>
      <c r="O97" s="59" cm="1">
        <f t="array" aca="1" ref="O97:O99" ca="1">_xlfn.SWITCH(IFERROR(VLOOKUP(O$3&amp;$B$20&amp;_xlfn.ANCHORARRAY($B97),$BT:$CA,5,0),0),
0,_xlfn.ANCHORARRAY(N97)*(1+_xlfn.ANCHORARRAY($D97))+SUMIF($BT:$BT,O$3&amp;$B$20&amp;_xlfn.ANCHORARRAY($B97),$CA:$CA),
1,VLOOKUP(O$3&amp;$B$20&amp;_xlfn.ANCHORARRAY($B97),$BT:$CA,6,0),
2,_xlfn.ANCHORARRAY(N97)*(1+_xlfn.ANCHORARRAY($D97))*VLOOKUP(O$3&amp;$B$20&amp;_xlfn.ANCHORARRAY($B97),$BT:$CA,7,0))</f>
        <v>0</v>
      </c>
      <c r="P97" s="59" cm="1">
        <f t="array" aca="1" ref="P97:P99" ca="1">_xlfn.SWITCH(IFERROR(VLOOKUP(P$3&amp;$B$20&amp;_xlfn.ANCHORARRAY($B97),$BT:$CA,5,0),0),
0,_xlfn.ANCHORARRAY(O97)*(1+_xlfn.ANCHORARRAY($D97))+SUMIF($BT:$BT,P$3&amp;$B$20&amp;_xlfn.ANCHORARRAY($B97),$CA:$CA),
1,VLOOKUP(P$3&amp;$B$20&amp;_xlfn.ANCHORARRAY($B97),$BT:$CA,6,0),
2,_xlfn.ANCHORARRAY(O97)*(1+_xlfn.ANCHORARRAY($D97))*VLOOKUP(P$3&amp;$B$20&amp;_xlfn.ANCHORARRAY($B97),$BT:$CA,7,0))</f>
        <v>0</v>
      </c>
      <c r="Q97" s="59" cm="1">
        <f t="array" aca="1" ref="Q97:Q99" ca="1">_xlfn.SWITCH(IFERROR(VLOOKUP(Q$3&amp;$B$20&amp;_xlfn.ANCHORARRAY($B97),$BT:$CA,5,0),0),
0,_xlfn.ANCHORARRAY(P97)*(1+_xlfn.ANCHORARRAY($D97))+SUMIF($BT:$BT,Q$3&amp;$B$20&amp;_xlfn.ANCHORARRAY($B97),$CA:$CA),
1,VLOOKUP(Q$3&amp;$B$20&amp;_xlfn.ANCHORARRAY($B97),$BT:$CA,6,0),
2,_xlfn.ANCHORARRAY(P97)*(1+_xlfn.ANCHORARRAY($D97))*VLOOKUP(Q$3&amp;$B$20&amp;_xlfn.ANCHORARRAY($B97),$BT:$CA,7,0))</f>
        <v>0</v>
      </c>
      <c r="R97" s="59" cm="1">
        <f t="array" aca="1" ref="R97:R99" ca="1">_xlfn.SWITCH(IFERROR(VLOOKUP(R$3&amp;$B$20&amp;_xlfn.ANCHORARRAY($B97),$BT:$CA,5,0),0),
0,_xlfn.ANCHORARRAY(Q97)*(1+_xlfn.ANCHORARRAY($D97))+SUMIF($BT:$BT,R$3&amp;$B$20&amp;_xlfn.ANCHORARRAY($B97),$CA:$CA),
1,VLOOKUP(R$3&amp;$B$20&amp;_xlfn.ANCHORARRAY($B97),$BT:$CA,6,0),
2,_xlfn.ANCHORARRAY(Q97)*(1+_xlfn.ANCHORARRAY($D97))*VLOOKUP(R$3&amp;$B$20&amp;_xlfn.ANCHORARRAY($B97),$BT:$CA,7,0))</f>
        <v>0</v>
      </c>
      <c r="S97" s="59" cm="1">
        <f t="array" aca="1" ref="S97:S99" ca="1">_xlfn.SWITCH(IFERROR(VLOOKUP(S$3&amp;$B$20&amp;_xlfn.ANCHORARRAY($B97),$BT:$CA,5,0),0),
0,_xlfn.ANCHORARRAY(R97)*(1+_xlfn.ANCHORARRAY($D97))+SUMIF($BT:$BT,S$3&amp;$B$20&amp;_xlfn.ANCHORARRAY($B97),$CA:$CA),
1,VLOOKUP(S$3&amp;$B$20&amp;_xlfn.ANCHORARRAY($B97),$BT:$CA,6,0),
2,_xlfn.ANCHORARRAY(R97)*(1+_xlfn.ANCHORARRAY($D97))*VLOOKUP(S$3&amp;$B$20&amp;_xlfn.ANCHORARRAY($B97),$BT:$CA,7,0))</f>
        <v>0</v>
      </c>
      <c r="T97" s="59" cm="1">
        <f t="array" aca="1" ref="T97:T99" ca="1">_xlfn.SWITCH(IFERROR(VLOOKUP(T$3&amp;$B$20&amp;_xlfn.ANCHORARRAY($B97),$BT:$CA,5,0),0),
0,_xlfn.ANCHORARRAY(S97)*(1+_xlfn.ANCHORARRAY($D97))+SUMIF($BT:$BT,T$3&amp;$B$20&amp;_xlfn.ANCHORARRAY($B97),$CA:$CA),
1,VLOOKUP(T$3&amp;$B$20&amp;_xlfn.ANCHORARRAY($B97),$BT:$CA,6,0),
2,_xlfn.ANCHORARRAY(S97)*(1+_xlfn.ANCHORARRAY($D97))*VLOOKUP(T$3&amp;$B$20&amp;_xlfn.ANCHORARRAY($B97),$BT:$CA,7,0))</f>
        <v>0</v>
      </c>
      <c r="U97" s="59" cm="1">
        <f t="array" aca="1" ref="U97:U99" ca="1">_xlfn.SWITCH(IFERROR(VLOOKUP(U$3&amp;$B$20&amp;_xlfn.ANCHORARRAY($B97),$BT:$CA,5,0),0),
0,_xlfn.ANCHORARRAY(T97)*(1+_xlfn.ANCHORARRAY($D97))+SUMIF($BT:$BT,U$3&amp;$B$20&amp;_xlfn.ANCHORARRAY($B97),$CA:$CA),
1,VLOOKUP(U$3&amp;$B$20&amp;_xlfn.ANCHORARRAY($B97),$BT:$CA,6,0),
2,_xlfn.ANCHORARRAY(T97)*(1+_xlfn.ANCHORARRAY($D97))*VLOOKUP(U$3&amp;$B$20&amp;_xlfn.ANCHORARRAY($B97),$BT:$CA,7,0))</f>
        <v>0</v>
      </c>
      <c r="V97" s="59" cm="1">
        <f t="array" aca="1" ref="V97:V99" ca="1">_xlfn.SWITCH(IFERROR(VLOOKUP(V$3&amp;$B$20&amp;_xlfn.ANCHORARRAY($B97),$BT:$CA,5,0),0),
0,_xlfn.ANCHORARRAY(U97)*(1+_xlfn.ANCHORARRAY($D97))+SUMIF($BT:$BT,V$3&amp;$B$20&amp;_xlfn.ANCHORARRAY($B97),$CA:$CA),
1,VLOOKUP(V$3&amp;$B$20&amp;_xlfn.ANCHORARRAY($B97),$BT:$CA,6,0),
2,_xlfn.ANCHORARRAY(U97)*(1+_xlfn.ANCHORARRAY($D97))*VLOOKUP(V$3&amp;$B$20&amp;_xlfn.ANCHORARRAY($B97),$BT:$CA,7,0))</f>
        <v>0</v>
      </c>
      <c r="W97" s="59" cm="1">
        <f t="array" aca="1" ref="W97:W99" ca="1">_xlfn.SWITCH(IFERROR(VLOOKUP(W$3&amp;$B$20&amp;_xlfn.ANCHORARRAY($B97),$BT:$CA,5,0),0),
0,_xlfn.ANCHORARRAY(V97)*(1+_xlfn.ANCHORARRAY($D97))+SUMIF($BT:$BT,W$3&amp;$B$20&amp;_xlfn.ANCHORARRAY($B97),$CA:$CA),
1,VLOOKUP(W$3&amp;$B$20&amp;_xlfn.ANCHORARRAY($B97),$BT:$CA,6,0),
2,_xlfn.ANCHORARRAY(V97)*(1+_xlfn.ANCHORARRAY($D97))*VLOOKUP(W$3&amp;$B$20&amp;_xlfn.ANCHORARRAY($B97),$BT:$CA,7,0))</f>
        <v>0</v>
      </c>
      <c r="X97" s="59" cm="1">
        <f t="array" aca="1" ref="X97:X99" ca="1">_xlfn.SWITCH(IFERROR(VLOOKUP(X$3&amp;$B$20&amp;_xlfn.ANCHORARRAY($B97),$BT:$CA,5,0),0),
0,_xlfn.ANCHORARRAY(W97)*(1+_xlfn.ANCHORARRAY($D97))+SUMIF($BT:$BT,X$3&amp;$B$20&amp;_xlfn.ANCHORARRAY($B97),$CA:$CA),
1,VLOOKUP(X$3&amp;$B$20&amp;_xlfn.ANCHORARRAY($B97),$BT:$CA,6,0),
2,_xlfn.ANCHORARRAY(W97)*(1+_xlfn.ANCHORARRAY($D97))*VLOOKUP(X$3&amp;$B$20&amp;_xlfn.ANCHORARRAY($B97),$BT:$CA,7,0))</f>
        <v>0</v>
      </c>
      <c r="Y97" s="59" cm="1">
        <f t="array" aca="1" ref="Y97:Y99" ca="1">_xlfn.SWITCH(IFERROR(VLOOKUP(Y$3&amp;$B$20&amp;_xlfn.ANCHORARRAY($B97),$BT:$CA,5,0),0),
0,_xlfn.ANCHORARRAY(X97)*(1+_xlfn.ANCHORARRAY($D97))+SUMIF($BT:$BT,Y$3&amp;$B$20&amp;_xlfn.ANCHORARRAY($B97),$CA:$CA),
1,VLOOKUP(Y$3&amp;$B$20&amp;_xlfn.ANCHORARRAY($B97),$BT:$CA,6,0),
2,_xlfn.ANCHORARRAY(X97)*(1+_xlfn.ANCHORARRAY($D97))*VLOOKUP(Y$3&amp;$B$20&amp;_xlfn.ANCHORARRAY($B97),$BT:$CA,7,0))</f>
        <v>0</v>
      </c>
      <c r="Z97" s="59" cm="1">
        <f t="array" aca="1" ref="Z97:Z99" ca="1">_xlfn.SWITCH(IFERROR(VLOOKUP(Z$3&amp;$B$20&amp;_xlfn.ANCHORARRAY($B97),$BT:$CA,5,0),0),
0,_xlfn.ANCHORARRAY(Y97)*(1+_xlfn.ANCHORARRAY($D97))+SUMIF($BT:$BT,Z$3&amp;$B$20&amp;_xlfn.ANCHORARRAY($B97),$CA:$CA),
1,VLOOKUP(Z$3&amp;$B$20&amp;_xlfn.ANCHORARRAY($B97),$BT:$CA,6,0),
2,_xlfn.ANCHORARRAY(Y97)*(1+_xlfn.ANCHORARRAY($D97))*VLOOKUP(Z$3&amp;$B$20&amp;_xlfn.ANCHORARRAY($B97),$BT:$CA,7,0))</f>
        <v>0</v>
      </c>
      <c r="AA97" s="59" cm="1">
        <f t="array" aca="1" ref="AA97:AA99" ca="1">_xlfn.SWITCH(IFERROR(VLOOKUP(AA$3&amp;$B$20&amp;_xlfn.ANCHORARRAY($B97),$BT:$CA,5,0),0),
0,_xlfn.ANCHORARRAY(Z97)*(1+_xlfn.ANCHORARRAY($D97))+SUMIF($BT:$BT,AA$3&amp;$B$20&amp;_xlfn.ANCHORARRAY($B97),$CA:$CA),
1,VLOOKUP(AA$3&amp;$B$20&amp;_xlfn.ANCHORARRAY($B97),$BT:$CA,6,0),
2,_xlfn.ANCHORARRAY(Z97)*(1+_xlfn.ANCHORARRAY($D97))*VLOOKUP(AA$3&amp;$B$20&amp;_xlfn.ANCHORARRAY($B97),$BT:$CA,7,0))</f>
        <v>0</v>
      </c>
      <c r="AB97" s="59" cm="1">
        <f t="array" aca="1" ref="AB97:AB99" ca="1">_xlfn.SWITCH(IFERROR(VLOOKUP(AB$3&amp;$B$20&amp;_xlfn.ANCHORARRAY($B97),$BT:$CA,5,0),0),
0,_xlfn.ANCHORARRAY(AA97)*(1+_xlfn.ANCHORARRAY($D97))+SUMIF($BT:$BT,AB$3&amp;$B$20&amp;_xlfn.ANCHORARRAY($B97),$CA:$CA),
1,VLOOKUP(AB$3&amp;$B$20&amp;_xlfn.ANCHORARRAY($B97),$BT:$CA,6,0),
2,_xlfn.ANCHORARRAY(AA97)*(1+_xlfn.ANCHORARRAY($D97))*VLOOKUP(AB$3&amp;$B$20&amp;_xlfn.ANCHORARRAY($B97),$BT:$CA,7,0))</f>
        <v>0</v>
      </c>
      <c r="AC97" s="59" cm="1">
        <f t="array" aca="1" ref="AC97:AC99" ca="1">_xlfn.SWITCH(IFERROR(VLOOKUP(AC$3&amp;$B$20&amp;_xlfn.ANCHORARRAY($B97),$BT:$CA,5,0),0),
0,_xlfn.ANCHORARRAY(AB97)*(1+_xlfn.ANCHORARRAY($D97))+SUMIF($BT:$BT,AC$3&amp;$B$20&amp;_xlfn.ANCHORARRAY($B97),$CA:$CA),
1,VLOOKUP(AC$3&amp;$B$20&amp;_xlfn.ANCHORARRAY($B97),$BT:$CA,6,0),
2,_xlfn.ANCHORARRAY(AB97)*(1+_xlfn.ANCHORARRAY($D97))*VLOOKUP(AC$3&amp;$B$20&amp;_xlfn.ANCHORARRAY($B97),$BT:$CA,7,0))</f>
        <v>0</v>
      </c>
      <c r="AD97" s="59" cm="1">
        <f t="array" aca="1" ref="AD97:AD99" ca="1">_xlfn.SWITCH(IFERROR(VLOOKUP(AD$3&amp;$B$20&amp;_xlfn.ANCHORARRAY($B97),$BT:$CA,5,0),0),
0,_xlfn.ANCHORARRAY(AC97)*(1+_xlfn.ANCHORARRAY($D97))+SUMIF($BT:$BT,AD$3&amp;$B$20&amp;_xlfn.ANCHORARRAY($B97),$CA:$CA),
1,VLOOKUP(AD$3&amp;$B$20&amp;_xlfn.ANCHORARRAY($B97),$BT:$CA,6,0),
2,_xlfn.ANCHORARRAY(AC97)*(1+_xlfn.ANCHORARRAY($D97))*VLOOKUP(AD$3&amp;$B$20&amp;_xlfn.ANCHORARRAY($B97),$BT:$CA,7,0))</f>
        <v>0</v>
      </c>
      <c r="AE97" s="59" cm="1">
        <f t="array" aca="1" ref="AE97:AE99" ca="1">_xlfn.SWITCH(IFERROR(VLOOKUP(AE$3&amp;$B$20&amp;_xlfn.ANCHORARRAY($B97),$BT:$CA,5,0),0),
0,_xlfn.ANCHORARRAY(AD97)*(1+_xlfn.ANCHORARRAY($D97))+SUMIF($BT:$BT,AE$3&amp;$B$20&amp;_xlfn.ANCHORARRAY($B97),$CA:$CA),
1,VLOOKUP(AE$3&amp;$B$20&amp;_xlfn.ANCHORARRAY($B97),$BT:$CA,6,0),
2,_xlfn.ANCHORARRAY(AD97)*(1+_xlfn.ANCHORARRAY($D97))*VLOOKUP(AE$3&amp;$B$20&amp;_xlfn.ANCHORARRAY($B97),$BT:$CA,7,0))</f>
        <v>0</v>
      </c>
      <c r="AF97" s="59" cm="1">
        <f t="array" aca="1" ref="AF97:AF99" ca="1">_xlfn.SWITCH(IFERROR(VLOOKUP(AF$3&amp;$B$20&amp;_xlfn.ANCHORARRAY($B97),$BT:$CA,5,0),0),
0,_xlfn.ANCHORARRAY(AE97)*(1+_xlfn.ANCHORARRAY($D97))+SUMIF($BT:$BT,AF$3&amp;$B$20&amp;_xlfn.ANCHORARRAY($B97),$CA:$CA),
1,VLOOKUP(AF$3&amp;$B$20&amp;_xlfn.ANCHORARRAY($B97),$BT:$CA,6,0),
2,_xlfn.ANCHORARRAY(AE97)*(1+_xlfn.ANCHORARRAY($D97))*VLOOKUP(AF$3&amp;$B$20&amp;_xlfn.ANCHORARRAY($B97),$BT:$CA,7,0))</f>
        <v>0</v>
      </c>
      <c r="AG97" s="59" cm="1">
        <f t="array" aca="1" ref="AG97:AG99" ca="1">_xlfn.SWITCH(IFERROR(VLOOKUP(AG$3&amp;$B$20&amp;_xlfn.ANCHORARRAY($B97),$BT:$CA,5,0),0),
0,_xlfn.ANCHORARRAY(AF97)*(1+_xlfn.ANCHORARRAY($D97))+SUMIF($BT:$BT,AG$3&amp;$B$20&amp;_xlfn.ANCHORARRAY($B97),$CA:$CA),
1,VLOOKUP(AG$3&amp;$B$20&amp;_xlfn.ANCHORARRAY($B97),$BT:$CA,6,0),
2,_xlfn.ANCHORARRAY(AF97)*(1+_xlfn.ANCHORARRAY($D97))*VLOOKUP(AG$3&amp;$B$20&amp;_xlfn.ANCHORARRAY($B97),$BT:$CA,7,0))</f>
        <v>0</v>
      </c>
      <c r="AH97" s="59" cm="1">
        <f t="array" aca="1" ref="AH97:AH99" ca="1">_xlfn.SWITCH(IFERROR(VLOOKUP(AH$3&amp;$B$20&amp;_xlfn.ANCHORARRAY($B97),$BT:$CA,5,0),0),
0,_xlfn.ANCHORARRAY(AG97)*(1+_xlfn.ANCHORARRAY($D97))+SUMIF($BT:$BT,AH$3&amp;$B$20&amp;_xlfn.ANCHORARRAY($B97),$CA:$CA),
1,VLOOKUP(AH$3&amp;$B$20&amp;_xlfn.ANCHORARRAY($B97),$BT:$CA,6,0),
2,_xlfn.ANCHORARRAY(AG97)*(1+_xlfn.ANCHORARRAY($D97))*VLOOKUP(AH$3&amp;$B$20&amp;_xlfn.ANCHORARRAY($B97),$BT:$CA,7,0))</f>
        <v>0</v>
      </c>
      <c r="AI97" s="59" cm="1">
        <f t="array" aca="1" ref="AI97:AI99" ca="1">_xlfn.SWITCH(IFERROR(VLOOKUP(AI$3&amp;$B$20&amp;_xlfn.ANCHORARRAY($B97),$BT:$CA,5,0),0),
0,_xlfn.ANCHORARRAY(AH97)*(1+_xlfn.ANCHORARRAY($D97))+SUMIF($BT:$BT,AI$3&amp;$B$20&amp;_xlfn.ANCHORARRAY($B97),$CA:$CA),
1,VLOOKUP(AI$3&amp;$B$20&amp;_xlfn.ANCHORARRAY($B97),$BT:$CA,6,0),
2,_xlfn.ANCHORARRAY(AH97)*(1+_xlfn.ANCHORARRAY($D97))*VLOOKUP(AI$3&amp;$B$20&amp;_xlfn.ANCHORARRAY($B97),$BT:$CA,7,0))</f>
        <v>0</v>
      </c>
      <c r="AJ97" s="59" cm="1">
        <f t="array" aca="1" ref="AJ97:AJ99" ca="1">_xlfn.SWITCH(IFERROR(VLOOKUP(AJ$3&amp;$B$20&amp;_xlfn.ANCHORARRAY($B97),$BT:$CA,5,0),0),
0,_xlfn.ANCHORARRAY(AI97)*(1+_xlfn.ANCHORARRAY($D97))+SUMIF($BT:$BT,AJ$3&amp;$B$20&amp;_xlfn.ANCHORARRAY($B97),$CA:$CA),
1,VLOOKUP(AJ$3&amp;$B$20&amp;_xlfn.ANCHORARRAY($B97),$BT:$CA,6,0),
2,_xlfn.ANCHORARRAY(AI97)*(1+_xlfn.ANCHORARRAY($D97))*VLOOKUP(AJ$3&amp;$B$20&amp;_xlfn.ANCHORARRAY($B97),$BT:$CA,7,0))</f>
        <v>0</v>
      </c>
      <c r="AK97" s="59" cm="1">
        <f t="array" aca="1" ref="AK97:AK99" ca="1">_xlfn.SWITCH(IFERROR(VLOOKUP(AK$3&amp;$B$20&amp;_xlfn.ANCHORARRAY($B97),$BT:$CA,5,0),0),
0,_xlfn.ANCHORARRAY(AJ97)*(1+_xlfn.ANCHORARRAY($D97))+SUMIF($BT:$BT,AK$3&amp;$B$20&amp;_xlfn.ANCHORARRAY($B97),$CA:$CA),
1,VLOOKUP(AK$3&amp;$B$20&amp;_xlfn.ANCHORARRAY($B97),$BT:$CA,6,0),
2,_xlfn.ANCHORARRAY(AJ97)*(1+_xlfn.ANCHORARRAY($D97))*VLOOKUP(AK$3&amp;$B$20&amp;_xlfn.ANCHORARRAY($B97),$BT:$CA,7,0))</f>
        <v>0</v>
      </c>
      <c r="AL97" s="59" cm="1">
        <f t="array" aca="1" ref="AL97:AL99" ca="1">_xlfn.SWITCH(IFERROR(VLOOKUP(AL$3&amp;$B$20&amp;_xlfn.ANCHORARRAY($B97),$BT:$CA,5,0),0),
0,_xlfn.ANCHORARRAY(AK97)*(1+_xlfn.ANCHORARRAY($D97))+SUMIF($BT:$BT,AL$3&amp;$B$20&amp;_xlfn.ANCHORARRAY($B97),$CA:$CA),
1,VLOOKUP(AL$3&amp;$B$20&amp;_xlfn.ANCHORARRAY($B97),$BT:$CA,6,0),
2,_xlfn.ANCHORARRAY(AK97)*(1+_xlfn.ANCHORARRAY($D97))*VLOOKUP(AL$3&amp;$B$20&amp;_xlfn.ANCHORARRAY($B97),$BT:$CA,7,0))</f>
        <v>0</v>
      </c>
      <c r="AM97" s="59" cm="1">
        <f t="array" aca="1" ref="AM97:AM99" ca="1">_xlfn.SWITCH(IFERROR(VLOOKUP(AM$3&amp;$B$20&amp;_xlfn.ANCHORARRAY($B97),$BT:$CA,5,0),0),
0,_xlfn.ANCHORARRAY(AL97)*(1+_xlfn.ANCHORARRAY($D97))+SUMIF($BT:$BT,AM$3&amp;$B$20&amp;_xlfn.ANCHORARRAY($B97),$CA:$CA),
1,VLOOKUP(AM$3&amp;$B$20&amp;_xlfn.ANCHORARRAY($B97),$BT:$CA,6,0),
2,_xlfn.ANCHORARRAY(AL97)*(1+_xlfn.ANCHORARRAY($D97))*VLOOKUP(AM$3&amp;$B$20&amp;_xlfn.ANCHORARRAY($B97),$BT:$CA,7,0))</f>
        <v>0</v>
      </c>
      <c r="AN97" s="59" cm="1">
        <f t="array" aca="1" ref="AN97:AN99" ca="1">_xlfn.SWITCH(IFERROR(VLOOKUP(AN$3&amp;$B$20&amp;_xlfn.ANCHORARRAY($B97),$BT:$CA,5,0),0),
0,_xlfn.ANCHORARRAY(AM97)*(1+_xlfn.ANCHORARRAY($D97))+SUMIF($BT:$BT,AN$3&amp;$B$20&amp;_xlfn.ANCHORARRAY($B97),$CA:$CA),
1,VLOOKUP(AN$3&amp;$B$20&amp;_xlfn.ANCHORARRAY($B97),$BT:$CA,6,0),
2,_xlfn.ANCHORARRAY(AM97)*(1+_xlfn.ANCHORARRAY($D97))*VLOOKUP(AN$3&amp;$B$20&amp;_xlfn.ANCHORARRAY($B97),$BT:$CA,7,0))</f>
        <v>0</v>
      </c>
      <c r="AO97" s="59" cm="1">
        <f t="array" aca="1" ref="AO97:AO99" ca="1">_xlfn.SWITCH(IFERROR(VLOOKUP(AO$3&amp;$B$20&amp;_xlfn.ANCHORARRAY($B97),$BT:$CA,5,0),0),
0,_xlfn.ANCHORARRAY(AN97)*(1+_xlfn.ANCHORARRAY($D97))+SUMIF($BT:$BT,AO$3&amp;$B$20&amp;_xlfn.ANCHORARRAY($B97),$CA:$CA),
1,VLOOKUP(AO$3&amp;$B$20&amp;_xlfn.ANCHORARRAY($B97),$BT:$CA,6,0),
2,_xlfn.ANCHORARRAY(AN97)*(1+_xlfn.ANCHORARRAY($D97))*VLOOKUP(AO$3&amp;$B$20&amp;_xlfn.ANCHORARRAY($B97),$BT:$CA,7,0))</f>
        <v>0</v>
      </c>
      <c r="AP97" s="59" cm="1">
        <f t="array" aca="1" ref="AP97:AP99" ca="1">_xlfn.SWITCH(IFERROR(VLOOKUP(AP$3&amp;$B$20&amp;_xlfn.ANCHORARRAY($B97),$BT:$CA,5,0),0),
0,_xlfn.ANCHORARRAY(AO97)*(1+_xlfn.ANCHORARRAY($D97))+SUMIF($BT:$BT,AP$3&amp;$B$20&amp;_xlfn.ANCHORARRAY($B97),$CA:$CA),
1,VLOOKUP(AP$3&amp;$B$20&amp;_xlfn.ANCHORARRAY($B97),$BT:$CA,6,0),
2,_xlfn.ANCHORARRAY(AO97)*(1+_xlfn.ANCHORARRAY($D97))*VLOOKUP(AP$3&amp;$B$20&amp;_xlfn.ANCHORARRAY($B97),$BT:$CA,7,0))</f>
        <v>0</v>
      </c>
      <c r="AQ97" s="59" cm="1">
        <f t="array" aca="1" ref="AQ97:AQ99" ca="1">_xlfn.SWITCH(IFERROR(VLOOKUP(AQ$3&amp;$B$20&amp;_xlfn.ANCHORARRAY($B97),$BT:$CA,5,0),0),
0,_xlfn.ANCHORARRAY(AP97)*(1+_xlfn.ANCHORARRAY($D97))+SUMIF($BT:$BT,AQ$3&amp;$B$20&amp;_xlfn.ANCHORARRAY($B97),$CA:$CA),
1,VLOOKUP(AQ$3&amp;$B$20&amp;_xlfn.ANCHORARRAY($B97),$BT:$CA,6,0),
2,_xlfn.ANCHORARRAY(AP97)*(1+_xlfn.ANCHORARRAY($D97))*VLOOKUP(AQ$3&amp;$B$20&amp;_xlfn.ANCHORARRAY($B97),$BT:$CA,7,0))</f>
        <v>0</v>
      </c>
      <c r="AR97" s="59" cm="1">
        <f t="array" aca="1" ref="AR97:AR99" ca="1">_xlfn.SWITCH(IFERROR(VLOOKUP(AR$3&amp;$B$20&amp;_xlfn.ANCHORARRAY($B97),$BT:$CA,5,0),0),
0,_xlfn.ANCHORARRAY(AQ97)*(1+_xlfn.ANCHORARRAY($D97))+SUMIF($BT:$BT,AR$3&amp;$B$20&amp;_xlfn.ANCHORARRAY($B97),$CA:$CA),
1,VLOOKUP(AR$3&amp;$B$20&amp;_xlfn.ANCHORARRAY($B97),$BT:$CA,6,0),
2,_xlfn.ANCHORARRAY(AQ97)*(1+_xlfn.ANCHORARRAY($D97))*VLOOKUP(AR$3&amp;$B$20&amp;_xlfn.ANCHORARRAY($B97),$BT:$CA,7,0))</f>
        <v>0</v>
      </c>
      <c r="AS97" s="59" cm="1">
        <f t="array" aca="1" ref="AS97:AS99" ca="1">_xlfn.SWITCH(IFERROR(VLOOKUP(AS$3&amp;$B$20&amp;_xlfn.ANCHORARRAY($B97),$BT:$CA,5,0),0),
0,_xlfn.ANCHORARRAY(AR97)*(1+_xlfn.ANCHORARRAY($D97))+SUMIF($BT:$BT,AS$3&amp;$B$20&amp;_xlfn.ANCHORARRAY($B97),$CA:$CA),
1,VLOOKUP(AS$3&amp;$B$20&amp;_xlfn.ANCHORARRAY($B97),$BT:$CA,6,0),
2,_xlfn.ANCHORARRAY(AR97)*(1+_xlfn.ANCHORARRAY($D97))*VLOOKUP(AS$3&amp;$B$20&amp;_xlfn.ANCHORARRAY($B97),$BT:$CA,7,0))</f>
        <v>0</v>
      </c>
      <c r="AT97" s="59" cm="1">
        <f t="array" aca="1" ref="AT97:AT99" ca="1">_xlfn.SWITCH(IFERROR(VLOOKUP(AT$3&amp;$B$20&amp;_xlfn.ANCHORARRAY($B97),$BT:$CA,5,0),0),
0,_xlfn.ANCHORARRAY(AS97)*(1+_xlfn.ANCHORARRAY($D97))+SUMIF($BT:$BT,AT$3&amp;$B$20&amp;_xlfn.ANCHORARRAY($B97),$CA:$CA),
1,VLOOKUP(AT$3&amp;$B$20&amp;_xlfn.ANCHORARRAY($B97),$BT:$CA,6,0),
2,_xlfn.ANCHORARRAY(AS97)*(1+_xlfn.ANCHORARRAY($D97))*VLOOKUP(AT$3&amp;$B$20&amp;_xlfn.ANCHORARRAY($B97),$BT:$CA,7,0))</f>
        <v>0</v>
      </c>
      <c r="AU97" s="59" cm="1">
        <f t="array" aca="1" ref="AU97:AU99" ca="1">_xlfn.SWITCH(IFERROR(VLOOKUP(AU$3&amp;$B$20&amp;_xlfn.ANCHORARRAY($B97),$BT:$CA,5,0),0),
0,_xlfn.ANCHORARRAY(AT97)*(1+_xlfn.ANCHORARRAY($D97))+SUMIF($BT:$BT,AU$3&amp;$B$20&amp;_xlfn.ANCHORARRAY($B97),$CA:$CA),
1,VLOOKUP(AU$3&amp;$B$20&amp;_xlfn.ANCHORARRAY($B97),$BT:$CA,6,0),
2,_xlfn.ANCHORARRAY(AT97)*(1+_xlfn.ANCHORARRAY($D97))*VLOOKUP(AU$3&amp;$B$20&amp;_xlfn.ANCHORARRAY($B97),$BT:$CA,7,0))</f>
        <v>0</v>
      </c>
      <c r="AV97" s="59" cm="1">
        <f t="array" aca="1" ref="AV97:AV99" ca="1">_xlfn.SWITCH(IFERROR(VLOOKUP(AV$3&amp;$B$20&amp;_xlfn.ANCHORARRAY($B97),$BT:$CA,5,0),0),
0,_xlfn.ANCHORARRAY(AU97)*(1+_xlfn.ANCHORARRAY($D97))+SUMIF($BT:$BT,AV$3&amp;$B$20&amp;_xlfn.ANCHORARRAY($B97),$CA:$CA),
1,VLOOKUP(AV$3&amp;$B$20&amp;_xlfn.ANCHORARRAY($B97),$BT:$CA,6,0),
2,_xlfn.ANCHORARRAY(AU97)*(1+_xlfn.ANCHORARRAY($D97))*VLOOKUP(AV$3&amp;$B$20&amp;_xlfn.ANCHORARRAY($B97),$BT:$CA,7,0))</f>
        <v>0</v>
      </c>
      <c r="AW97" s="59" cm="1">
        <f t="array" aca="1" ref="AW97:AW99" ca="1">_xlfn.SWITCH(IFERROR(VLOOKUP(AW$3&amp;$B$20&amp;_xlfn.ANCHORARRAY($B97),$BT:$CA,5,0),0),
0,_xlfn.ANCHORARRAY(AV97)*(1+_xlfn.ANCHORARRAY($D97))+SUMIF($BT:$BT,AW$3&amp;$B$20&amp;_xlfn.ANCHORARRAY($B97),$CA:$CA),
1,VLOOKUP(AW$3&amp;$B$20&amp;_xlfn.ANCHORARRAY($B97),$BT:$CA,6,0),
2,_xlfn.ANCHORARRAY(AV97)*(1+_xlfn.ANCHORARRAY($D97))*VLOOKUP(AW$3&amp;$B$20&amp;_xlfn.ANCHORARRAY($B97),$BT:$CA,7,0))</f>
        <v>0</v>
      </c>
      <c r="AX97" s="59" cm="1">
        <f t="array" aca="1" ref="AX97:AX99" ca="1">_xlfn.SWITCH(IFERROR(VLOOKUP(AX$3&amp;$B$20&amp;_xlfn.ANCHORARRAY($B97),$BT:$CA,5,0),0),
0,_xlfn.ANCHORARRAY(AW97)*(1+_xlfn.ANCHORARRAY($D97))+SUMIF($BT:$BT,AX$3&amp;$B$20&amp;_xlfn.ANCHORARRAY($B97),$CA:$CA),
1,VLOOKUP(AX$3&amp;$B$20&amp;_xlfn.ANCHORARRAY($B97),$BT:$CA,6,0),
2,_xlfn.ANCHORARRAY(AW97)*(1+_xlfn.ANCHORARRAY($D97))*VLOOKUP(AX$3&amp;$B$20&amp;_xlfn.ANCHORARRAY($B97),$BT:$CA,7,0))</f>
        <v>0</v>
      </c>
      <c r="AY97" s="59" cm="1">
        <f t="array" aca="1" ref="AY97:AY99" ca="1">_xlfn.SWITCH(IFERROR(VLOOKUP(AY$3&amp;$B$20&amp;_xlfn.ANCHORARRAY($B97),$BT:$CA,5,0),0),
0,_xlfn.ANCHORARRAY(AX97)*(1+_xlfn.ANCHORARRAY($D97))+SUMIF($BT:$BT,AY$3&amp;$B$20&amp;_xlfn.ANCHORARRAY($B97),$CA:$CA),
1,VLOOKUP(AY$3&amp;$B$20&amp;_xlfn.ANCHORARRAY($B97),$BT:$CA,6,0),
2,_xlfn.ANCHORARRAY(AX97)*(1+_xlfn.ANCHORARRAY($D97))*VLOOKUP(AY$3&amp;$B$20&amp;_xlfn.ANCHORARRAY($B97),$BT:$CA,7,0))</f>
        <v>0</v>
      </c>
      <c r="AZ97" s="59" cm="1">
        <f t="array" aca="1" ref="AZ97:AZ99" ca="1">_xlfn.SWITCH(IFERROR(VLOOKUP(AZ$3&amp;$B$20&amp;_xlfn.ANCHORARRAY($B97),$BT:$CA,5,0),0),
0,_xlfn.ANCHORARRAY(AY97)*(1+_xlfn.ANCHORARRAY($D97))+SUMIF($BT:$BT,AZ$3&amp;$B$20&amp;_xlfn.ANCHORARRAY($B97),$CA:$CA),
1,VLOOKUP(AZ$3&amp;$B$20&amp;_xlfn.ANCHORARRAY($B97),$BT:$CA,6,0),
2,_xlfn.ANCHORARRAY(AY97)*(1+_xlfn.ANCHORARRAY($D97))*VLOOKUP(AZ$3&amp;$B$20&amp;_xlfn.ANCHORARRAY($B97),$BT:$CA,7,0))</f>
        <v>0</v>
      </c>
      <c r="BA97" s="59" cm="1">
        <f t="array" aca="1" ref="BA97:BA99" ca="1">_xlfn.SWITCH(IFERROR(VLOOKUP(BA$3&amp;$B$20&amp;_xlfn.ANCHORARRAY($B97),$BT:$CA,5,0),0),
0,_xlfn.ANCHORARRAY(AZ97)*(1+_xlfn.ANCHORARRAY($D97))+SUMIF($BT:$BT,BA$3&amp;$B$20&amp;_xlfn.ANCHORARRAY($B97),$CA:$CA),
1,VLOOKUP(BA$3&amp;$B$20&amp;_xlfn.ANCHORARRAY($B97),$BT:$CA,6,0),
2,_xlfn.ANCHORARRAY(AZ97)*(1+_xlfn.ANCHORARRAY($D97))*VLOOKUP(BA$3&amp;$B$20&amp;_xlfn.ANCHORARRAY($B97),$BT:$CA,7,0))</f>
        <v>0</v>
      </c>
      <c r="BS97" s="5">
        <f t="shared" si="23"/>
        <v>-1</v>
      </c>
      <c r="BT97" s="5"/>
      <c r="CD97" s="5" t="e">
        <f t="shared" ca="1" si="26"/>
        <v>#REF!</v>
      </c>
      <c r="CE97" s="5" t="e">
        <f t="shared" ca="1" si="27"/>
        <v>#REF!</v>
      </c>
      <c r="CF97" s="5" t="e">
        <f t="shared" ca="1" si="25"/>
        <v>#REF!</v>
      </c>
      <c r="CG97" s="5"/>
    </row>
    <row r="98" spans="1:85" x14ac:dyDescent="0.25">
      <c r="A98" s="57" t="str">
        <f ca="1"/>
        <v>Säule 3a Beitrag</v>
      </c>
      <c r="B98" s="57">
        <f ca="1"/>
        <v>6</v>
      </c>
      <c r="C98" s="53" t="str">
        <f ca="1"/>
        <v>Amy</v>
      </c>
      <c r="D98" s="54">
        <f ca="1"/>
        <v>0</v>
      </c>
      <c r="E98" s="54"/>
      <c r="F98" s="59">
        <f ca="1"/>
        <v>-7056</v>
      </c>
      <c r="G98" s="59">
        <f ca="1"/>
        <v>-7056</v>
      </c>
      <c r="H98" s="59">
        <f ca="1"/>
        <v>-7056</v>
      </c>
      <c r="I98" s="59">
        <f ca="1"/>
        <v>-7056</v>
      </c>
      <c r="J98" s="59">
        <f ca="1"/>
        <v>-7056</v>
      </c>
      <c r="K98" s="59">
        <f ca="1"/>
        <v>-7056</v>
      </c>
      <c r="L98" s="59">
        <f ca="1"/>
        <v>-5600</v>
      </c>
      <c r="M98" s="59">
        <f ca="1"/>
        <v>-2800</v>
      </c>
      <c r="N98" s="59">
        <f ca="1"/>
        <v>0</v>
      </c>
      <c r="O98" s="59">
        <f ca="1"/>
        <v>0</v>
      </c>
      <c r="P98" s="59">
        <f ca="1"/>
        <v>0</v>
      </c>
      <c r="Q98" s="59">
        <f ca="1"/>
        <v>0</v>
      </c>
      <c r="R98" s="59">
        <f ca="1"/>
        <v>0</v>
      </c>
      <c r="S98" s="59">
        <f ca="1"/>
        <v>0</v>
      </c>
      <c r="T98" s="59">
        <f ca="1"/>
        <v>0</v>
      </c>
      <c r="U98" s="59">
        <f ca="1"/>
        <v>0</v>
      </c>
      <c r="V98" s="59">
        <f ca="1"/>
        <v>0</v>
      </c>
      <c r="W98" s="59">
        <f ca="1"/>
        <v>0</v>
      </c>
      <c r="X98" s="59">
        <f ca="1"/>
        <v>0</v>
      </c>
      <c r="Y98" s="59">
        <f ca="1"/>
        <v>0</v>
      </c>
      <c r="Z98" s="59">
        <f ca="1"/>
        <v>0</v>
      </c>
      <c r="AA98" s="59">
        <f ca="1"/>
        <v>0</v>
      </c>
      <c r="AB98" s="59">
        <f ca="1"/>
        <v>0</v>
      </c>
      <c r="AC98" s="59">
        <f ca="1"/>
        <v>0</v>
      </c>
      <c r="AD98" s="59">
        <f ca="1"/>
        <v>0</v>
      </c>
      <c r="AE98" s="59">
        <f ca="1"/>
        <v>0</v>
      </c>
      <c r="AF98" s="59">
        <f ca="1"/>
        <v>0</v>
      </c>
      <c r="AG98" s="59">
        <f ca="1"/>
        <v>0</v>
      </c>
      <c r="AH98" s="59">
        <f ca="1"/>
        <v>0</v>
      </c>
      <c r="AI98" s="59">
        <f ca="1"/>
        <v>0</v>
      </c>
      <c r="AJ98" s="59">
        <f ca="1"/>
        <v>0</v>
      </c>
      <c r="AK98" s="59">
        <f ca="1"/>
        <v>0</v>
      </c>
      <c r="AL98" s="59">
        <f ca="1"/>
        <v>0</v>
      </c>
      <c r="AM98" s="59">
        <f ca="1"/>
        <v>0</v>
      </c>
      <c r="AN98" s="59">
        <f ca="1"/>
        <v>0</v>
      </c>
      <c r="AO98" s="59">
        <f ca="1"/>
        <v>0</v>
      </c>
      <c r="AP98" s="59">
        <f ca="1"/>
        <v>0</v>
      </c>
      <c r="AQ98" s="59">
        <f ca="1"/>
        <v>0</v>
      </c>
      <c r="AR98" s="59">
        <f ca="1"/>
        <v>0</v>
      </c>
      <c r="AS98" s="59">
        <f ca="1"/>
        <v>0</v>
      </c>
      <c r="AT98" s="59">
        <f ca="1"/>
        <v>0</v>
      </c>
      <c r="AU98" s="59">
        <f ca="1"/>
        <v>0</v>
      </c>
      <c r="AV98" s="59">
        <f ca="1"/>
        <v>0</v>
      </c>
      <c r="AW98" s="59">
        <f ca="1"/>
        <v>0</v>
      </c>
      <c r="AX98" s="59">
        <f ca="1"/>
        <v>0</v>
      </c>
      <c r="AY98" s="59">
        <f ca="1"/>
        <v>0</v>
      </c>
      <c r="AZ98" s="59">
        <f ca="1"/>
        <v>0</v>
      </c>
      <c r="BA98" s="59">
        <f ca="1"/>
        <v>0</v>
      </c>
      <c r="BS98" s="5">
        <f t="shared" si="23"/>
        <v>-1</v>
      </c>
      <c r="BT98" s="5"/>
      <c r="CD98" s="5" t="e">
        <f t="shared" ca="1" si="26"/>
        <v>#REF!</v>
      </c>
      <c r="CE98" s="5" t="e">
        <f t="shared" ca="1" si="27"/>
        <v>#REF!</v>
      </c>
      <c r="CF98" s="5" t="e">
        <f t="shared" ca="1" si="25"/>
        <v>#REF!</v>
      </c>
      <c r="CG98" s="5"/>
    </row>
    <row r="99" spans="1:85" x14ac:dyDescent="0.25">
      <c r="A99" s="57" t="str">
        <f ca="1"/>
        <v>Säule 3a Beitrag</v>
      </c>
      <c r="B99" s="57">
        <f ca="1"/>
        <v>5</v>
      </c>
      <c r="C99" s="53" t="str">
        <f ca="1"/>
        <v>Sheldon</v>
      </c>
      <c r="D99" s="54">
        <f ca="1"/>
        <v>0</v>
      </c>
      <c r="E99" s="54"/>
      <c r="F99" s="59">
        <f ca="1"/>
        <v>-7056</v>
      </c>
      <c r="G99" s="59">
        <f ca="1"/>
        <v>-7056</v>
      </c>
      <c r="H99" s="59">
        <f ca="1"/>
        <v>-7056</v>
      </c>
      <c r="I99" s="59">
        <f ca="1"/>
        <v>-7056</v>
      </c>
      <c r="J99" s="59">
        <f ca="1"/>
        <v>-7056</v>
      </c>
      <c r="K99" s="59">
        <f ca="1"/>
        <v>-7056</v>
      </c>
      <c r="L99" s="59">
        <f ca="1"/>
        <v>-7056</v>
      </c>
      <c r="M99" s="59">
        <f ca="1"/>
        <v>0</v>
      </c>
      <c r="N99" s="59">
        <f ca="1"/>
        <v>0</v>
      </c>
      <c r="O99" s="59">
        <f ca="1"/>
        <v>0</v>
      </c>
      <c r="P99" s="59">
        <f ca="1"/>
        <v>0</v>
      </c>
      <c r="Q99" s="59">
        <f ca="1"/>
        <v>0</v>
      </c>
      <c r="R99" s="59">
        <f ca="1"/>
        <v>0</v>
      </c>
      <c r="S99" s="59">
        <f ca="1"/>
        <v>0</v>
      </c>
      <c r="T99" s="59">
        <f ca="1"/>
        <v>0</v>
      </c>
      <c r="U99" s="59">
        <f ca="1"/>
        <v>0</v>
      </c>
      <c r="V99" s="59">
        <f ca="1"/>
        <v>0</v>
      </c>
      <c r="W99" s="59">
        <f ca="1"/>
        <v>0</v>
      </c>
      <c r="X99" s="59">
        <f ca="1"/>
        <v>0</v>
      </c>
      <c r="Y99" s="59">
        <f ca="1"/>
        <v>0</v>
      </c>
      <c r="Z99" s="59">
        <f ca="1"/>
        <v>0</v>
      </c>
      <c r="AA99" s="59">
        <f ca="1"/>
        <v>0</v>
      </c>
      <c r="AB99" s="59">
        <f ca="1"/>
        <v>0</v>
      </c>
      <c r="AC99" s="59">
        <f ca="1"/>
        <v>0</v>
      </c>
      <c r="AD99" s="59">
        <f ca="1"/>
        <v>0</v>
      </c>
      <c r="AE99" s="59">
        <f ca="1"/>
        <v>0</v>
      </c>
      <c r="AF99" s="59">
        <f ca="1"/>
        <v>0</v>
      </c>
      <c r="AG99" s="59">
        <f ca="1"/>
        <v>0</v>
      </c>
      <c r="AH99" s="59">
        <f ca="1"/>
        <v>0</v>
      </c>
      <c r="AI99" s="59">
        <f ca="1"/>
        <v>0</v>
      </c>
      <c r="AJ99" s="59">
        <f ca="1"/>
        <v>0</v>
      </c>
      <c r="AK99" s="59">
        <f ca="1"/>
        <v>0</v>
      </c>
      <c r="AL99" s="59">
        <f ca="1"/>
        <v>0</v>
      </c>
      <c r="AM99" s="59">
        <f ca="1"/>
        <v>0</v>
      </c>
      <c r="AN99" s="59">
        <f ca="1"/>
        <v>0</v>
      </c>
      <c r="AO99" s="59">
        <f ca="1"/>
        <v>0</v>
      </c>
      <c r="AP99" s="59">
        <f ca="1"/>
        <v>0</v>
      </c>
      <c r="AQ99" s="59">
        <f ca="1"/>
        <v>0</v>
      </c>
      <c r="AR99" s="59">
        <f ca="1"/>
        <v>0</v>
      </c>
      <c r="AS99" s="59">
        <f ca="1"/>
        <v>0</v>
      </c>
      <c r="AT99" s="59">
        <f ca="1"/>
        <v>0</v>
      </c>
      <c r="AU99" s="59">
        <f ca="1"/>
        <v>0</v>
      </c>
      <c r="AV99" s="59">
        <f ca="1"/>
        <v>0</v>
      </c>
      <c r="AW99" s="59">
        <f ca="1"/>
        <v>0</v>
      </c>
      <c r="AX99" s="59">
        <f ca="1"/>
        <v>0</v>
      </c>
      <c r="AY99" s="59">
        <f ca="1"/>
        <v>0</v>
      </c>
      <c r="AZ99" s="59">
        <f ca="1"/>
        <v>0</v>
      </c>
      <c r="BA99" s="59">
        <f ca="1"/>
        <v>0</v>
      </c>
      <c r="BS99" s="5">
        <f t="shared" si="23"/>
        <v>-1</v>
      </c>
      <c r="BT99" s="5"/>
      <c r="CD99" s="5" t="e">
        <f t="shared" ca="1" si="26"/>
        <v>#REF!</v>
      </c>
      <c r="CE99" s="5" t="e">
        <f t="shared" ca="1" si="27"/>
        <v>#REF!</v>
      </c>
      <c r="CF99" s="5" t="e">
        <f t="shared" ca="1" si="25"/>
        <v>#REF!</v>
      </c>
      <c r="CG99" s="5"/>
    </row>
    <row r="100" spans="1:85" hidden="1" x14ac:dyDescent="0.25">
      <c r="A100" s="57"/>
      <c r="B100" s="57"/>
      <c r="C100" s="53"/>
      <c r="D100" s="54"/>
      <c r="E100" s="54"/>
      <c r="F100" s="59"/>
      <c r="G100" s="59"/>
      <c r="H100" s="59"/>
      <c r="I100" s="59"/>
      <c r="J100" s="59"/>
      <c r="K100" s="59"/>
      <c r="L100" s="59"/>
      <c r="M100" s="59"/>
      <c r="N100" s="59"/>
      <c r="O100" s="59"/>
      <c r="P100" s="59"/>
      <c r="Q100" s="59"/>
      <c r="R100" s="59"/>
      <c r="S100" s="59"/>
      <c r="T100" s="59"/>
      <c r="U100" s="59"/>
      <c r="V100" s="59"/>
      <c r="W100" s="59"/>
      <c r="X100" s="59"/>
      <c r="Y100" s="59"/>
      <c r="Z100" s="59"/>
      <c r="AA100" s="59"/>
      <c r="AB100" s="59"/>
      <c r="AC100" s="59"/>
      <c r="AD100" s="59"/>
      <c r="AE100" s="59"/>
      <c r="AF100" s="59"/>
      <c r="AG100" s="59"/>
      <c r="AH100" s="59"/>
      <c r="AI100" s="59"/>
      <c r="AJ100" s="59"/>
      <c r="AK100" s="59"/>
      <c r="AL100" s="59"/>
      <c r="AM100" s="59"/>
      <c r="AN100" s="59"/>
      <c r="AO100" s="59"/>
      <c r="AP100" s="59"/>
      <c r="AQ100" s="59"/>
      <c r="AR100" s="59"/>
      <c r="AS100" s="59"/>
      <c r="AT100" s="59"/>
      <c r="AU100" s="59"/>
      <c r="AV100" s="59"/>
      <c r="AW100" s="59"/>
      <c r="AX100" s="59"/>
      <c r="AY100" s="59"/>
      <c r="AZ100" s="59"/>
      <c r="BA100" s="59"/>
      <c r="BS100" s="5">
        <f t="shared" si="23"/>
        <v>-1</v>
      </c>
      <c r="BT100" s="5"/>
      <c r="CD100" s="5" t="e">
        <f t="shared" ca="1" si="26"/>
        <v>#REF!</v>
      </c>
      <c r="CE100" s="5" t="e">
        <f t="shared" ca="1" si="27"/>
        <v>#REF!</v>
      </c>
      <c r="CF100" s="5" t="e">
        <f t="shared" ca="1" si="25"/>
        <v>#REF!</v>
      </c>
      <c r="CG100" s="5"/>
    </row>
    <row r="101" spans="1:85" hidden="1" x14ac:dyDescent="0.25">
      <c r="A101" s="57"/>
      <c r="B101" s="57"/>
      <c r="C101" s="53"/>
      <c r="D101" s="54"/>
      <c r="E101" s="54"/>
      <c r="F101" s="59"/>
      <c r="G101" s="59"/>
      <c r="H101" s="59"/>
      <c r="I101" s="59"/>
      <c r="J101" s="59"/>
      <c r="K101" s="59"/>
      <c r="L101" s="59"/>
      <c r="M101" s="59"/>
      <c r="N101" s="59"/>
      <c r="O101" s="59"/>
      <c r="P101" s="59"/>
      <c r="Q101" s="59"/>
      <c r="R101" s="59"/>
      <c r="S101" s="59"/>
      <c r="T101" s="59"/>
      <c r="U101" s="59"/>
      <c r="V101" s="59"/>
      <c r="W101" s="59"/>
      <c r="X101" s="59"/>
      <c r="Y101" s="59"/>
      <c r="Z101" s="59"/>
      <c r="AA101" s="59"/>
      <c r="AB101" s="59"/>
      <c r="AC101" s="59"/>
      <c r="AD101" s="59"/>
      <c r="AE101" s="59"/>
      <c r="AF101" s="59"/>
      <c r="AG101" s="59"/>
      <c r="AH101" s="59"/>
      <c r="AI101" s="59"/>
      <c r="AJ101" s="59"/>
      <c r="AK101" s="59"/>
      <c r="AL101" s="59"/>
      <c r="AM101" s="59"/>
      <c r="AN101" s="59"/>
      <c r="AO101" s="59"/>
      <c r="AP101" s="59"/>
      <c r="AQ101" s="59"/>
      <c r="AR101" s="59"/>
      <c r="AS101" s="59"/>
      <c r="AT101" s="59"/>
      <c r="AU101" s="59"/>
      <c r="AV101" s="59"/>
      <c r="AW101" s="59"/>
      <c r="AX101" s="59"/>
      <c r="AY101" s="59"/>
      <c r="AZ101" s="59"/>
      <c r="BA101" s="59"/>
      <c r="BS101" s="5">
        <f t="shared" si="23"/>
        <v>-1</v>
      </c>
      <c r="BT101" s="5"/>
      <c r="CD101" s="5" t="e">
        <f t="shared" ca="1" si="26"/>
        <v>#REF!</v>
      </c>
      <c r="CE101" s="5" t="e">
        <f t="shared" ca="1" si="27"/>
        <v>#REF!</v>
      </c>
      <c r="CF101" s="5" t="e">
        <f t="shared" ca="1" si="25"/>
        <v>#REF!</v>
      </c>
      <c r="CG101" s="5"/>
    </row>
    <row r="102" spans="1:85" hidden="1" x14ac:dyDescent="0.25">
      <c r="A102" s="57"/>
      <c r="B102" s="57"/>
      <c r="C102" s="53"/>
      <c r="D102" s="54"/>
      <c r="E102" s="54"/>
      <c r="F102" s="59"/>
      <c r="G102" s="59"/>
      <c r="H102" s="59"/>
      <c r="I102" s="59"/>
      <c r="J102" s="59"/>
      <c r="K102" s="59"/>
      <c r="L102" s="59"/>
      <c r="M102" s="59"/>
      <c r="N102" s="59"/>
      <c r="O102" s="59"/>
      <c r="P102" s="59"/>
      <c r="Q102" s="59"/>
      <c r="R102" s="59"/>
      <c r="S102" s="59"/>
      <c r="T102" s="59"/>
      <c r="U102" s="59"/>
      <c r="V102" s="59"/>
      <c r="W102" s="59"/>
      <c r="X102" s="59"/>
      <c r="Y102" s="59"/>
      <c r="Z102" s="59"/>
      <c r="AA102" s="59"/>
      <c r="AB102" s="59"/>
      <c r="AC102" s="59"/>
      <c r="AD102" s="59"/>
      <c r="AE102" s="59"/>
      <c r="AF102" s="59"/>
      <c r="AG102" s="59"/>
      <c r="AH102" s="59"/>
      <c r="AI102" s="59"/>
      <c r="AJ102" s="59"/>
      <c r="AK102" s="59"/>
      <c r="AL102" s="59"/>
      <c r="AM102" s="59"/>
      <c r="AN102" s="59"/>
      <c r="AO102" s="59"/>
      <c r="AP102" s="59"/>
      <c r="AQ102" s="59"/>
      <c r="AR102" s="59"/>
      <c r="AS102" s="59"/>
      <c r="AT102" s="59"/>
      <c r="AU102" s="59"/>
      <c r="AV102" s="59"/>
      <c r="AW102" s="59"/>
      <c r="AX102" s="59"/>
      <c r="AY102" s="59"/>
      <c r="AZ102" s="59"/>
      <c r="BA102" s="59"/>
      <c r="BS102" s="5">
        <f t="shared" si="23"/>
        <v>-1</v>
      </c>
      <c r="BT102" s="5"/>
      <c r="CD102" s="5" t="e">
        <f t="shared" ca="1" si="26"/>
        <v>#REF!</v>
      </c>
      <c r="CE102" s="5" t="e">
        <f t="shared" ca="1" si="27"/>
        <v>#REF!</v>
      </c>
      <c r="CF102" s="5" t="e">
        <f t="shared" ca="1" si="25"/>
        <v>#REF!</v>
      </c>
      <c r="CG102" s="5"/>
    </row>
    <row r="103" spans="1:85" hidden="1" x14ac:dyDescent="0.25">
      <c r="A103" s="57"/>
      <c r="B103" s="57"/>
      <c r="C103" s="53"/>
      <c r="D103" s="54"/>
      <c r="E103" s="63"/>
      <c r="F103" s="59"/>
      <c r="G103" s="59"/>
      <c r="H103" s="59"/>
      <c r="I103" s="59"/>
      <c r="J103" s="59"/>
      <c r="K103" s="59"/>
      <c r="L103" s="59"/>
      <c r="M103" s="59"/>
      <c r="N103" s="59"/>
      <c r="O103" s="59"/>
      <c r="P103" s="59"/>
      <c r="Q103" s="59"/>
      <c r="R103" s="59"/>
      <c r="S103" s="59"/>
      <c r="T103" s="59"/>
      <c r="U103" s="59"/>
      <c r="V103" s="59"/>
      <c r="W103" s="59"/>
      <c r="X103" s="59"/>
      <c r="Y103" s="59"/>
      <c r="Z103" s="59"/>
      <c r="AA103" s="59"/>
      <c r="AB103" s="59"/>
      <c r="AC103" s="59"/>
      <c r="AD103" s="59"/>
      <c r="AE103" s="59"/>
      <c r="AF103" s="59"/>
      <c r="AG103" s="59"/>
      <c r="AH103" s="59"/>
      <c r="AI103" s="59"/>
      <c r="AJ103" s="59"/>
      <c r="AK103" s="59"/>
      <c r="AL103" s="59"/>
      <c r="AM103" s="59"/>
      <c r="AN103" s="59"/>
      <c r="AO103" s="59"/>
      <c r="AP103" s="59"/>
      <c r="AQ103" s="59"/>
      <c r="AR103" s="59"/>
      <c r="AS103" s="59"/>
      <c r="AT103" s="59"/>
      <c r="AU103" s="59"/>
      <c r="AV103" s="59"/>
      <c r="AW103" s="59"/>
      <c r="AX103" s="59"/>
      <c r="AY103" s="59"/>
      <c r="AZ103" s="59"/>
      <c r="BA103" s="59"/>
      <c r="BS103" s="5">
        <f t="shared" si="23"/>
        <v>-1</v>
      </c>
      <c r="BT103" s="5"/>
      <c r="CD103" s="5" t="e">
        <f t="shared" ca="1" si="26"/>
        <v>#REF!</v>
      </c>
      <c r="CE103" s="5" t="e">
        <f t="shared" ca="1" si="27"/>
        <v>#REF!</v>
      </c>
      <c r="CF103" s="5" t="e">
        <f t="shared" ca="1" si="25"/>
        <v>#REF!</v>
      </c>
      <c r="CG103" s="5"/>
    </row>
    <row r="104" spans="1:85" hidden="1" x14ac:dyDescent="0.25">
      <c r="A104" s="57"/>
      <c r="B104" s="57"/>
      <c r="C104" s="53"/>
      <c r="D104" s="54"/>
      <c r="E104" s="63"/>
      <c r="F104" s="59"/>
      <c r="G104" s="59"/>
      <c r="H104" s="59"/>
      <c r="I104" s="59"/>
      <c r="J104" s="59"/>
      <c r="K104" s="59"/>
      <c r="L104" s="59"/>
      <c r="M104" s="59"/>
      <c r="N104" s="59"/>
      <c r="O104" s="59"/>
      <c r="P104" s="59"/>
      <c r="Q104" s="59"/>
      <c r="R104" s="59"/>
      <c r="S104" s="59"/>
      <c r="T104" s="59"/>
      <c r="U104" s="59"/>
      <c r="V104" s="59"/>
      <c r="W104" s="59"/>
      <c r="X104" s="59"/>
      <c r="Y104" s="59"/>
      <c r="Z104" s="59"/>
      <c r="AA104" s="59"/>
      <c r="AB104" s="59"/>
      <c r="AC104" s="59"/>
      <c r="AD104" s="59"/>
      <c r="AE104" s="59"/>
      <c r="AF104" s="59"/>
      <c r="AG104" s="59"/>
      <c r="AH104" s="59"/>
      <c r="AI104" s="59"/>
      <c r="AJ104" s="59"/>
      <c r="AK104" s="59"/>
      <c r="AL104" s="59"/>
      <c r="AM104" s="59"/>
      <c r="AN104" s="59"/>
      <c r="AO104" s="59"/>
      <c r="AP104" s="59"/>
      <c r="AQ104" s="59"/>
      <c r="AR104" s="59"/>
      <c r="AS104" s="59"/>
      <c r="AT104" s="59"/>
      <c r="AU104" s="59"/>
      <c r="AV104" s="59"/>
      <c r="AW104" s="59"/>
      <c r="AX104" s="59"/>
      <c r="AY104" s="59"/>
      <c r="AZ104" s="59"/>
      <c r="BA104" s="59"/>
      <c r="BS104" s="5">
        <f t="shared" si="23"/>
        <v>1048495</v>
      </c>
      <c r="BT104" s="5" t="str">
        <f t="shared" ref="BT104:BT133" si="38">BU104&amp;BV104&amp;BW104</f>
        <v/>
      </c>
      <c r="CD104" s="5" t="e">
        <f t="shared" ca="1" si="26"/>
        <v>#REF!</v>
      </c>
      <c r="CE104" s="5" t="e">
        <f t="shared" ca="1" si="27"/>
        <v>#REF!</v>
      </c>
      <c r="CF104" s="5" t="e">
        <f t="shared" ca="1" si="25"/>
        <v>#REF!</v>
      </c>
      <c r="CG104" s="5"/>
    </row>
    <row r="105" spans="1:85" hidden="1" x14ac:dyDescent="0.25">
      <c r="A105" s="57"/>
      <c r="B105" s="57"/>
      <c r="C105" s="53"/>
      <c r="D105" s="54"/>
      <c r="E105" s="63"/>
      <c r="F105" s="59"/>
      <c r="G105" s="59"/>
      <c r="H105" s="59"/>
      <c r="I105" s="59"/>
      <c r="J105" s="59"/>
      <c r="K105" s="59"/>
      <c r="L105" s="59"/>
      <c r="M105" s="59"/>
      <c r="N105" s="59"/>
      <c r="O105" s="59"/>
      <c r="P105" s="59"/>
      <c r="Q105" s="59"/>
      <c r="R105" s="59"/>
      <c r="S105" s="59"/>
      <c r="T105" s="59"/>
      <c r="U105" s="59"/>
      <c r="V105" s="59"/>
      <c r="W105" s="59"/>
      <c r="X105" s="59"/>
      <c r="Y105" s="59"/>
      <c r="Z105" s="59"/>
      <c r="AA105" s="59"/>
      <c r="AB105" s="59"/>
      <c r="AC105" s="59"/>
      <c r="AD105" s="59"/>
      <c r="AE105" s="59"/>
      <c r="AF105" s="59"/>
      <c r="AG105" s="59"/>
      <c r="AH105" s="59"/>
      <c r="AI105" s="59"/>
      <c r="AJ105" s="59"/>
      <c r="AK105" s="59"/>
      <c r="AL105" s="59"/>
      <c r="AM105" s="59"/>
      <c r="AN105" s="59"/>
      <c r="AO105" s="59"/>
      <c r="AP105" s="59"/>
      <c r="AQ105" s="59"/>
      <c r="AR105" s="59"/>
      <c r="AS105" s="59"/>
      <c r="AT105" s="59"/>
      <c r="AU105" s="59"/>
      <c r="AV105" s="59"/>
      <c r="AW105" s="59"/>
      <c r="AX105" s="59"/>
      <c r="AY105" s="59"/>
      <c r="AZ105" s="59"/>
      <c r="BA105" s="59"/>
      <c r="BS105" s="5">
        <f t="shared" si="23"/>
        <v>1048495</v>
      </c>
      <c r="BT105" s="5" t="str">
        <f t="shared" si="38"/>
        <v/>
      </c>
      <c r="CD105" s="5" t="e">
        <f t="shared" ca="1" si="26"/>
        <v>#REF!</v>
      </c>
      <c r="CE105" s="5" t="e">
        <f t="shared" ca="1" si="27"/>
        <v>#REF!</v>
      </c>
      <c r="CF105" s="5" t="e">
        <f t="shared" ca="1" si="25"/>
        <v>#REF!</v>
      </c>
      <c r="CG105" s="5"/>
    </row>
    <row r="106" spans="1:85" hidden="1" x14ac:dyDescent="0.25">
      <c r="A106" s="57"/>
      <c r="B106" s="57"/>
      <c r="C106" s="53"/>
      <c r="D106" s="54"/>
      <c r="E106" s="63"/>
      <c r="F106" s="59"/>
      <c r="G106" s="59"/>
      <c r="H106" s="59"/>
      <c r="I106" s="59"/>
      <c r="J106" s="59"/>
      <c r="K106" s="59"/>
      <c r="L106" s="59"/>
      <c r="M106" s="59"/>
      <c r="N106" s="59"/>
      <c r="O106" s="59"/>
      <c r="P106" s="59"/>
      <c r="Q106" s="59"/>
      <c r="R106" s="59"/>
      <c r="S106" s="59"/>
      <c r="T106" s="59"/>
      <c r="U106" s="59"/>
      <c r="V106" s="59"/>
      <c r="W106" s="59"/>
      <c r="X106" s="59"/>
      <c r="Y106" s="59"/>
      <c r="Z106" s="59"/>
      <c r="AA106" s="59"/>
      <c r="AB106" s="59"/>
      <c r="AC106" s="59"/>
      <c r="AD106" s="59"/>
      <c r="AE106" s="59"/>
      <c r="AF106" s="59"/>
      <c r="AG106" s="59"/>
      <c r="AH106" s="59"/>
      <c r="AI106" s="59"/>
      <c r="AJ106" s="59"/>
      <c r="AK106" s="59"/>
      <c r="AL106" s="59"/>
      <c r="AM106" s="59"/>
      <c r="AN106" s="59"/>
      <c r="AO106" s="59"/>
      <c r="AP106" s="59"/>
      <c r="AQ106" s="59"/>
      <c r="AR106" s="59"/>
      <c r="AS106" s="59"/>
      <c r="AT106" s="59"/>
      <c r="AU106" s="59"/>
      <c r="AV106" s="59"/>
      <c r="AW106" s="59"/>
      <c r="AX106" s="59"/>
      <c r="AY106" s="59"/>
      <c r="AZ106" s="59"/>
      <c r="BA106" s="59"/>
      <c r="BS106" s="5">
        <f t="shared" si="23"/>
        <v>1048495</v>
      </c>
      <c r="BT106" s="5" t="str">
        <f t="shared" si="38"/>
        <v/>
      </c>
      <c r="CD106" s="5" t="e">
        <f t="shared" ca="1" si="26"/>
        <v>#REF!</v>
      </c>
      <c r="CE106" s="5" t="e">
        <f t="shared" ca="1" si="27"/>
        <v>#REF!</v>
      </c>
      <c r="CF106" s="5" t="e">
        <f t="shared" ca="1" si="25"/>
        <v>#REF!</v>
      </c>
      <c r="CG106" s="5"/>
    </row>
    <row r="107" spans="1:85" hidden="1" x14ac:dyDescent="0.25">
      <c r="A107" s="57"/>
      <c r="B107" s="57"/>
      <c r="C107" s="53"/>
      <c r="D107" s="54"/>
      <c r="E107" s="63"/>
      <c r="F107" s="59"/>
      <c r="G107" s="59"/>
      <c r="H107" s="59"/>
      <c r="I107" s="59"/>
      <c r="J107" s="59"/>
      <c r="K107" s="59"/>
      <c r="L107" s="59"/>
      <c r="M107" s="59"/>
      <c r="N107" s="59"/>
      <c r="O107" s="59"/>
      <c r="P107" s="59"/>
      <c r="Q107" s="59"/>
      <c r="R107" s="59"/>
      <c r="S107" s="59"/>
      <c r="T107" s="59"/>
      <c r="U107" s="59"/>
      <c r="V107" s="59"/>
      <c r="W107" s="59"/>
      <c r="X107" s="59"/>
      <c r="Y107" s="59"/>
      <c r="Z107" s="59"/>
      <c r="AA107" s="59"/>
      <c r="AB107" s="59"/>
      <c r="AC107" s="59"/>
      <c r="AD107" s="59"/>
      <c r="AE107" s="59"/>
      <c r="AF107" s="59"/>
      <c r="AG107" s="59"/>
      <c r="AH107" s="59"/>
      <c r="AI107" s="59"/>
      <c r="AJ107" s="59"/>
      <c r="AK107" s="59"/>
      <c r="AL107" s="59"/>
      <c r="AM107" s="59"/>
      <c r="AN107" s="59"/>
      <c r="AO107" s="59"/>
      <c r="AP107" s="59"/>
      <c r="AQ107" s="59"/>
      <c r="AR107" s="59"/>
      <c r="AS107" s="59"/>
      <c r="AT107" s="59"/>
      <c r="AU107" s="59"/>
      <c r="AV107" s="59"/>
      <c r="AW107" s="59"/>
      <c r="AX107" s="59"/>
      <c r="AY107" s="59"/>
      <c r="AZ107" s="59"/>
      <c r="BA107" s="59"/>
      <c r="BS107" s="5">
        <f t="shared" si="23"/>
        <v>1048495</v>
      </c>
      <c r="BT107" s="5" t="str">
        <f t="shared" si="38"/>
        <v/>
      </c>
      <c r="CD107" s="5" t="e">
        <f t="shared" ca="1" si="26"/>
        <v>#REF!</v>
      </c>
      <c r="CE107" s="5" t="e">
        <f t="shared" ca="1" si="27"/>
        <v>#REF!</v>
      </c>
      <c r="CF107" s="5" t="e">
        <f t="shared" ca="1" si="25"/>
        <v>#REF!</v>
      </c>
      <c r="CG107" s="5"/>
    </row>
    <row r="108" spans="1:85" hidden="1" x14ac:dyDescent="0.25">
      <c r="A108" s="57"/>
      <c r="B108" s="57"/>
      <c r="C108" s="53"/>
      <c r="D108" s="54"/>
      <c r="E108" s="63"/>
      <c r="F108" s="59"/>
      <c r="G108" s="59"/>
      <c r="H108" s="59"/>
      <c r="I108" s="59"/>
      <c r="J108" s="59"/>
      <c r="K108" s="59"/>
      <c r="L108" s="59"/>
      <c r="M108" s="59"/>
      <c r="N108" s="59"/>
      <c r="O108" s="59"/>
      <c r="P108" s="59"/>
      <c r="Q108" s="59"/>
      <c r="R108" s="59"/>
      <c r="S108" s="59"/>
      <c r="T108" s="59"/>
      <c r="U108" s="59"/>
      <c r="V108" s="59"/>
      <c r="W108" s="59"/>
      <c r="X108" s="59"/>
      <c r="Y108" s="59"/>
      <c r="Z108" s="59"/>
      <c r="AA108" s="59"/>
      <c r="AB108" s="59"/>
      <c r="AC108" s="59"/>
      <c r="AD108" s="59"/>
      <c r="AE108" s="59"/>
      <c r="AF108" s="59"/>
      <c r="AG108" s="59"/>
      <c r="AH108" s="59"/>
      <c r="AI108" s="59"/>
      <c r="AJ108" s="59"/>
      <c r="AK108" s="59"/>
      <c r="AL108" s="59"/>
      <c r="AM108" s="59"/>
      <c r="AN108" s="59"/>
      <c r="AO108" s="59"/>
      <c r="AP108" s="59"/>
      <c r="AQ108" s="59"/>
      <c r="AR108" s="59"/>
      <c r="AS108" s="59"/>
      <c r="AT108" s="59"/>
      <c r="AU108" s="59"/>
      <c r="AV108" s="59"/>
      <c r="AW108" s="59"/>
      <c r="AX108" s="59"/>
      <c r="AY108" s="59"/>
      <c r="AZ108" s="59"/>
      <c r="BA108" s="59"/>
      <c r="BS108" s="5">
        <f t="shared" si="23"/>
        <v>1048495</v>
      </c>
      <c r="BT108" s="5" t="str">
        <f t="shared" si="38"/>
        <v/>
      </c>
      <c r="CD108" s="5" t="e">
        <f t="shared" ca="1" si="26"/>
        <v>#REF!</v>
      </c>
      <c r="CE108" s="5" t="e">
        <f t="shared" ca="1" si="27"/>
        <v>#REF!</v>
      </c>
      <c r="CF108" s="5" t="e">
        <f t="shared" ca="1" si="25"/>
        <v>#REF!</v>
      </c>
      <c r="CG108" s="5"/>
    </row>
    <row r="109" spans="1:85" hidden="1" x14ac:dyDescent="0.25">
      <c r="A109" s="57"/>
      <c r="B109" s="57"/>
      <c r="C109" s="53"/>
      <c r="D109" s="54"/>
      <c r="E109" s="63"/>
      <c r="F109" s="59"/>
      <c r="G109" s="59"/>
      <c r="H109" s="59"/>
      <c r="I109" s="59"/>
      <c r="J109" s="59"/>
      <c r="K109" s="59"/>
      <c r="L109" s="59"/>
      <c r="M109" s="59"/>
      <c r="N109" s="59"/>
      <c r="O109" s="59"/>
      <c r="P109" s="59"/>
      <c r="Q109" s="59"/>
      <c r="R109" s="59"/>
      <c r="S109" s="59"/>
      <c r="T109" s="59"/>
      <c r="U109" s="59"/>
      <c r="V109" s="59"/>
      <c r="W109" s="59"/>
      <c r="X109" s="59"/>
      <c r="Y109" s="59"/>
      <c r="Z109" s="59"/>
      <c r="AA109" s="59"/>
      <c r="AB109" s="59"/>
      <c r="AC109" s="59"/>
      <c r="AD109" s="59"/>
      <c r="AE109" s="59"/>
      <c r="AF109" s="59"/>
      <c r="AG109" s="59"/>
      <c r="AH109" s="59"/>
      <c r="AI109" s="59"/>
      <c r="AJ109" s="59"/>
      <c r="AK109" s="59"/>
      <c r="AL109" s="59"/>
      <c r="AM109" s="59"/>
      <c r="AN109" s="59"/>
      <c r="AO109" s="59"/>
      <c r="AP109" s="59"/>
      <c r="AQ109" s="59"/>
      <c r="AR109" s="59"/>
      <c r="AS109" s="59"/>
      <c r="AT109" s="59"/>
      <c r="AU109" s="59"/>
      <c r="AV109" s="59"/>
      <c r="AW109" s="59"/>
      <c r="AX109" s="59"/>
      <c r="AY109" s="59"/>
      <c r="AZ109" s="59"/>
      <c r="BA109" s="59"/>
      <c r="BS109" s="5">
        <f t="shared" si="23"/>
        <v>1048495</v>
      </c>
      <c r="BT109" s="5" t="str">
        <f t="shared" si="38"/>
        <v/>
      </c>
      <c r="CD109" s="5" t="e">
        <f t="shared" ca="1" si="26"/>
        <v>#REF!</v>
      </c>
      <c r="CE109" s="5" t="e">
        <f t="shared" ca="1" si="27"/>
        <v>#REF!</v>
      </c>
      <c r="CF109" s="5" t="e">
        <f t="shared" ca="1" si="25"/>
        <v>#REF!</v>
      </c>
      <c r="CG109" s="5"/>
    </row>
    <row r="110" spans="1:85" hidden="1" x14ac:dyDescent="0.25">
      <c r="A110" s="57"/>
      <c r="B110" s="57"/>
      <c r="C110" s="53"/>
      <c r="D110" s="54"/>
      <c r="E110" s="63"/>
      <c r="F110" s="59"/>
      <c r="G110" s="59"/>
      <c r="H110" s="59"/>
      <c r="I110" s="59"/>
      <c r="J110" s="59"/>
      <c r="K110" s="59"/>
      <c r="L110" s="59"/>
      <c r="M110" s="59"/>
      <c r="N110" s="59"/>
      <c r="O110" s="59"/>
      <c r="P110" s="59"/>
      <c r="Q110" s="59"/>
      <c r="R110" s="59"/>
      <c r="S110" s="59"/>
      <c r="T110" s="59"/>
      <c r="U110" s="59"/>
      <c r="V110" s="59"/>
      <c r="W110" s="59"/>
      <c r="X110" s="59"/>
      <c r="Y110" s="59"/>
      <c r="Z110" s="59"/>
      <c r="AA110" s="59"/>
      <c r="AB110" s="59"/>
      <c r="AC110" s="59"/>
      <c r="AD110" s="59"/>
      <c r="AE110" s="59"/>
      <c r="AF110" s="59"/>
      <c r="AG110" s="59"/>
      <c r="AH110" s="59"/>
      <c r="AI110" s="59"/>
      <c r="AJ110" s="59"/>
      <c r="AK110" s="59"/>
      <c r="AL110" s="59"/>
      <c r="AM110" s="59"/>
      <c r="AN110" s="59"/>
      <c r="AO110" s="59"/>
      <c r="AP110" s="59"/>
      <c r="AQ110" s="59"/>
      <c r="AR110" s="59"/>
      <c r="AS110" s="59"/>
      <c r="AT110" s="59"/>
      <c r="AU110" s="59"/>
      <c r="AV110" s="59"/>
      <c r="AW110" s="59"/>
      <c r="AX110" s="59"/>
      <c r="AY110" s="59"/>
      <c r="AZ110" s="59"/>
      <c r="BA110" s="59"/>
      <c r="BS110" s="5">
        <f t="shared" si="23"/>
        <v>1048495</v>
      </c>
      <c r="BT110" s="5" t="str">
        <f t="shared" si="38"/>
        <v/>
      </c>
      <c r="CD110" s="5" t="e">
        <f t="shared" ca="1" si="26"/>
        <v>#REF!</v>
      </c>
      <c r="CE110" s="5" t="e">
        <f t="shared" ca="1" si="27"/>
        <v>#REF!</v>
      </c>
      <c r="CF110" s="5" t="e">
        <f t="shared" ca="1" si="25"/>
        <v>#REF!</v>
      </c>
      <c r="CG110" s="5"/>
    </row>
    <row r="111" spans="1:85" hidden="1" x14ac:dyDescent="0.25">
      <c r="A111" s="57"/>
      <c r="B111" s="57"/>
      <c r="C111" s="53"/>
      <c r="D111" s="54"/>
      <c r="E111" s="63"/>
      <c r="F111" s="59"/>
      <c r="G111" s="59"/>
      <c r="H111" s="59"/>
      <c r="I111" s="59"/>
      <c r="J111" s="59"/>
      <c r="K111" s="59"/>
      <c r="L111" s="59"/>
      <c r="M111" s="59"/>
      <c r="N111" s="59"/>
      <c r="O111" s="59"/>
      <c r="P111" s="59"/>
      <c r="Q111" s="59"/>
      <c r="R111" s="59"/>
      <c r="S111" s="59"/>
      <c r="T111" s="59"/>
      <c r="U111" s="59"/>
      <c r="V111" s="59"/>
      <c r="W111" s="59"/>
      <c r="X111" s="59"/>
      <c r="Y111" s="59"/>
      <c r="Z111" s="59"/>
      <c r="AA111" s="59"/>
      <c r="AB111" s="59"/>
      <c r="AC111" s="59"/>
      <c r="AD111" s="59"/>
      <c r="AE111" s="59"/>
      <c r="AF111" s="59"/>
      <c r="AG111" s="59"/>
      <c r="AH111" s="59"/>
      <c r="AI111" s="59"/>
      <c r="AJ111" s="59"/>
      <c r="AK111" s="59"/>
      <c r="AL111" s="59"/>
      <c r="AM111" s="59"/>
      <c r="AN111" s="59"/>
      <c r="AO111" s="59"/>
      <c r="AP111" s="59"/>
      <c r="AQ111" s="59"/>
      <c r="AR111" s="59"/>
      <c r="AS111" s="59"/>
      <c r="AT111" s="59"/>
      <c r="AU111" s="59"/>
      <c r="AV111" s="59"/>
      <c r="AW111" s="59"/>
      <c r="AX111" s="59"/>
      <c r="AY111" s="59"/>
      <c r="AZ111" s="59"/>
      <c r="BA111" s="59"/>
      <c r="BS111" s="5">
        <f t="shared" si="23"/>
        <v>1048495</v>
      </c>
      <c r="BT111" s="5" t="str">
        <f t="shared" si="38"/>
        <v/>
      </c>
      <c r="CD111" s="5" t="e">
        <f t="shared" ca="1" si="26"/>
        <v>#REF!</v>
      </c>
      <c r="CE111" s="5" t="e">
        <f t="shared" ca="1" si="27"/>
        <v>#REF!</v>
      </c>
      <c r="CF111" s="5" t="e">
        <f t="shared" ca="1" si="25"/>
        <v>#REF!</v>
      </c>
      <c r="CG111" s="5"/>
    </row>
    <row r="112" spans="1:85" hidden="1" x14ac:dyDescent="0.25">
      <c r="A112" s="57"/>
      <c r="B112" s="57"/>
      <c r="C112" s="53"/>
      <c r="D112" s="54"/>
      <c r="E112" s="63"/>
      <c r="F112" s="59"/>
      <c r="G112" s="59"/>
      <c r="H112" s="59"/>
      <c r="I112" s="59"/>
      <c r="J112" s="59"/>
      <c r="K112" s="59"/>
      <c r="L112" s="59"/>
      <c r="M112" s="59"/>
      <c r="N112" s="59"/>
      <c r="O112" s="59"/>
      <c r="P112" s="59"/>
      <c r="Q112" s="59"/>
      <c r="R112" s="59"/>
      <c r="S112" s="59"/>
      <c r="T112" s="59"/>
      <c r="U112" s="59"/>
      <c r="V112" s="59"/>
      <c r="W112" s="59"/>
      <c r="X112" s="59"/>
      <c r="Y112" s="59"/>
      <c r="Z112" s="59"/>
      <c r="AA112" s="59"/>
      <c r="AB112" s="59"/>
      <c r="AC112" s="59"/>
      <c r="AD112" s="59"/>
      <c r="AE112" s="59"/>
      <c r="AF112" s="59"/>
      <c r="AG112" s="59"/>
      <c r="AH112" s="59"/>
      <c r="AI112" s="59"/>
      <c r="AJ112" s="59"/>
      <c r="AK112" s="59"/>
      <c r="AL112" s="59"/>
      <c r="AM112" s="59"/>
      <c r="AN112" s="59"/>
      <c r="AO112" s="59"/>
      <c r="AP112" s="59"/>
      <c r="AQ112" s="59"/>
      <c r="AR112" s="59"/>
      <c r="AS112" s="59"/>
      <c r="AT112" s="59"/>
      <c r="AU112" s="59"/>
      <c r="AV112" s="59"/>
      <c r="AW112" s="59"/>
      <c r="AX112" s="59"/>
      <c r="AY112" s="59"/>
      <c r="AZ112" s="59"/>
      <c r="BA112" s="59"/>
      <c r="BS112" s="5">
        <f t="shared" si="23"/>
        <v>1048495</v>
      </c>
      <c r="BT112" s="5" t="str">
        <f t="shared" si="38"/>
        <v/>
      </c>
      <c r="CD112" s="5" t="e">
        <f t="shared" ca="1" si="26"/>
        <v>#REF!</v>
      </c>
      <c r="CE112" s="5" t="e">
        <f t="shared" ca="1" si="27"/>
        <v>#REF!</v>
      </c>
      <c r="CF112" s="5" t="e">
        <f t="shared" ca="1" si="25"/>
        <v>#REF!</v>
      </c>
      <c r="CG112" s="5"/>
    </row>
    <row r="113" spans="1:85" hidden="1" x14ac:dyDescent="0.25">
      <c r="A113" s="57"/>
      <c r="B113" s="57"/>
      <c r="C113" s="53"/>
      <c r="D113" s="54"/>
      <c r="E113" s="63"/>
      <c r="F113" s="59"/>
      <c r="G113" s="59"/>
      <c r="H113" s="59"/>
      <c r="I113" s="59"/>
      <c r="J113" s="59"/>
      <c r="K113" s="59"/>
      <c r="L113" s="59"/>
      <c r="M113" s="59"/>
      <c r="N113" s="59"/>
      <c r="O113" s="59"/>
      <c r="P113" s="59"/>
      <c r="Q113" s="59"/>
      <c r="R113" s="59"/>
      <c r="S113" s="59"/>
      <c r="T113" s="59"/>
      <c r="U113" s="59"/>
      <c r="V113" s="59"/>
      <c r="W113" s="59"/>
      <c r="X113" s="59"/>
      <c r="Y113" s="59"/>
      <c r="Z113" s="59"/>
      <c r="AA113" s="59"/>
      <c r="AB113" s="59"/>
      <c r="AC113" s="59"/>
      <c r="AD113" s="59"/>
      <c r="AE113" s="59"/>
      <c r="AF113" s="59"/>
      <c r="AG113" s="59"/>
      <c r="AH113" s="59"/>
      <c r="AI113" s="59"/>
      <c r="AJ113" s="59"/>
      <c r="AK113" s="59"/>
      <c r="AL113" s="59"/>
      <c r="AM113" s="59"/>
      <c r="AN113" s="59"/>
      <c r="AO113" s="59"/>
      <c r="AP113" s="59"/>
      <c r="AQ113" s="59"/>
      <c r="AR113" s="59"/>
      <c r="AS113" s="59"/>
      <c r="AT113" s="59"/>
      <c r="AU113" s="59"/>
      <c r="AV113" s="59"/>
      <c r="AW113" s="59"/>
      <c r="AX113" s="59"/>
      <c r="AY113" s="59"/>
      <c r="AZ113" s="59"/>
      <c r="BA113" s="59"/>
      <c r="BS113" s="5">
        <f t="shared" si="23"/>
        <v>1048495</v>
      </c>
      <c r="BT113" s="5" t="str">
        <f t="shared" si="38"/>
        <v/>
      </c>
      <c r="CD113" s="5" t="e">
        <f t="shared" ca="1" si="26"/>
        <v>#REF!</v>
      </c>
      <c r="CE113" s="5" t="e">
        <f t="shared" ca="1" si="27"/>
        <v>#REF!</v>
      </c>
      <c r="CF113" s="5" t="e">
        <f t="shared" ca="1" si="25"/>
        <v>#REF!</v>
      </c>
      <c r="CG113" s="5"/>
    </row>
    <row r="114" spans="1:85" hidden="1" x14ac:dyDescent="0.25">
      <c r="A114" s="57"/>
      <c r="B114" s="57"/>
      <c r="C114" s="53"/>
      <c r="D114" s="54"/>
      <c r="E114" s="63"/>
      <c r="F114" s="59"/>
      <c r="G114" s="59"/>
      <c r="H114" s="59"/>
      <c r="I114" s="59"/>
      <c r="J114" s="59"/>
      <c r="K114" s="59"/>
      <c r="L114" s="59"/>
      <c r="M114" s="59"/>
      <c r="N114" s="59"/>
      <c r="O114" s="59"/>
      <c r="P114" s="59"/>
      <c r="Q114" s="59"/>
      <c r="R114" s="59"/>
      <c r="S114" s="59"/>
      <c r="T114" s="59"/>
      <c r="U114" s="59"/>
      <c r="V114" s="59"/>
      <c r="W114" s="59"/>
      <c r="X114" s="59"/>
      <c r="Y114" s="59"/>
      <c r="Z114" s="59"/>
      <c r="AA114" s="59"/>
      <c r="AB114" s="59"/>
      <c r="AC114" s="59"/>
      <c r="AD114" s="59"/>
      <c r="AE114" s="59"/>
      <c r="AF114" s="59"/>
      <c r="AG114" s="59"/>
      <c r="AH114" s="59"/>
      <c r="AI114" s="59"/>
      <c r="AJ114" s="59"/>
      <c r="AK114" s="59"/>
      <c r="AL114" s="59"/>
      <c r="AM114" s="59"/>
      <c r="AN114" s="59"/>
      <c r="AO114" s="59"/>
      <c r="AP114" s="59"/>
      <c r="AQ114" s="59"/>
      <c r="AR114" s="59"/>
      <c r="AS114" s="59"/>
      <c r="AT114" s="59"/>
      <c r="AU114" s="59"/>
      <c r="AV114" s="59"/>
      <c r="AW114" s="59"/>
      <c r="AX114" s="59"/>
      <c r="AY114" s="59"/>
      <c r="AZ114" s="59"/>
      <c r="BA114" s="59"/>
      <c r="BS114" s="5">
        <f t="shared" si="23"/>
        <v>1048495</v>
      </c>
      <c r="BT114" s="5" t="str">
        <f t="shared" si="38"/>
        <v/>
      </c>
      <c r="CD114" s="5" t="e">
        <f t="shared" ca="1" si="26"/>
        <v>#REF!</v>
      </c>
      <c r="CE114" s="5" t="e">
        <f t="shared" ca="1" si="27"/>
        <v>#REF!</v>
      </c>
      <c r="CF114" s="5" t="e">
        <f t="shared" ca="1" si="25"/>
        <v>#REF!</v>
      </c>
      <c r="CG114" s="5"/>
    </row>
    <row r="115" spans="1:85" hidden="1" x14ac:dyDescent="0.25">
      <c r="A115" s="57"/>
      <c r="B115" s="57" t="s">
        <v>110</v>
      </c>
      <c r="C115" s="53"/>
      <c r="D115" s="54"/>
      <c r="E115" s="63"/>
      <c r="F115" s="59"/>
      <c r="G115" s="59"/>
      <c r="H115" s="59"/>
      <c r="I115" s="59"/>
      <c r="J115" s="59"/>
      <c r="K115" s="59"/>
      <c r="L115" s="59"/>
      <c r="M115" s="59"/>
      <c r="N115" s="59"/>
      <c r="O115" s="59"/>
      <c r="P115" s="59"/>
      <c r="Q115" s="59"/>
      <c r="R115" s="59"/>
      <c r="S115" s="59"/>
      <c r="T115" s="59"/>
      <c r="U115" s="59"/>
      <c r="V115" s="59"/>
      <c r="W115" s="59"/>
      <c r="X115" s="59"/>
      <c r="Y115" s="59"/>
      <c r="Z115" s="59"/>
      <c r="AA115" s="59"/>
      <c r="AB115" s="59"/>
      <c r="AC115" s="59"/>
      <c r="AD115" s="59"/>
      <c r="AE115" s="59"/>
      <c r="AF115" s="59"/>
      <c r="AG115" s="59"/>
      <c r="AH115" s="59"/>
      <c r="AI115" s="59"/>
      <c r="AJ115" s="59"/>
      <c r="AK115" s="59"/>
      <c r="AL115" s="59"/>
      <c r="AM115" s="59"/>
      <c r="AN115" s="59"/>
      <c r="AO115" s="59"/>
      <c r="AP115" s="59"/>
      <c r="AQ115" s="59"/>
      <c r="AR115" s="59"/>
      <c r="AS115" s="59"/>
      <c r="AT115" s="59"/>
      <c r="AU115" s="59"/>
      <c r="AV115" s="59"/>
      <c r="AW115" s="59"/>
      <c r="AX115" s="59"/>
      <c r="AY115" s="59"/>
      <c r="AZ115" s="59"/>
      <c r="BA115" s="59"/>
      <c r="BS115" s="5">
        <f t="shared" si="23"/>
        <v>1048495</v>
      </c>
      <c r="BT115" s="5" t="str">
        <f t="shared" si="38"/>
        <v/>
      </c>
      <c r="CD115" s="5" t="e">
        <f t="shared" ca="1" si="26"/>
        <v>#REF!</v>
      </c>
      <c r="CE115" s="5" t="e">
        <f t="shared" ca="1" si="27"/>
        <v>#REF!</v>
      </c>
      <c r="CF115" s="5" t="e">
        <f t="shared" ca="1" si="25"/>
        <v>#REF!</v>
      </c>
      <c r="CG115" s="5"/>
    </row>
    <row r="116" spans="1:85" x14ac:dyDescent="0.25">
      <c r="A116" s="57" t="str" cm="1">
        <f t="array" aca="1" ref="A116:A129" ca="1">INDIRECT($B90&amp;"[Titel]")</f>
        <v>Eigenmietwert Pasadena</v>
      </c>
      <c r="B116" s="57" cm="1">
        <f t="array" aca="1" ref="B116:B129" ca="1">INDIRECT($B90&amp;"[Id]")</f>
        <v>2</v>
      </c>
      <c r="C116" s="53" t="str" cm="1">
        <f t="array" aca="1" ref="C116:C129" ca="1">INDIRECT($B115&amp;"[Zugehörigkeit Bezeichnung]")</f>
        <v>Sheldon</v>
      </c>
      <c r="D116" s="54"/>
      <c r="E116" s="63"/>
      <c r="F116" s="59" cm="1">
        <f t="array" aca="1" ref="F116:F129" ca="1">INDIRECT($B90&amp;"[Betrag]")</f>
        <v>11700</v>
      </c>
      <c r="G116" s="59" cm="1">
        <f t="array" aca="1" ref="G116:G129" ca="1">_xlfn.SWITCH(IFERROR(VLOOKUP(G$3&amp;$B$90&amp;_xlfn.ANCHORARRAY($B116),$BT:$CA,5,0),0),
0,_xlfn.ANCHORARRAY(F116)*(1+$D116)+SUMIF($BT:$BT,G$3&amp;$B$90&amp;_xlfn.ANCHORARRAY($B116),$CA:$CA),
1,VLOOKUP(G$3&amp;$B$90&amp;_xlfn.ANCHORARRAY($B116),$BT:$CA,6,0),
2,_xlfn.ANCHORARRAY(F116)*(1+_xlfn.ANCHORARRAY($D116))*VLOOKUP(G$3&amp;$B$90&amp;_xlfn.ANCHORARRAY($B116),$BT:$CA,7,0))</f>
        <v>11700</v>
      </c>
      <c r="H116" s="59" cm="1">
        <f t="array" aca="1" ref="H116:H129" ca="1">_xlfn.SWITCH(IFERROR(VLOOKUP(H$3&amp;$B$90&amp;_xlfn.ANCHORARRAY($B116),$BT:$CA,5,0),0),
0,_xlfn.ANCHORARRAY(G116)*(1+$D116)+SUMIF($BT:$BT,H$3&amp;$B$90&amp;_xlfn.ANCHORARRAY($B116),$CA:$CA),
1,VLOOKUP(H$3&amp;$B$90&amp;_xlfn.ANCHORARRAY($B116),$BT:$CA,6,0),
2,_xlfn.ANCHORARRAY(G116)*(1+_xlfn.ANCHORARRAY($D116))*VLOOKUP(H$3&amp;$B$90&amp;_xlfn.ANCHORARRAY($B116),$BT:$CA,7,0))</f>
        <v>11700</v>
      </c>
      <c r="I116" s="59" cm="1">
        <f t="array" aca="1" ref="I116:I129" ca="1">_xlfn.SWITCH(IFERROR(VLOOKUP(I$3&amp;$B$90&amp;_xlfn.ANCHORARRAY($B116),$BT:$CA,5,0),0),
0,_xlfn.ANCHORARRAY(H116)*(1+$D116)+SUMIF($BT:$BT,I$3&amp;$B$90&amp;_xlfn.ANCHORARRAY($B116),$CA:$CA),
1,VLOOKUP(I$3&amp;$B$90&amp;_xlfn.ANCHORARRAY($B116),$BT:$CA,6,0),
2,_xlfn.ANCHORARRAY(H116)*(1+_xlfn.ANCHORARRAY($D116))*VLOOKUP(I$3&amp;$B$90&amp;_xlfn.ANCHORARRAY($B116),$BT:$CA,7,0))</f>
        <v>11700</v>
      </c>
      <c r="J116" s="59" cm="1">
        <f t="array" aca="1" ref="J116:J129" ca="1">_xlfn.SWITCH(IFERROR(VLOOKUP(J$3&amp;$B$90&amp;_xlfn.ANCHORARRAY($B116),$BT:$CA,5,0),0),
0,_xlfn.ANCHORARRAY(I116)*(1+$D116)+SUMIF($BT:$BT,J$3&amp;$B$90&amp;_xlfn.ANCHORARRAY($B116),$CA:$CA),
1,VLOOKUP(J$3&amp;$B$90&amp;_xlfn.ANCHORARRAY($B116),$BT:$CA,6,0),
2,_xlfn.ANCHORARRAY(I116)*(1+_xlfn.ANCHORARRAY($D116))*VLOOKUP(J$3&amp;$B$90&amp;_xlfn.ANCHORARRAY($B116),$BT:$CA,7,0))</f>
        <v>11700</v>
      </c>
      <c r="K116" s="59" cm="1">
        <f t="array" aca="1" ref="K116:K129" ca="1">_xlfn.SWITCH(IFERROR(VLOOKUP(K$3&amp;$B$90&amp;_xlfn.ANCHORARRAY($B116),$BT:$CA,5,0),0),
0,_xlfn.ANCHORARRAY(J116)*(1+$D116)+SUMIF($BT:$BT,K$3&amp;$B$90&amp;_xlfn.ANCHORARRAY($B116),$CA:$CA),
1,VLOOKUP(K$3&amp;$B$90&amp;_xlfn.ANCHORARRAY($B116),$BT:$CA,6,0),
2,_xlfn.ANCHORARRAY(J116)*(1+_xlfn.ANCHORARRAY($D116))*VLOOKUP(K$3&amp;$B$90&amp;_xlfn.ANCHORARRAY($B116),$BT:$CA,7,0))</f>
        <v>11700</v>
      </c>
      <c r="L116" s="59" cm="1">
        <f t="array" aca="1" ref="L116:L129" ca="1">_xlfn.SWITCH(IFERROR(VLOOKUP(L$3&amp;$B$90&amp;_xlfn.ANCHORARRAY($B116),$BT:$CA,5,0),0),
0,_xlfn.ANCHORARRAY(K116)*(1+$D116)+SUMIF($BT:$BT,L$3&amp;$B$90&amp;_xlfn.ANCHORARRAY($B116),$CA:$CA),
1,VLOOKUP(L$3&amp;$B$90&amp;_xlfn.ANCHORARRAY($B116),$BT:$CA,6,0),
2,_xlfn.ANCHORARRAY(K116)*(1+_xlfn.ANCHORARRAY($D116))*VLOOKUP(L$3&amp;$B$90&amp;_xlfn.ANCHORARRAY($B116),$BT:$CA,7,0))</f>
        <v>11700</v>
      </c>
      <c r="M116" s="59" cm="1">
        <f t="array" aca="1" ref="M116:M129" ca="1">_xlfn.SWITCH(IFERROR(VLOOKUP(M$3&amp;$B$90&amp;_xlfn.ANCHORARRAY($B116),$BT:$CA,5,0),0),
0,_xlfn.ANCHORARRAY(L116)*(1+$D116)+SUMIF($BT:$BT,M$3&amp;$B$90&amp;_xlfn.ANCHORARRAY($B116),$CA:$CA),
1,VLOOKUP(M$3&amp;$B$90&amp;_xlfn.ANCHORARRAY($B116),$BT:$CA,6,0),
2,_xlfn.ANCHORARRAY(L116)*(1+_xlfn.ANCHORARRAY($D116))*VLOOKUP(M$3&amp;$B$90&amp;_xlfn.ANCHORARRAY($B116),$BT:$CA,7,0))</f>
        <v>11700</v>
      </c>
      <c r="N116" s="59" cm="1">
        <f t="array" aca="1" ref="N116:N129" ca="1">_xlfn.SWITCH(IFERROR(VLOOKUP(N$3&amp;$B$90&amp;_xlfn.ANCHORARRAY($B116),$BT:$CA,5,0),0),
0,_xlfn.ANCHORARRAY(M116)*(1+$D116)+SUMIF($BT:$BT,N$3&amp;$B$90&amp;_xlfn.ANCHORARRAY($B116),$CA:$CA),
1,VLOOKUP(N$3&amp;$B$90&amp;_xlfn.ANCHORARRAY($B116),$BT:$CA,6,0),
2,_xlfn.ANCHORARRAY(M116)*(1+_xlfn.ANCHORARRAY($D116))*VLOOKUP(N$3&amp;$B$90&amp;_xlfn.ANCHORARRAY($B116),$BT:$CA,7,0))</f>
        <v>11700</v>
      </c>
      <c r="O116" s="59" cm="1">
        <f t="array" aca="1" ref="O116:O129" ca="1">_xlfn.SWITCH(IFERROR(VLOOKUP(O$3&amp;$B$90&amp;_xlfn.ANCHORARRAY($B116),$BT:$CA,5,0),0),
0,_xlfn.ANCHORARRAY(N116)*(1+$D116)+SUMIF($BT:$BT,O$3&amp;$B$90&amp;_xlfn.ANCHORARRAY($B116),$CA:$CA),
1,VLOOKUP(O$3&amp;$B$90&amp;_xlfn.ANCHORARRAY($B116),$BT:$CA,6,0),
2,_xlfn.ANCHORARRAY(N116)*(1+_xlfn.ANCHORARRAY($D116))*VLOOKUP(O$3&amp;$B$90&amp;_xlfn.ANCHORARRAY($B116),$BT:$CA,7,0))</f>
        <v>11700</v>
      </c>
      <c r="P116" s="59" cm="1">
        <f t="array" aca="1" ref="P116:P129" ca="1">_xlfn.SWITCH(IFERROR(VLOOKUP(P$3&amp;$B$90&amp;_xlfn.ANCHORARRAY($B116),$BT:$CA,5,0),0),
0,_xlfn.ANCHORARRAY(O116)*(1+$D116)+SUMIF($BT:$BT,P$3&amp;$B$90&amp;_xlfn.ANCHORARRAY($B116),$CA:$CA),
1,VLOOKUP(P$3&amp;$B$90&amp;_xlfn.ANCHORARRAY($B116),$BT:$CA,6,0),
2,_xlfn.ANCHORARRAY(O116)*(1+_xlfn.ANCHORARRAY($D116))*VLOOKUP(P$3&amp;$B$90&amp;_xlfn.ANCHORARRAY($B116),$BT:$CA,7,0))</f>
        <v>11700</v>
      </c>
      <c r="Q116" s="59" cm="1">
        <f t="array" aca="1" ref="Q116:Q129" ca="1">_xlfn.SWITCH(IFERROR(VLOOKUP(Q$3&amp;$B$90&amp;_xlfn.ANCHORARRAY($B116),$BT:$CA,5,0),0),
0,_xlfn.ANCHORARRAY(P116)*(1+$D116)+SUMIF($BT:$BT,Q$3&amp;$B$90&amp;_xlfn.ANCHORARRAY($B116),$CA:$CA),
1,VLOOKUP(Q$3&amp;$B$90&amp;_xlfn.ANCHORARRAY($B116),$BT:$CA,6,0),
2,_xlfn.ANCHORARRAY(P116)*(1+_xlfn.ANCHORARRAY($D116))*VLOOKUP(Q$3&amp;$B$90&amp;_xlfn.ANCHORARRAY($B116),$BT:$CA,7,0))</f>
        <v>11700</v>
      </c>
      <c r="R116" s="59" cm="1">
        <f t="array" aca="1" ref="R116:R129" ca="1">_xlfn.SWITCH(IFERROR(VLOOKUP(R$3&amp;$B$90&amp;_xlfn.ANCHORARRAY($B116),$BT:$CA,5,0),0),
0,_xlfn.ANCHORARRAY(Q116)*(1+$D116)+SUMIF($BT:$BT,R$3&amp;$B$90&amp;_xlfn.ANCHORARRAY($B116),$CA:$CA),
1,VLOOKUP(R$3&amp;$B$90&amp;_xlfn.ANCHORARRAY($B116),$BT:$CA,6,0),
2,_xlfn.ANCHORARRAY(Q116)*(1+_xlfn.ANCHORARRAY($D116))*VLOOKUP(R$3&amp;$B$90&amp;_xlfn.ANCHORARRAY($B116),$BT:$CA,7,0))</f>
        <v>11700</v>
      </c>
      <c r="S116" s="59" cm="1">
        <f t="array" aca="1" ref="S116:S129" ca="1">_xlfn.SWITCH(IFERROR(VLOOKUP(S$3&amp;$B$90&amp;_xlfn.ANCHORARRAY($B116),$BT:$CA,5,0),0),
0,_xlfn.ANCHORARRAY(R116)*(1+$D116)+SUMIF($BT:$BT,S$3&amp;$B$90&amp;_xlfn.ANCHORARRAY($B116),$CA:$CA),
1,VLOOKUP(S$3&amp;$B$90&amp;_xlfn.ANCHORARRAY($B116),$BT:$CA,6,0),
2,_xlfn.ANCHORARRAY(R116)*(1+_xlfn.ANCHORARRAY($D116))*VLOOKUP(S$3&amp;$B$90&amp;_xlfn.ANCHORARRAY($B116),$BT:$CA,7,0))</f>
        <v>11700</v>
      </c>
      <c r="T116" s="59" cm="1">
        <f t="array" aca="1" ref="T116:T129" ca="1">_xlfn.SWITCH(IFERROR(VLOOKUP(T$3&amp;$B$90&amp;_xlfn.ANCHORARRAY($B116),$BT:$CA,5,0),0),
0,_xlfn.ANCHORARRAY(S116)*(1+$D116)+SUMIF($BT:$BT,T$3&amp;$B$90&amp;_xlfn.ANCHORARRAY($B116),$CA:$CA),
1,VLOOKUP(T$3&amp;$B$90&amp;_xlfn.ANCHORARRAY($B116),$BT:$CA,6,0),
2,_xlfn.ANCHORARRAY(S116)*(1+_xlfn.ANCHORARRAY($D116))*VLOOKUP(T$3&amp;$B$90&amp;_xlfn.ANCHORARRAY($B116),$BT:$CA,7,0))</f>
        <v>11700</v>
      </c>
      <c r="U116" s="59" cm="1">
        <f t="array" aca="1" ref="U116:U129" ca="1">_xlfn.SWITCH(IFERROR(VLOOKUP(U$3&amp;$B$90&amp;_xlfn.ANCHORARRAY($B116),$BT:$CA,5,0),0),
0,_xlfn.ANCHORARRAY(T116)*(1+$D116)+SUMIF($BT:$BT,U$3&amp;$B$90&amp;_xlfn.ANCHORARRAY($B116),$CA:$CA),
1,VLOOKUP(U$3&amp;$B$90&amp;_xlfn.ANCHORARRAY($B116),$BT:$CA,6,0),
2,_xlfn.ANCHORARRAY(T116)*(1+_xlfn.ANCHORARRAY($D116))*VLOOKUP(U$3&amp;$B$90&amp;_xlfn.ANCHORARRAY($B116),$BT:$CA,7,0))</f>
        <v>11700</v>
      </c>
      <c r="V116" s="59" cm="1">
        <f t="array" aca="1" ref="V116:V129" ca="1">_xlfn.SWITCH(IFERROR(VLOOKUP(V$3&amp;$B$90&amp;_xlfn.ANCHORARRAY($B116),$BT:$CA,5,0),0),
0,_xlfn.ANCHORARRAY(U116)*(1+$D116)+SUMIF($BT:$BT,V$3&amp;$B$90&amp;_xlfn.ANCHORARRAY($B116),$CA:$CA),
1,VLOOKUP(V$3&amp;$B$90&amp;_xlfn.ANCHORARRAY($B116),$BT:$CA,6,0),
2,_xlfn.ANCHORARRAY(U116)*(1+_xlfn.ANCHORARRAY($D116))*VLOOKUP(V$3&amp;$B$90&amp;_xlfn.ANCHORARRAY($B116),$BT:$CA,7,0))</f>
        <v>11700</v>
      </c>
      <c r="W116" s="59" cm="1">
        <f t="array" aca="1" ref="W116:W129" ca="1">_xlfn.SWITCH(IFERROR(VLOOKUP(W$3&amp;$B$90&amp;_xlfn.ANCHORARRAY($B116),$BT:$CA,5,0),0),
0,_xlfn.ANCHORARRAY(V116)*(1+$D116)+SUMIF($BT:$BT,W$3&amp;$B$90&amp;_xlfn.ANCHORARRAY($B116),$CA:$CA),
1,VLOOKUP(W$3&amp;$B$90&amp;_xlfn.ANCHORARRAY($B116),$BT:$CA,6,0),
2,_xlfn.ANCHORARRAY(V116)*(1+_xlfn.ANCHORARRAY($D116))*VLOOKUP(W$3&amp;$B$90&amp;_xlfn.ANCHORARRAY($B116),$BT:$CA,7,0))</f>
        <v>11700</v>
      </c>
      <c r="X116" s="59" cm="1">
        <f t="array" aca="1" ref="X116:X129" ca="1">_xlfn.SWITCH(IFERROR(VLOOKUP(X$3&amp;$B$90&amp;_xlfn.ANCHORARRAY($B116),$BT:$CA,5,0),0),
0,_xlfn.ANCHORARRAY(W116)*(1+$D116)+SUMIF($BT:$BT,X$3&amp;$B$90&amp;_xlfn.ANCHORARRAY($B116),$CA:$CA),
1,VLOOKUP(X$3&amp;$B$90&amp;_xlfn.ANCHORARRAY($B116),$BT:$CA,6,0),
2,_xlfn.ANCHORARRAY(W116)*(1+_xlfn.ANCHORARRAY($D116))*VLOOKUP(X$3&amp;$B$90&amp;_xlfn.ANCHORARRAY($B116),$BT:$CA,7,0))</f>
        <v>11700</v>
      </c>
      <c r="Y116" s="59" cm="1">
        <f t="array" aca="1" ref="Y116:Y129" ca="1">_xlfn.SWITCH(IFERROR(VLOOKUP(Y$3&amp;$B$90&amp;_xlfn.ANCHORARRAY($B116),$BT:$CA,5,0),0),
0,_xlfn.ANCHORARRAY(X116)*(1+$D116)+SUMIF($BT:$BT,Y$3&amp;$B$90&amp;_xlfn.ANCHORARRAY($B116),$CA:$CA),
1,VLOOKUP(Y$3&amp;$B$90&amp;_xlfn.ANCHORARRAY($B116),$BT:$CA,6,0),
2,_xlfn.ANCHORARRAY(X116)*(1+_xlfn.ANCHORARRAY($D116))*VLOOKUP(Y$3&amp;$B$90&amp;_xlfn.ANCHORARRAY($B116),$BT:$CA,7,0))</f>
        <v>11700</v>
      </c>
      <c r="Z116" s="59" cm="1">
        <f t="array" aca="1" ref="Z116:Z129" ca="1">_xlfn.SWITCH(IFERROR(VLOOKUP(Z$3&amp;$B$90&amp;_xlfn.ANCHORARRAY($B116),$BT:$CA,5,0),0),
0,_xlfn.ANCHORARRAY(Y116)*(1+$D116)+SUMIF($BT:$BT,Z$3&amp;$B$90&amp;_xlfn.ANCHORARRAY($B116),$CA:$CA),
1,VLOOKUP(Z$3&amp;$B$90&amp;_xlfn.ANCHORARRAY($B116),$BT:$CA,6,0),
2,_xlfn.ANCHORARRAY(Y116)*(1+_xlfn.ANCHORARRAY($D116))*VLOOKUP(Z$3&amp;$B$90&amp;_xlfn.ANCHORARRAY($B116),$BT:$CA,7,0))</f>
        <v>11700</v>
      </c>
      <c r="AA116" s="59" cm="1">
        <f t="array" aca="1" ref="AA116:AA129" ca="1">_xlfn.SWITCH(IFERROR(VLOOKUP(AA$3&amp;$B$90&amp;_xlfn.ANCHORARRAY($B116),$BT:$CA,5,0),0),
0,_xlfn.ANCHORARRAY(Z116)*(1+$D116)+SUMIF($BT:$BT,AA$3&amp;$B$90&amp;_xlfn.ANCHORARRAY($B116),$CA:$CA),
1,VLOOKUP(AA$3&amp;$B$90&amp;_xlfn.ANCHORARRAY($B116),$BT:$CA,6,0),
2,_xlfn.ANCHORARRAY(Z116)*(1+_xlfn.ANCHORARRAY($D116))*VLOOKUP(AA$3&amp;$B$90&amp;_xlfn.ANCHORARRAY($B116),$BT:$CA,7,0))</f>
        <v>11700</v>
      </c>
      <c r="AB116" s="59" cm="1">
        <f t="array" aca="1" ref="AB116:AB129" ca="1">_xlfn.SWITCH(IFERROR(VLOOKUP(AB$3&amp;$B$90&amp;_xlfn.ANCHORARRAY($B116),$BT:$CA,5,0),0),
0,_xlfn.ANCHORARRAY(AA116)*(1+$D116)+SUMIF($BT:$BT,AB$3&amp;$B$90&amp;_xlfn.ANCHORARRAY($B116),$CA:$CA),
1,VLOOKUP(AB$3&amp;$B$90&amp;_xlfn.ANCHORARRAY($B116),$BT:$CA,6,0),
2,_xlfn.ANCHORARRAY(AA116)*(1+_xlfn.ANCHORARRAY($D116))*VLOOKUP(AB$3&amp;$B$90&amp;_xlfn.ANCHORARRAY($B116),$BT:$CA,7,0))</f>
        <v>11700</v>
      </c>
      <c r="AC116" s="59" cm="1">
        <f t="array" aca="1" ref="AC116:AC129" ca="1">_xlfn.SWITCH(IFERROR(VLOOKUP(AC$3&amp;$B$90&amp;_xlfn.ANCHORARRAY($B116),$BT:$CA,5,0),0),
0,_xlfn.ANCHORARRAY(AB116)*(1+$D116)+SUMIF($BT:$BT,AC$3&amp;$B$90&amp;_xlfn.ANCHORARRAY($B116),$CA:$CA),
1,VLOOKUP(AC$3&amp;$B$90&amp;_xlfn.ANCHORARRAY($B116),$BT:$CA,6,0),
2,_xlfn.ANCHORARRAY(AB116)*(1+_xlfn.ANCHORARRAY($D116))*VLOOKUP(AC$3&amp;$B$90&amp;_xlfn.ANCHORARRAY($B116),$BT:$CA,7,0))</f>
        <v>11700</v>
      </c>
      <c r="AD116" s="59" cm="1">
        <f t="array" aca="1" ref="AD116:AD129" ca="1">_xlfn.SWITCH(IFERROR(VLOOKUP(AD$3&amp;$B$90&amp;_xlfn.ANCHORARRAY($B116),$BT:$CA,5,0),0),
0,_xlfn.ANCHORARRAY(AC116)*(1+$D116)+SUMIF($BT:$BT,AD$3&amp;$B$90&amp;_xlfn.ANCHORARRAY($B116),$CA:$CA),
1,VLOOKUP(AD$3&amp;$B$90&amp;_xlfn.ANCHORARRAY($B116),$BT:$CA,6,0),
2,_xlfn.ANCHORARRAY(AC116)*(1+_xlfn.ANCHORARRAY($D116))*VLOOKUP(AD$3&amp;$B$90&amp;_xlfn.ANCHORARRAY($B116),$BT:$CA,7,0))</f>
        <v>11700</v>
      </c>
      <c r="AE116" s="59" cm="1">
        <f t="array" aca="1" ref="AE116:AE129" ca="1">_xlfn.SWITCH(IFERROR(VLOOKUP(AE$3&amp;$B$90&amp;_xlfn.ANCHORARRAY($B116),$BT:$CA,5,0),0),
0,_xlfn.ANCHORARRAY(AD116)*(1+$D116)+SUMIF($BT:$BT,AE$3&amp;$B$90&amp;_xlfn.ANCHORARRAY($B116),$CA:$CA),
1,VLOOKUP(AE$3&amp;$B$90&amp;_xlfn.ANCHORARRAY($B116),$BT:$CA,6,0),
2,_xlfn.ANCHORARRAY(AD116)*(1+_xlfn.ANCHORARRAY($D116))*VLOOKUP(AE$3&amp;$B$90&amp;_xlfn.ANCHORARRAY($B116),$BT:$CA,7,0))</f>
        <v>11700</v>
      </c>
      <c r="AF116" s="59" cm="1">
        <f t="array" aca="1" ref="AF116:AF129" ca="1">_xlfn.SWITCH(IFERROR(VLOOKUP(AF$3&amp;$B$90&amp;_xlfn.ANCHORARRAY($B116),$BT:$CA,5,0),0),
0,_xlfn.ANCHORARRAY(AE116)*(1+$D116)+SUMIF($BT:$BT,AF$3&amp;$B$90&amp;_xlfn.ANCHORARRAY($B116),$CA:$CA),
1,VLOOKUP(AF$3&amp;$B$90&amp;_xlfn.ANCHORARRAY($B116),$BT:$CA,6,0),
2,_xlfn.ANCHORARRAY(AE116)*(1+_xlfn.ANCHORARRAY($D116))*VLOOKUP(AF$3&amp;$B$90&amp;_xlfn.ANCHORARRAY($B116),$BT:$CA,7,0))</f>
        <v>11700</v>
      </c>
      <c r="AG116" s="59" cm="1">
        <f t="array" aca="1" ref="AG116:AG129" ca="1">_xlfn.SWITCH(IFERROR(VLOOKUP(AG$3&amp;$B$90&amp;_xlfn.ANCHORARRAY($B116),$BT:$CA,5,0),0),
0,_xlfn.ANCHORARRAY(AF116)*(1+$D116)+SUMIF($BT:$BT,AG$3&amp;$B$90&amp;_xlfn.ANCHORARRAY($B116),$CA:$CA),
1,VLOOKUP(AG$3&amp;$B$90&amp;_xlfn.ANCHORARRAY($B116),$BT:$CA,6,0),
2,_xlfn.ANCHORARRAY(AF116)*(1+_xlfn.ANCHORARRAY($D116))*VLOOKUP(AG$3&amp;$B$90&amp;_xlfn.ANCHORARRAY($B116),$BT:$CA,7,0))</f>
        <v>11700</v>
      </c>
      <c r="AH116" s="59" cm="1">
        <f t="array" aca="1" ref="AH116:AH129" ca="1">_xlfn.SWITCH(IFERROR(VLOOKUP(AH$3&amp;$B$90&amp;_xlfn.ANCHORARRAY($B116),$BT:$CA,5,0),0),
0,_xlfn.ANCHORARRAY(AG116)*(1+$D116)+SUMIF($BT:$BT,AH$3&amp;$B$90&amp;_xlfn.ANCHORARRAY($B116),$CA:$CA),
1,VLOOKUP(AH$3&amp;$B$90&amp;_xlfn.ANCHORARRAY($B116),$BT:$CA,6,0),
2,_xlfn.ANCHORARRAY(AG116)*(1+_xlfn.ANCHORARRAY($D116))*VLOOKUP(AH$3&amp;$B$90&amp;_xlfn.ANCHORARRAY($B116),$BT:$CA,7,0))</f>
        <v>11700</v>
      </c>
      <c r="AI116" s="59" cm="1">
        <f t="array" aca="1" ref="AI116:AI129" ca="1">_xlfn.SWITCH(IFERROR(VLOOKUP(AI$3&amp;$B$90&amp;_xlfn.ANCHORARRAY($B116),$BT:$CA,5,0),0),
0,_xlfn.ANCHORARRAY(AH116)*(1+$D116)+SUMIF($BT:$BT,AI$3&amp;$B$90&amp;_xlfn.ANCHORARRAY($B116),$CA:$CA),
1,VLOOKUP(AI$3&amp;$B$90&amp;_xlfn.ANCHORARRAY($B116),$BT:$CA,6,0),
2,_xlfn.ANCHORARRAY(AH116)*(1+_xlfn.ANCHORARRAY($D116))*VLOOKUP(AI$3&amp;$B$90&amp;_xlfn.ANCHORARRAY($B116),$BT:$CA,7,0))</f>
        <v>11700</v>
      </c>
      <c r="AJ116" s="59" cm="1">
        <f t="array" aca="1" ref="AJ116:AJ129" ca="1">_xlfn.SWITCH(IFERROR(VLOOKUP(AJ$3&amp;$B$90&amp;_xlfn.ANCHORARRAY($B116),$BT:$CA,5,0),0),
0,_xlfn.ANCHORARRAY(AI116)*(1+$D116)+SUMIF($BT:$BT,AJ$3&amp;$B$90&amp;_xlfn.ANCHORARRAY($B116),$CA:$CA),
1,VLOOKUP(AJ$3&amp;$B$90&amp;_xlfn.ANCHORARRAY($B116),$BT:$CA,6,0),
2,_xlfn.ANCHORARRAY(AI116)*(1+_xlfn.ANCHORARRAY($D116))*VLOOKUP(AJ$3&amp;$B$90&amp;_xlfn.ANCHORARRAY($B116),$BT:$CA,7,0))</f>
        <v>11700</v>
      </c>
      <c r="AK116" s="59" cm="1">
        <f t="array" aca="1" ref="AK116:AK129" ca="1">_xlfn.SWITCH(IFERROR(VLOOKUP(AK$3&amp;$B$90&amp;_xlfn.ANCHORARRAY($B116),$BT:$CA,5,0),0),
0,_xlfn.ANCHORARRAY(AJ116)*(1+$D116)+SUMIF($BT:$BT,AK$3&amp;$B$90&amp;_xlfn.ANCHORARRAY($B116),$CA:$CA),
1,VLOOKUP(AK$3&amp;$B$90&amp;_xlfn.ANCHORARRAY($B116),$BT:$CA,6,0),
2,_xlfn.ANCHORARRAY(AJ116)*(1+_xlfn.ANCHORARRAY($D116))*VLOOKUP(AK$3&amp;$B$90&amp;_xlfn.ANCHORARRAY($B116),$BT:$CA,7,0))</f>
        <v>11700</v>
      </c>
      <c r="AL116" s="59" cm="1">
        <f t="array" aca="1" ref="AL116:AL129" ca="1">_xlfn.SWITCH(IFERROR(VLOOKUP(AL$3&amp;$B$90&amp;_xlfn.ANCHORARRAY($B116),$BT:$CA,5,0),0),
0,_xlfn.ANCHORARRAY(AK116)*(1+$D116)+SUMIF($BT:$BT,AL$3&amp;$B$90&amp;_xlfn.ANCHORARRAY($B116),$CA:$CA),
1,VLOOKUP(AL$3&amp;$B$90&amp;_xlfn.ANCHORARRAY($B116),$BT:$CA,6,0),
2,_xlfn.ANCHORARRAY(AK116)*(1+_xlfn.ANCHORARRAY($D116))*VLOOKUP(AL$3&amp;$B$90&amp;_xlfn.ANCHORARRAY($B116),$BT:$CA,7,0))</f>
        <v>11700</v>
      </c>
      <c r="AM116" s="59" cm="1">
        <f t="array" aca="1" ref="AM116:AM129" ca="1">_xlfn.SWITCH(IFERROR(VLOOKUP(AM$3&amp;$B$90&amp;_xlfn.ANCHORARRAY($B116),$BT:$CA,5,0),0),
0,_xlfn.ANCHORARRAY(AL116)*(1+$D116)+SUMIF($BT:$BT,AM$3&amp;$B$90&amp;_xlfn.ANCHORARRAY($B116),$CA:$CA),
1,VLOOKUP(AM$3&amp;$B$90&amp;_xlfn.ANCHORARRAY($B116),$BT:$CA,6,0),
2,_xlfn.ANCHORARRAY(AL116)*(1+_xlfn.ANCHORARRAY($D116))*VLOOKUP(AM$3&amp;$B$90&amp;_xlfn.ANCHORARRAY($B116),$BT:$CA,7,0))</f>
        <v>11700</v>
      </c>
      <c r="AN116" s="59" cm="1">
        <f t="array" aca="1" ref="AN116:AN129" ca="1">_xlfn.SWITCH(IFERROR(VLOOKUP(AN$3&amp;$B$90&amp;_xlfn.ANCHORARRAY($B116),$BT:$CA,5,0),0),
0,_xlfn.ANCHORARRAY(AM116)*(1+$D116)+SUMIF($BT:$BT,AN$3&amp;$B$90&amp;_xlfn.ANCHORARRAY($B116),$CA:$CA),
1,VLOOKUP(AN$3&amp;$B$90&amp;_xlfn.ANCHORARRAY($B116),$BT:$CA,6,0),
2,_xlfn.ANCHORARRAY(AM116)*(1+_xlfn.ANCHORARRAY($D116))*VLOOKUP(AN$3&amp;$B$90&amp;_xlfn.ANCHORARRAY($B116),$BT:$CA,7,0))</f>
        <v>11700</v>
      </c>
      <c r="AO116" s="59" cm="1">
        <f t="array" aca="1" ref="AO116:AO129" ca="1">_xlfn.SWITCH(IFERROR(VLOOKUP(AO$3&amp;$B$90&amp;_xlfn.ANCHORARRAY($B116),$BT:$CA,5,0),0),
0,_xlfn.ANCHORARRAY(AN116)*(1+$D116)+SUMIF($BT:$BT,AO$3&amp;$B$90&amp;_xlfn.ANCHORARRAY($B116),$CA:$CA),
1,VLOOKUP(AO$3&amp;$B$90&amp;_xlfn.ANCHORARRAY($B116),$BT:$CA,6,0),
2,_xlfn.ANCHORARRAY(AN116)*(1+_xlfn.ANCHORARRAY($D116))*VLOOKUP(AO$3&amp;$B$90&amp;_xlfn.ANCHORARRAY($B116),$BT:$CA,7,0))</f>
        <v>11700</v>
      </c>
      <c r="AP116" s="59" cm="1">
        <f t="array" aca="1" ref="AP116:AP129" ca="1">_xlfn.SWITCH(IFERROR(VLOOKUP(AP$3&amp;$B$90&amp;_xlfn.ANCHORARRAY($B116),$BT:$CA,5,0),0),
0,_xlfn.ANCHORARRAY(AO116)*(1+$D116)+SUMIF($BT:$BT,AP$3&amp;$B$90&amp;_xlfn.ANCHORARRAY($B116),$CA:$CA),
1,VLOOKUP(AP$3&amp;$B$90&amp;_xlfn.ANCHORARRAY($B116),$BT:$CA,6,0),
2,_xlfn.ANCHORARRAY(AO116)*(1+_xlfn.ANCHORARRAY($D116))*VLOOKUP(AP$3&amp;$B$90&amp;_xlfn.ANCHORARRAY($B116),$BT:$CA,7,0))</f>
        <v>11700</v>
      </c>
      <c r="AQ116" s="59" cm="1">
        <f t="array" aca="1" ref="AQ116:AQ129" ca="1">_xlfn.SWITCH(IFERROR(VLOOKUP(AQ$3&amp;$B$90&amp;_xlfn.ANCHORARRAY($B116),$BT:$CA,5,0),0),
0,_xlfn.ANCHORARRAY(AP116)*(1+$D116)+SUMIF($BT:$BT,AQ$3&amp;$B$90&amp;_xlfn.ANCHORARRAY($B116),$CA:$CA),
1,VLOOKUP(AQ$3&amp;$B$90&amp;_xlfn.ANCHORARRAY($B116),$BT:$CA,6,0),
2,_xlfn.ANCHORARRAY(AP116)*(1+_xlfn.ANCHORARRAY($D116))*VLOOKUP(AQ$3&amp;$B$90&amp;_xlfn.ANCHORARRAY($B116),$BT:$CA,7,0))</f>
        <v>11700</v>
      </c>
      <c r="AR116" s="59" cm="1">
        <f t="array" aca="1" ref="AR116:AR129" ca="1">_xlfn.SWITCH(IFERROR(VLOOKUP(AR$3&amp;$B$90&amp;_xlfn.ANCHORARRAY($B116),$BT:$CA,5,0),0),
0,_xlfn.ANCHORARRAY(AQ116)*(1+$D116)+SUMIF($BT:$BT,AR$3&amp;$B$90&amp;_xlfn.ANCHORARRAY($B116),$CA:$CA),
1,VLOOKUP(AR$3&amp;$B$90&amp;_xlfn.ANCHORARRAY($B116),$BT:$CA,6,0),
2,_xlfn.ANCHORARRAY(AQ116)*(1+_xlfn.ANCHORARRAY($D116))*VLOOKUP(AR$3&amp;$B$90&amp;_xlfn.ANCHORARRAY($B116),$BT:$CA,7,0))</f>
        <v>11700</v>
      </c>
      <c r="AS116" s="59" cm="1">
        <f t="array" aca="1" ref="AS116:AS129" ca="1">_xlfn.SWITCH(IFERROR(VLOOKUP(AS$3&amp;$B$90&amp;_xlfn.ANCHORARRAY($B116),$BT:$CA,5,0),0),
0,_xlfn.ANCHORARRAY(AR116)*(1+$D116)+SUMIF($BT:$BT,AS$3&amp;$B$90&amp;_xlfn.ANCHORARRAY($B116),$CA:$CA),
1,VLOOKUP(AS$3&amp;$B$90&amp;_xlfn.ANCHORARRAY($B116),$BT:$CA,6,0),
2,_xlfn.ANCHORARRAY(AR116)*(1+_xlfn.ANCHORARRAY($D116))*VLOOKUP(AS$3&amp;$B$90&amp;_xlfn.ANCHORARRAY($B116),$BT:$CA,7,0))</f>
        <v>11700</v>
      </c>
      <c r="AT116" s="59" cm="1">
        <f t="array" aca="1" ref="AT116:AT129" ca="1">_xlfn.SWITCH(IFERROR(VLOOKUP(AT$3&amp;$B$90&amp;_xlfn.ANCHORARRAY($B116),$BT:$CA,5,0),0),
0,_xlfn.ANCHORARRAY(AS116)*(1+$D116)+SUMIF($BT:$BT,AT$3&amp;$B$90&amp;_xlfn.ANCHORARRAY($B116),$CA:$CA),
1,VLOOKUP(AT$3&amp;$B$90&amp;_xlfn.ANCHORARRAY($B116),$BT:$CA,6,0),
2,_xlfn.ANCHORARRAY(AS116)*(1+_xlfn.ANCHORARRAY($D116))*VLOOKUP(AT$3&amp;$B$90&amp;_xlfn.ANCHORARRAY($B116),$BT:$CA,7,0))</f>
        <v>11700</v>
      </c>
      <c r="AU116" s="59" cm="1">
        <f t="array" aca="1" ref="AU116:AU129" ca="1">_xlfn.SWITCH(IFERROR(VLOOKUP(AU$3&amp;$B$90&amp;_xlfn.ANCHORARRAY($B116),$BT:$CA,5,0),0),
0,_xlfn.ANCHORARRAY(AT116)*(1+$D116)+SUMIF($BT:$BT,AU$3&amp;$B$90&amp;_xlfn.ANCHORARRAY($B116),$CA:$CA),
1,VLOOKUP(AU$3&amp;$B$90&amp;_xlfn.ANCHORARRAY($B116),$BT:$CA,6,0),
2,_xlfn.ANCHORARRAY(AT116)*(1+_xlfn.ANCHORARRAY($D116))*VLOOKUP(AU$3&amp;$B$90&amp;_xlfn.ANCHORARRAY($B116),$BT:$CA,7,0))</f>
        <v>11700</v>
      </c>
      <c r="AV116" s="59" cm="1">
        <f t="array" aca="1" ref="AV116:AV129" ca="1">_xlfn.SWITCH(IFERROR(VLOOKUP(AV$3&amp;$B$90&amp;_xlfn.ANCHORARRAY($B116),$BT:$CA,5,0),0),
0,_xlfn.ANCHORARRAY(AU116)*(1+$D116)+SUMIF($BT:$BT,AV$3&amp;$B$90&amp;_xlfn.ANCHORARRAY($B116),$CA:$CA),
1,VLOOKUP(AV$3&amp;$B$90&amp;_xlfn.ANCHORARRAY($B116),$BT:$CA,6,0),
2,_xlfn.ANCHORARRAY(AU116)*(1+_xlfn.ANCHORARRAY($D116))*VLOOKUP(AV$3&amp;$B$90&amp;_xlfn.ANCHORARRAY($B116),$BT:$CA,7,0))</f>
        <v>11700</v>
      </c>
      <c r="AW116" s="59" cm="1">
        <f t="array" aca="1" ref="AW116:AW129" ca="1">_xlfn.SWITCH(IFERROR(VLOOKUP(AW$3&amp;$B$90&amp;_xlfn.ANCHORARRAY($B116),$BT:$CA,5,0),0),
0,_xlfn.ANCHORARRAY(AV116)*(1+$D116)+SUMIF($BT:$BT,AW$3&amp;$B$90&amp;_xlfn.ANCHORARRAY($B116),$CA:$CA),
1,VLOOKUP(AW$3&amp;$B$90&amp;_xlfn.ANCHORARRAY($B116),$BT:$CA,6,0),
2,_xlfn.ANCHORARRAY(AV116)*(1+_xlfn.ANCHORARRAY($D116))*VLOOKUP(AW$3&amp;$B$90&amp;_xlfn.ANCHORARRAY($B116),$BT:$CA,7,0))</f>
        <v>11700</v>
      </c>
      <c r="AX116" s="59" cm="1">
        <f t="array" aca="1" ref="AX116:AX129" ca="1">_xlfn.SWITCH(IFERROR(VLOOKUP(AX$3&amp;$B$90&amp;_xlfn.ANCHORARRAY($B116),$BT:$CA,5,0),0),
0,_xlfn.ANCHORARRAY(AW116)*(1+$D116)+SUMIF($BT:$BT,AX$3&amp;$B$90&amp;_xlfn.ANCHORARRAY($B116),$CA:$CA),
1,VLOOKUP(AX$3&amp;$B$90&amp;_xlfn.ANCHORARRAY($B116),$BT:$CA,6,0),
2,_xlfn.ANCHORARRAY(AW116)*(1+_xlfn.ANCHORARRAY($D116))*VLOOKUP(AX$3&amp;$B$90&amp;_xlfn.ANCHORARRAY($B116),$BT:$CA,7,0))</f>
        <v>11700</v>
      </c>
      <c r="AY116" s="59" cm="1">
        <f t="array" aca="1" ref="AY116:AY129" ca="1">_xlfn.SWITCH(IFERROR(VLOOKUP(AY$3&amp;$B$90&amp;_xlfn.ANCHORARRAY($B116),$BT:$CA,5,0),0),
0,_xlfn.ANCHORARRAY(AX116)*(1+$D116)+SUMIF($BT:$BT,AY$3&amp;$B$90&amp;_xlfn.ANCHORARRAY($B116),$CA:$CA),
1,VLOOKUP(AY$3&amp;$B$90&amp;_xlfn.ANCHORARRAY($B116),$BT:$CA,6,0),
2,_xlfn.ANCHORARRAY(AX116)*(1+_xlfn.ANCHORARRAY($D116))*VLOOKUP(AY$3&amp;$B$90&amp;_xlfn.ANCHORARRAY($B116),$BT:$CA,7,0))</f>
        <v>11700</v>
      </c>
      <c r="AZ116" s="59" cm="1">
        <f t="array" aca="1" ref="AZ116:AZ129" ca="1">_xlfn.SWITCH(IFERROR(VLOOKUP(AZ$3&amp;$B$90&amp;_xlfn.ANCHORARRAY($B116),$BT:$CA,5,0),0),
0,_xlfn.ANCHORARRAY(AY116)*(1+$D116)+SUMIF($BT:$BT,AZ$3&amp;$B$90&amp;_xlfn.ANCHORARRAY($B116),$CA:$CA),
1,VLOOKUP(AZ$3&amp;$B$90&amp;_xlfn.ANCHORARRAY($B116),$BT:$CA,6,0),
2,_xlfn.ANCHORARRAY(AY116)*(1+_xlfn.ANCHORARRAY($D116))*VLOOKUP(AZ$3&amp;$B$90&amp;_xlfn.ANCHORARRAY($B116),$BT:$CA,7,0))</f>
        <v>11700</v>
      </c>
      <c r="BA116" s="59" cm="1">
        <f t="array" aca="1" ref="BA116:BA129" ca="1">_xlfn.SWITCH(IFERROR(VLOOKUP(BA$3&amp;$B$90&amp;_xlfn.ANCHORARRAY($B116),$BT:$CA,5,0),0),
0,_xlfn.ANCHORARRAY(AZ116)*(1+$D116)+SUMIF($BT:$BT,BA$3&amp;$B$90&amp;_xlfn.ANCHORARRAY($B116),$CA:$CA),
1,VLOOKUP(BA$3&amp;$B$90&amp;_xlfn.ANCHORARRAY($B116),$BT:$CA,6,0),
2,_xlfn.ANCHORARRAY(AZ116)*(1+_xlfn.ANCHORARRAY($D116))*VLOOKUP(BA$3&amp;$B$90&amp;_xlfn.ANCHORARRAY($B116),$BT:$CA,7,0))</f>
        <v>11700</v>
      </c>
      <c r="BS116" s="5">
        <f t="shared" si="23"/>
        <v>1048495</v>
      </c>
      <c r="BT116" s="5" t="str">
        <f t="shared" si="38"/>
        <v/>
      </c>
      <c r="CD116" s="5" t="e">
        <f t="shared" ca="1" si="26"/>
        <v>#REF!</v>
      </c>
      <c r="CE116" s="5" t="e">
        <f t="shared" ca="1" si="27"/>
        <v>#REF!</v>
      </c>
      <c r="CF116" s="5" t="e">
        <f t="shared" ca="1" si="25"/>
        <v>#REF!</v>
      </c>
      <c r="CG116" s="5"/>
    </row>
    <row r="117" spans="1:85" x14ac:dyDescent="0.25">
      <c r="A117" s="57" t="str">
        <f ca="1"/>
        <v>Liegenschaftsk. Pasadena (20% Mietwert)</v>
      </c>
      <c r="B117" s="57">
        <f ca="1"/>
        <v>3</v>
      </c>
      <c r="C117" s="53" t="str">
        <f ca="1"/>
        <v>Sheldon</v>
      </c>
      <c r="D117" s="54"/>
      <c r="E117" s="63"/>
      <c r="F117" s="59">
        <f ca="1"/>
        <v>-2340</v>
      </c>
      <c r="G117" s="59">
        <f ca="1"/>
        <v>-2340</v>
      </c>
      <c r="H117" s="59">
        <f ca="1"/>
        <v>-2340</v>
      </c>
      <c r="I117" s="59">
        <f ca="1"/>
        <v>-2340</v>
      </c>
      <c r="J117" s="59">
        <f ca="1"/>
        <v>-2340</v>
      </c>
      <c r="K117" s="59">
        <f ca="1"/>
        <v>-2340</v>
      </c>
      <c r="L117" s="59">
        <f ca="1"/>
        <v>-2340</v>
      </c>
      <c r="M117" s="59">
        <f ca="1"/>
        <v>-2340</v>
      </c>
      <c r="N117" s="59">
        <f ca="1"/>
        <v>-2340</v>
      </c>
      <c r="O117" s="59">
        <f ca="1"/>
        <v>-2340</v>
      </c>
      <c r="P117" s="59">
        <f ca="1"/>
        <v>-2340</v>
      </c>
      <c r="Q117" s="59">
        <f ca="1"/>
        <v>-2340</v>
      </c>
      <c r="R117" s="59">
        <f ca="1"/>
        <v>-2340</v>
      </c>
      <c r="S117" s="59">
        <f ca="1"/>
        <v>-2340</v>
      </c>
      <c r="T117" s="59">
        <f ca="1"/>
        <v>-2340</v>
      </c>
      <c r="U117" s="59">
        <f ca="1"/>
        <v>-2340</v>
      </c>
      <c r="V117" s="59">
        <f ca="1"/>
        <v>-2340</v>
      </c>
      <c r="W117" s="59">
        <f ca="1"/>
        <v>-2340</v>
      </c>
      <c r="X117" s="59">
        <f ca="1"/>
        <v>-2340</v>
      </c>
      <c r="Y117" s="59">
        <f ca="1"/>
        <v>-2340</v>
      </c>
      <c r="Z117" s="59">
        <f ca="1"/>
        <v>-2340</v>
      </c>
      <c r="AA117" s="59">
        <f ca="1"/>
        <v>-2340</v>
      </c>
      <c r="AB117" s="59">
        <f ca="1"/>
        <v>-2340</v>
      </c>
      <c r="AC117" s="59">
        <f ca="1"/>
        <v>-2340</v>
      </c>
      <c r="AD117" s="59">
        <f ca="1"/>
        <v>-2340</v>
      </c>
      <c r="AE117" s="59">
        <f ca="1"/>
        <v>-2340</v>
      </c>
      <c r="AF117" s="59">
        <f ca="1"/>
        <v>-2340</v>
      </c>
      <c r="AG117" s="59">
        <f ca="1"/>
        <v>-2340</v>
      </c>
      <c r="AH117" s="59">
        <f ca="1"/>
        <v>-2340</v>
      </c>
      <c r="AI117" s="59">
        <f ca="1"/>
        <v>-2340</v>
      </c>
      <c r="AJ117" s="59">
        <f ca="1"/>
        <v>-2340</v>
      </c>
      <c r="AK117" s="59">
        <f ca="1"/>
        <v>-2340</v>
      </c>
      <c r="AL117" s="59">
        <f ca="1"/>
        <v>-2340</v>
      </c>
      <c r="AM117" s="59">
        <f ca="1"/>
        <v>-2340</v>
      </c>
      <c r="AN117" s="59">
        <f ca="1"/>
        <v>-2340</v>
      </c>
      <c r="AO117" s="59">
        <f ca="1"/>
        <v>-2340</v>
      </c>
      <c r="AP117" s="59">
        <f ca="1"/>
        <v>-2340</v>
      </c>
      <c r="AQ117" s="59">
        <f ca="1"/>
        <v>-2340</v>
      </c>
      <c r="AR117" s="59">
        <f ca="1"/>
        <v>-2340</v>
      </c>
      <c r="AS117" s="59">
        <f ca="1"/>
        <v>-2340</v>
      </c>
      <c r="AT117" s="59">
        <f ca="1"/>
        <v>-2340</v>
      </c>
      <c r="AU117" s="59">
        <f ca="1"/>
        <v>-2340</v>
      </c>
      <c r="AV117" s="59">
        <f ca="1"/>
        <v>-2340</v>
      </c>
      <c r="AW117" s="59">
        <f ca="1"/>
        <v>-2340</v>
      </c>
      <c r="AX117" s="59">
        <f ca="1"/>
        <v>-2340</v>
      </c>
      <c r="AY117" s="59">
        <f ca="1"/>
        <v>-2340</v>
      </c>
      <c r="AZ117" s="59">
        <f ca="1"/>
        <v>-2340</v>
      </c>
      <c r="BA117" s="59">
        <f ca="1"/>
        <v>-2340</v>
      </c>
      <c r="BS117" s="5">
        <f t="shared" si="23"/>
        <v>1048495</v>
      </c>
      <c r="BT117" s="5" t="str">
        <f t="shared" si="38"/>
        <v/>
      </c>
      <c r="CD117" s="5" t="e">
        <f t="shared" ca="1" si="26"/>
        <v>#REF!</v>
      </c>
      <c r="CE117" s="5" t="e">
        <f t="shared" ca="1" si="27"/>
        <v>#REF!</v>
      </c>
      <c r="CF117" s="5" t="e">
        <f t="shared" ca="1" si="25"/>
        <v>#REF!</v>
      </c>
      <c r="CG117" s="5"/>
    </row>
    <row r="118" spans="1:85" x14ac:dyDescent="0.25">
      <c r="A118" s="57" t="str">
        <f ca="1"/>
        <v>Liegenschaftssteuer Pasadena</v>
      </c>
      <c r="B118" s="57">
        <f ca="1"/>
        <v>5</v>
      </c>
      <c r="C118" s="53" t="str">
        <f ca="1"/>
        <v>Sheldon</v>
      </c>
      <c r="D118" s="54"/>
      <c r="E118" s="63"/>
      <c r="F118" s="59">
        <f ca="1"/>
        <v>-281</v>
      </c>
      <c r="G118" s="59">
        <f ca="1"/>
        <v>-281</v>
      </c>
      <c r="H118" s="59">
        <f ca="1"/>
        <v>-281</v>
      </c>
      <c r="I118" s="59">
        <f ca="1"/>
        <v>-281</v>
      </c>
      <c r="J118" s="59">
        <f ca="1"/>
        <v>-281</v>
      </c>
      <c r="K118" s="59">
        <f ca="1"/>
        <v>-281</v>
      </c>
      <c r="L118" s="59">
        <f ca="1"/>
        <v>-281</v>
      </c>
      <c r="M118" s="59">
        <f ca="1"/>
        <v>-281</v>
      </c>
      <c r="N118" s="59">
        <f ca="1"/>
        <v>-281</v>
      </c>
      <c r="O118" s="59">
        <f ca="1"/>
        <v>-281</v>
      </c>
      <c r="P118" s="59">
        <f ca="1"/>
        <v>-281</v>
      </c>
      <c r="Q118" s="59">
        <f ca="1"/>
        <v>-281</v>
      </c>
      <c r="R118" s="59">
        <f ca="1"/>
        <v>-281</v>
      </c>
      <c r="S118" s="59">
        <f ca="1"/>
        <v>-281</v>
      </c>
      <c r="T118" s="59">
        <f ca="1"/>
        <v>-281</v>
      </c>
      <c r="U118" s="59">
        <f ca="1"/>
        <v>-281</v>
      </c>
      <c r="V118" s="59">
        <f ca="1"/>
        <v>-281</v>
      </c>
      <c r="W118" s="59">
        <f ca="1"/>
        <v>-281</v>
      </c>
      <c r="X118" s="59">
        <f ca="1"/>
        <v>-281</v>
      </c>
      <c r="Y118" s="59">
        <f ca="1"/>
        <v>-281</v>
      </c>
      <c r="Z118" s="59">
        <f ca="1"/>
        <v>-281</v>
      </c>
      <c r="AA118" s="59">
        <f ca="1"/>
        <v>-281</v>
      </c>
      <c r="AB118" s="59">
        <f ca="1"/>
        <v>-281</v>
      </c>
      <c r="AC118" s="59">
        <f ca="1"/>
        <v>-281</v>
      </c>
      <c r="AD118" s="59">
        <f ca="1"/>
        <v>-281</v>
      </c>
      <c r="AE118" s="59">
        <f ca="1"/>
        <v>-281</v>
      </c>
      <c r="AF118" s="59">
        <f ca="1"/>
        <v>-281</v>
      </c>
      <c r="AG118" s="59">
        <f ca="1"/>
        <v>-281</v>
      </c>
      <c r="AH118" s="59">
        <f ca="1"/>
        <v>-281</v>
      </c>
      <c r="AI118" s="59">
        <f ca="1"/>
        <v>-281</v>
      </c>
      <c r="AJ118" s="59">
        <f ca="1"/>
        <v>-281</v>
      </c>
      <c r="AK118" s="59">
        <f ca="1"/>
        <v>-281</v>
      </c>
      <c r="AL118" s="59">
        <f ca="1"/>
        <v>-281</v>
      </c>
      <c r="AM118" s="59">
        <f ca="1"/>
        <v>-281</v>
      </c>
      <c r="AN118" s="59">
        <f ca="1"/>
        <v>-281</v>
      </c>
      <c r="AO118" s="59">
        <f ca="1"/>
        <v>-281</v>
      </c>
      <c r="AP118" s="59">
        <f ca="1"/>
        <v>-281</v>
      </c>
      <c r="AQ118" s="59">
        <f ca="1"/>
        <v>-281</v>
      </c>
      <c r="AR118" s="59">
        <f ca="1"/>
        <v>-281</v>
      </c>
      <c r="AS118" s="59">
        <f ca="1"/>
        <v>-281</v>
      </c>
      <c r="AT118" s="59">
        <f ca="1"/>
        <v>-281</v>
      </c>
      <c r="AU118" s="59">
        <f ca="1"/>
        <v>-281</v>
      </c>
      <c r="AV118" s="59">
        <f ca="1"/>
        <v>-281</v>
      </c>
      <c r="AW118" s="59">
        <f ca="1"/>
        <v>-281</v>
      </c>
      <c r="AX118" s="59">
        <f ca="1"/>
        <v>-281</v>
      </c>
      <c r="AY118" s="59">
        <f ca="1"/>
        <v>-281</v>
      </c>
      <c r="AZ118" s="59">
        <f ca="1"/>
        <v>-281</v>
      </c>
      <c r="BA118" s="59">
        <f ca="1"/>
        <v>-281</v>
      </c>
      <c r="BS118" s="5">
        <f t="shared" si="23"/>
        <v>1048495</v>
      </c>
      <c r="BT118" s="5" t="str">
        <f t="shared" si="38"/>
        <v/>
      </c>
      <c r="CD118" s="5" t="e">
        <f t="shared" ca="1" si="26"/>
        <v>#REF!</v>
      </c>
      <c r="CE118" s="5" t="e">
        <f t="shared" ca="1" si="27"/>
        <v>#REF!</v>
      </c>
      <c r="CF118" s="5" t="e">
        <f t="shared" ca="1" si="25"/>
        <v>#REF!</v>
      </c>
      <c r="CG118" s="5"/>
    </row>
    <row r="119" spans="1:85" x14ac:dyDescent="0.25">
      <c r="A119" s="57" t="str">
        <f ca="1"/>
        <v>Fahrkosten</v>
      </c>
      <c r="B119" s="57">
        <f ca="1"/>
        <v>6</v>
      </c>
      <c r="C119" s="53" t="str">
        <f ca="1"/>
        <v>Sheldon</v>
      </c>
      <c r="D119" s="54"/>
      <c r="E119" s="63"/>
      <c r="F119" s="59">
        <f ca="1"/>
        <v>-1972</v>
      </c>
      <c r="G119" s="59">
        <f ca="1"/>
        <v>-1972</v>
      </c>
      <c r="H119" s="59">
        <f ca="1"/>
        <v>-1972</v>
      </c>
      <c r="I119" s="59">
        <f ca="1"/>
        <v>-1972</v>
      </c>
      <c r="J119" s="59">
        <f ca="1"/>
        <v>-1972</v>
      </c>
      <c r="K119" s="59">
        <f ca="1"/>
        <v>-1972</v>
      </c>
      <c r="L119" s="59">
        <f ca="1"/>
        <v>-1972</v>
      </c>
      <c r="M119" s="59">
        <f ca="1"/>
        <v>0</v>
      </c>
      <c r="N119" s="59">
        <f ca="1"/>
        <v>0</v>
      </c>
      <c r="O119" s="59">
        <f ca="1"/>
        <v>0</v>
      </c>
      <c r="P119" s="59">
        <f ca="1"/>
        <v>0</v>
      </c>
      <c r="Q119" s="59">
        <f ca="1"/>
        <v>0</v>
      </c>
      <c r="R119" s="59">
        <f ca="1"/>
        <v>0</v>
      </c>
      <c r="S119" s="59">
        <f ca="1"/>
        <v>0</v>
      </c>
      <c r="T119" s="59">
        <f ca="1"/>
        <v>0</v>
      </c>
      <c r="U119" s="59">
        <f ca="1"/>
        <v>0</v>
      </c>
      <c r="V119" s="59">
        <f ca="1"/>
        <v>0</v>
      </c>
      <c r="W119" s="59">
        <f ca="1"/>
        <v>0</v>
      </c>
      <c r="X119" s="59">
        <f ca="1"/>
        <v>0</v>
      </c>
      <c r="Y119" s="59">
        <f ca="1"/>
        <v>0</v>
      </c>
      <c r="Z119" s="59">
        <f ca="1"/>
        <v>0</v>
      </c>
      <c r="AA119" s="59">
        <f ca="1"/>
        <v>0</v>
      </c>
      <c r="AB119" s="59">
        <f ca="1"/>
        <v>0</v>
      </c>
      <c r="AC119" s="59">
        <f ca="1"/>
        <v>0</v>
      </c>
      <c r="AD119" s="59">
        <f ca="1"/>
        <v>0</v>
      </c>
      <c r="AE119" s="59">
        <f ca="1"/>
        <v>0</v>
      </c>
      <c r="AF119" s="59">
        <f ca="1"/>
        <v>0</v>
      </c>
      <c r="AG119" s="59">
        <f ca="1"/>
        <v>0</v>
      </c>
      <c r="AH119" s="59">
        <f ca="1"/>
        <v>0</v>
      </c>
      <c r="AI119" s="59">
        <f ca="1"/>
        <v>0</v>
      </c>
      <c r="AJ119" s="59">
        <f ca="1"/>
        <v>0</v>
      </c>
      <c r="AK119" s="59">
        <f ca="1"/>
        <v>0</v>
      </c>
      <c r="AL119" s="59">
        <f ca="1"/>
        <v>0</v>
      </c>
      <c r="AM119" s="59">
        <f ca="1"/>
        <v>0</v>
      </c>
      <c r="AN119" s="59">
        <f ca="1"/>
        <v>0</v>
      </c>
      <c r="AO119" s="59">
        <f ca="1"/>
        <v>0</v>
      </c>
      <c r="AP119" s="59">
        <f ca="1"/>
        <v>0</v>
      </c>
      <c r="AQ119" s="59">
        <f ca="1"/>
        <v>0</v>
      </c>
      <c r="AR119" s="59">
        <f ca="1"/>
        <v>0</v>
      </c>
      <c r="AS119" s="59">
        <f ca="1"/>
        <v>0</v>
      </c>
      <c r="AT119" s="59">
        <f ca="1"/>
        <v>0</v>
      </c>
      <c r="AU119" s="59">
        <f ca="1"/>
        <v>0</v>
      </c>
      <c r="AV119" s="59">
        <f ca="1"/>
        <v>0</v>
      </c>
      <c r="AW119" s="59">
        <f ca="1"/>
        <v>0</v>
      </c>
      <c r="AX119" s="59">
        <f ca="1"/>
        <v>0</v>
      </c>
      <c r="AY119" s="59">
        <f ca="1"/>
        <v>0</v>
      </c>
      <c r="AZ119" s="59">
        <f ca="1"/>
        <v>0</v>
      </c>
      <c r="BA119" s="59">
        <f ca="1"/>
        <v>0</v>
      </c>
      <c r="BS119" s="5">
        <f t="shared" si="23"/>
        <v>1048495</v>
      </c>
      <c r="BT119" s="5" t="str">
        <f t="shared" si="38"/>
        <v/>
      </c>
      <c r="CD119" s="5" t="e">
        <f t="shared" ca="1" si="26"/>
        <v>#REF!</v>
      </c>
      <c r="CE119" s="5" t="e">
        <f t="shared" ca="1" si="27"/>
        <v>#REF!</v>
      </c>
      <c r="CF119" s="5" t="e">
        <f t="shared" ca="1" si="25"/>
        <v>#REF!</v>
      </c>
      <c r="CG119" s="5"/>
    </row>
    <row r="120" spans="1:85" x14ac:dyDescent="0.25">
      <c r="A120" s="57" t="str">
        <f ca="1"/>
        <v>Auswärtige Verpflegung</v>
      </c>
      <c r="B120" s="57">
        <f ca="1"/>
        <v>7</v>
      </c>
      <c r="C120" s="53" t="str">
        <f ca="1"/>
        <v>Sheldon</v>
      </c>
      <c r="D120" s="54"/>
      <c r="E120" s="63"/>
      <c r="F120" s="59">
        <f ca="1"/>
        <v>-1200</v>
      </c>
      <c r="G120" s="59">
        <f ca="1"/>
        <v>-1200</v>
      </c>
      <c r="H120" s="59">
        <f ca="1"/>
        <v>-1200</v>
      </c>
      <c r="I120" s="59">
        <f ca="1"/>
        <v>-1200</v>
      </c>
      <c r="J120" s="59">
        <f ca="1"/>
        <v>-1200</v>
      </c>
      <c r="K120" s="59">
        <f ca="1"/>
        <v>-1200</v>
      </c>
      <c r="L120" s="59">
        <f ca="1"/>
        <v>-1200</v>
      </c>
      <c r="M120" s="59">
        <f ca="1"/>
        <v>0</v>
      </c>
      <c r="N120" s="59">
        <f ca="1"/>
        <v>0</v>
      </c>
      <c r="O120" s="59">
        <f ca="1"/>
        <v>0</v>
      </c>
      <c r="P120" s="59">
        <f ca="1"/>
        <v>0</v>
      </c>
      <c r="Q120" s="59">
        <f ca="1"/>
        <v>0</v>
      </c>
      <c r="R120" s="59">
        <f ca="1"/>
        <v>0</v>
      </c>
      <c r="S120" s="59">
        <f ca="1"/>
        <v>0</v>
      </c>
      <c r="T120" s="59">
        <f ca="1"/>
        <v>0</v>
      </c>
      <c r="U120" s="59">
        <f ca="1"/>
        <v>0</v>
      </c>
      <c r="V120" s="59">
        <f ca="1"/>
        <v>0</v>
      </c>
      <c r="W120" s="59">
        <f ca="1"/>
        <v>0</v>
      </c>
      <c r="X120" s="59">
        <f ca="1"/>
        <v>0</v>
      </c>
      <c r="Y120" s="59">
        <f ca="1"/>
        <v>0</v>
      </c>
      <c r="Z120" s="59">
        <f ca="1"/>
        <v>0</v>
      </c>
      <c r="AA120" s="59">
        <f ca="1"/>
        <v>0</v>
      </c>
      <c r="AB120" s="59">
        <f ca="1"/>
        <v>0</v>
      </c>
      <c r="AC120" s="59">
        <f ca="1"/>
        <v>0</v>
      </c>
      <c r="AD120" s="59">
        <f ca="1"/>
        <v>0</v>
      </c>
      <c r="AE120" s="59">
        <f ca="1"/>
        <v>0</v>
      </c>
      <c r="AF120" s="59">
        <f ca="1"/>
        <v>0</v>
      </c>
      <c r="AG120" s="59">
        <f ca="1"/>
        <v>0</v>
      </c>
      <c r="AH120" s="59">
        <f ca="1"/>
        <v>0</v>
      </c>
      <c r="AI120" s="59">
        <f ca="1"/>
        <v>0</v>
      </c>
      <c r="AJ120" s="59">
        <f ca="1"/>
        <v>0</v>
      </c>
      <c r="AK120" s="59">
        <f ca="1"/>
        <v>0</v>
      </c>
      <c r="AL120" s="59">
        <f ca="1"/>
        <v>0</v>
      </c>
      <c r="AM120" s="59">
        <f ca="1"/>
        <v>0</v>
      </c>
      <c r="AN120" s="59">
        <f ca="1"/>
        <v>0</v>
      </c>
      <c r="AO120" s="59">
        <f ca="1"/>
        <v>0</v>
      </c>
      <c r="AP120" s="59">
        <f ca="1"/>
        <v>0</v>
      </c>
      <c r="AQ120" s="59">
        <f ca="1"/>
        <v>0</v>
      </c>
      <c r="AR120" s="59">
        <f ca="1"/>
        <v>0</v>
      </c>
      <c r="AS120" s="59">
        <f ca="1"/>
        <v>0</v>
      </c>
      <c r="AT120" s="59">
        <f ca="1"/>
        <v>0</v>
      </c>
      <c r="AU120" s="59">
        <f ca="1"/>
        <v>0</v>
      </c>
      <c r="AV120" s="59">
        <f ca="1"/>
        <v>0</v>
      </c>
      <c r="AW120" s="59">
        <f ca="1"/>
        <v>0</v>
      </c>
      <c r="AX120" s="59">
        <f ca="1"/>
        <v>0</v>
      </c>
      <c r="AY120" s="59">
        <f ca="1"/>
        <v>0</v>
      </c>
      <c r="AZ120" s="59">
        <f ca="1"/>
        <v>0</v>
      </c>
      <c r="BA120" s="59">
        <f ca="1"/>
        <v>0</v>
      </c>
      <c r="BS120" s="5">
        <f t="shared" si="23"/>
        <v>1048495</v>
      </c>
      <c r="BT120" s="5" t="str">
        <f t="shared" si="38"/>
        <v/>
      </c>
      <c r="CD120" s="5" t="e">
        <f t="shared" ca="1" si="26"/>
        <v>#REF!</v>
      </c>
      <c r="CE120" s="5" t="e">
        <f t="shared" ca="1" si="27"/>
        <v>#REF!</v>
      </c>
      <c r="CF120" s="5" t="e">
        <f t="shared" ca="1" si="25"/>
        <v>#REF!</v>
      </c>
      <c r="CG120" s="5"/>
    </row>
    <row r="121" spans="1:85" x14ac:dyDescent="0.25">
      <c r="A121" s="57" t="str">
        <f ca="1"/>
        <v>Übrige Berufskosten</v>
      </c>
      <c r="B121" s="57">
        <f ca="1"/>
        <v>8</v>
      </c>
      <c r="C121" s="53" t="str">
        <f ca="1"/>
        <v>Sheldon</v>
      </c>
      <c r="D121" s="54"/>
      <c r="E121" s="63"/>
      <c r="F121" s="59">
        <f ca="1"/>
        <v>-2000</v>
      </c>
      <c r="G121" s="59">
        <f ca="1"/>
        <v>-2000</v>
      </c>
      <c r="H121" s="59">
        <f ca="1"/>
        <v>-2000</v>
      </c>
      <c r="I121" s="59">
        <f ca="1"/>
        <v>-2000</v>
      </c>
      <c r="J121" s="59">
        <f ca="1"/>
        <v>-2000</v>
      </c>
      <c r="K121" s="59">
        <f ca="1"/>
        <v>-2000</v>
      </c>
      <c r="L121" s="59">
        <f ca="1"/>
        <v>-2000</v>
      </c>
      <c r="M121" s="59">
        <f ca="1"/>
        <v>0</v>
      </c>
      <c r="N121" s="59">
        <f ca="1"/>
        <v>0</v>
      </c>
      <c r="O121" s="59">
        <f ca="1"/>
        <v>0</v>
      </c>
      <c r="P121" s="59">
        <f ca="1"/>
        <v>0</v>
      </c>
      <c r="Q121" s="59">
        <f ca="1"/>
        <v>0</v>
      </c>
      <c r="R121" s="59">
        <f ca="1"/>
        <v>0</v>
      </c>
      <c r="S121" s="59">
        <f ca="1"/>
        <v>0</v>
      </c>
      <c r="T121" s="59">
        <f ca="1"/>
        <v>0</v>
      </c>
      <c r="U121" s="59">
        <f ca="1"/>
        <v>0</v>
      </c>
      <c r="V121" s="59">
        <f ca="1"/>
        <v>0</v>
      </c>
      <c r="W121" s="59">
        <f ca="1"/>
        <v>0</v>
      </c>
      <c r="X121" s="59">
        <f ca="1"/>
        <v>0</v>
      </c>
      <c r="Y121" s="59">
        <f ca="1"/>
        <v>0</v>
      </c>
      <c r="Z121" s="59">
        <f ca="1"/>
        <v>0</v>
      </c>
      <c r="AA121" s="59">
        <f ca="1"/>
        <v>0</v>
      </c>
      <c r="AB121" s="59">
        <f ca="1"/>
        <v>0</v>
      </c>
      <c r="AC121" s="59">
        <f ca="1"/>
        <v>0</v>
      </c>
      <c r="AD121" s="59">
        <f ca="1"/>
        <v>0</v>
      </c>
      <c r="AE121" s="59">
        <f ca="1"/>
        <v>0</v>
      </c>
      <c r="AF121" s="59">
        <f ca="1"/>
        <v>0</v>
      </c>
      <c r="AG121" s="59">
        <f ca="1"/>
        <v>0</v>
      </c>
      <c r="AH121" s="59">
        <f ca="1"/>
        <v>0</v>
      </c>
      <c r="AI121" s="59">
        <f ca="1"/>
        <v>0</v>
      </c>
      <c r="AJ121" s="59">
        <f ca="1"/>
        <v>0</v>
      </c>
      <c r="AK121" s="59">
        <f ca="1"/>
        <v>0</v>
      </c>
      <c r="AL121" s="59">
        <f ca="1"/>
        <v>0</v>
      </c>
      <c r="AM121" s="59">
        <f ca="1"/>
        <v>0</v>
      </c>
      <c r="AN121" s="59">
        <f ca="1"/>
        <v>0</v>
      </c>
      <c r="AO121" s="59">
        <f ca="1"/>
        <v>0</v>
      </c>
      <c r="AP121" s="59">
        <f ca="1"/>
        <v>0</v>
      </c>
      <c r="AQ121" s="59">
        <f ca="1"/>
        <v>0</v>
      </c>
      <c r="AR121" s="59">
        <f ca="1"/>
        <v>0</v>
      </c>
      <c r="AS121" s="59">
        <f ca="1"/>
        <v>0</v>
      </c>
      <c r="AT121" s="59">
        <f ca="1"/>
        <v>0</v>
      </c>
      <c r="AU121" s="59">
        <f ca="1"/>
        <v>0</v>
      </c>
      <c r="AV121" s="59">
        <f ca="1"/>
        <v>0</v>
      </c>
      <c r="AW121" s="59">
        <f ca="1"/>
        <v>0</v>
      </c>
      <c r="AX121" s="59">
        <f ca="1"/>
        <v>0</v>
      </c>
      <c r="AY121" s="59">
        <f ca="1"/>
        <v>0</v>
      </c>
      <c r="AZ121" s="59">
        <f ca="1"/>
        <v>0</v>
      </c>
      <c r="BA121" s="59">
        <f ca="1"/>
        <v>0</v>
      </c>
      <c r="BS121" s="5">
        <f t="shared" si="23"/>
        <v>1048495</v>
      </c>
      <c r="BT121" s="5" t="str">
        <f t="shared" si="38"/>
        <v/>
      </c>
      <c r="CD121" s="5" t="e">
        <f t="shared" ca="1" si="26"/>
        <v>#REF!</v>
      </c>
      <c r="CE121" s="5" t="e">
        <f t="shared" ca="1" si="27"/>
        <v>#REF!</v>
      </c>
      <c r="CF121" s="5" t="e">
        <f t="shared" ca="1" si="25"/>
        <v>#REF!</v>
      </c>
      <c r="CG121" s="5"/>
    </row>
    <row r="122" spans="1:85" x14ac:dyDescent="0.25">
      <c r="A122" s="57" t="str">
        <f ca="1"/>
        <v>Versicherungsprämien</v>
      </c>
      <c r="B122" s="57">
        <f ca="1"/>
        <v>9</v>
      </c>
      <c r="C122" s="53" t="str">
        <f ca="1"/>
        <v>Sheldon</v>
      </c>
      <c r="D122" s="54"/>
      <c r="E122" s="63"/>
      <c r="F122" s="59">
        <f ca="1"/>
        <v>-2750</v>
      </c>
      <c r="G122" s="59">
        <f ca="1"/>
        <v>-2750</v>
      </c>
      <c r="H122" s="59">
        <f ca="1"/>
        <v>-2750</v>
      </c>
      <c r="I122" s="59">
        <f ca="1"/>
        <v>-2750</v>
      </c>
      <c r="J122" s="59">
        <f ca="1"/>
        <v>-2750</v>
      </c>
      <c r="K122" s="59">
        <f ca="1"/>
        <v>-2750</v>
      </c>
      <c r="L122" s="59">
        <f ca="1"/>
        <v>-2750</v>
      </c>
      <c r="M122" s="59">
        <f ca="1"/>
        <v>-2750</v>
      </c>
      <c r="N122" s="59">
        <f ca="1"/>
        <v>-2750</v>
      </c>
      <c r="O122" s="59">
        <f ca="1"/>
        <v>-2750</v>
      </c>
      <c r="P122" s="59">
        <f ca="1"/>
        <v>-2750</v>
      </c>
      <c r="Q122" s="59">
        <f ca="1"/>
        <v>-2750</v>
      </c>
      <c r="R122" s="59">
        <f ca="1"/>
        <v>-2750</v>
      </c>
      <c r="S122" s="59">
        <f ca="1"/>
        <v>-2750</v>
      </c>
      <c r="T122" s="59">
        <f ca="1"/>
        <v>-2750</v>
      </c>
      <c r="U122" s="59">
        <f ca="1"/>
        <v>-2750</v>
      </c>
      <c r="V122" s="59">
        <f ca="1"/>
        <v>-2750</v>
      </c>
      <c r="W122" s="59">
        <f ca="1"/>
        <v>-2750</v>
      </c>
      <c r="X122" s="59">
        <f ca="1"/>
        <v>-2750</v>
      </c>
      <c r="Y122" s="59">
        <f ca="1"/>
        <v>-2750</v>
      </c>
      <c r="Z122" s="59">
        <f ca="1"/>
        <v>-2750</v>
      </c>
      <c r="AA122" s="59">
        <f ca="1"/>
        <v>-2750</v>
      </c>
      <c r="AB122" s="59">
        <f ca="1"/>
        <v>-2750</v>
      </c>
      <c r="AC122" s="59">
        <f ca="1"/>
        <v>-2750</v>
      </c>
      <c r="AD122" s="59">
        <f ca="1"/>
        <v>-2750</v>
      </c>
      <c r="AE122" s="59">
        <f ca="1"/>
        <v>-2750</v>
      </c>
      <c r="AF122" s="59">
        <f ca="1"/>
        <v>-2750</v>
      </c>
      <c r="AG122" s="59">
        <f ca="1"/>
        <v>-2750</v>
      </c>
      <c r="AH122" s="59">
        <f ca="1"/>
        <v>-2750</v>
      </c>
      <c r="AI122" s="59">
        <f ca="1"/>
        <v>-2750</v>
      </c>
      <c r="AJ122" s="59">
        <f ca="1"/>
        <v>-2750</v>
      </c>
      <c r="AK122" s="59">
        <f ca="1"/>
        <v>-2750</v>
      </c>
      <c r="AL122" s="59">
        <f ca="1"/>
        <v>-2750</v>
      </c>
      <c r="AM122" s="59">
        <f ca="1"/>
        <v>-2750</v>
      </c>
      <c r="AN122" s="59">
        <f ca="1"/>
        <v>-2750</v>
      </c>
      <c r="AO122" s="59">
        <f ca="1"/>
        <v>-2750</v>
      </c>
      <c r="AP122" s="59">
        <f ca="1"/>
        <v>-2750</v>
      </c>
      <c r="AQ122" s="59">
        <f ca="1"/>
        <v>-2750</v>
      </c>
      <c r="AR122" s="59">
        <f ca="1"/>
        <v>-2750</v>
      </c>
      <c r="AS122" s="59">
        <f ca="1"/>
        <v>-2750</v>
      </c>
      <c r="AT122" s="59">
        <f ca="1"/>
        <v>-2750</v>
      </c>
      <c r="AU122" s="59">
        <f ca="1"/>
        <v>-2750</v>
      </c>
      <c r="AV122" s="59">
        <f ca="1"/>
        <v>-2750</v>
      </c>
      <c r="AW122" s="59">
        <f ca="1"/>
        <v>-2750</v>
      </c>
      <c r="AX122" s="59">
        <f ca="1"/>
        <v>-2750</v>
      </c>
      <c r="AY122" s="59">
        <f ca="1"/>
        <v>-2750</v>
      </c>
      <c r="AZ122" s="59">
        <f ca="1"/>
        <v>-2750</v>
      </c>
      <c r="BA122" s="59">
        <f ca="1"/>
        <v>-2750</v>
      </c>
      <c r="BS122" s="5">
        <f t="shared" si="23"/>
        <v>1048495</v>
      </c>
      <c r="BT122" s="5" t="str">
        <f t="shared" si="38"/>
        <v/>
      </c>
      <c r="CD122" s="5" t="e">
        <f t="shared" ca="1" si="26"/>
        <v>#REF!</v>
      </c>
      <c r="CE122" s="5" t="e">
        <f t="shared" ca="1" si="27"/>
        <v>#REF!</v>
      </c>
      <c r="CF122" s="5" t="e">
        <f t="shared" ca="1" si="25"/>
        <v>#REF!</v>
      </c>
      <c r="CG122" s="5"/>
    </row>
    <row r="123" spans="1:85" x14ac:dyDescent="0.25">
      <c r="A123" s="57" t="str">
        <f ca="1"/>
        <v>Liegenschaftsk. New York (20% Mietwert)</v>
      </c>
      <c r="B123" s="57">
        <f ca="1"/>
        <v>10</v>
      </c>
      <c r="C123" s="53" t="str">
        <f ca="1"/>
        <v>-</v>
      </c>
      <c r="D123" s="54"/>
      <c r="E123" s="63"/>
      <c r="F123" s="59">
        <f ca="1"/>
        <v>-3372</v>
      </c>
      <c r="G123" s="59">
        <f ca="1"/>
        <v>-3372</v>
      </c>
      <c r="H123" s="59">
        <f ca="1"/>
        <v>-3372</v>
      </c>
      <c r="I123" s="59">
        <f ca="1"/>
        <v>-3372</v>
      </c>
      <c r="J123" s="59">
        <f ca="1"/>
        <v>-3372</v>
      </c>
      <c r="K123" s="59">
        <f ca="1"/>
        <v>-3372</v>
      </c>
      <c r="L123" s="59">
        <f ca="1"/>
        <v>-3372</v>
      </c>
      <c r="M123" s="59">
        <f ca="1"/>
        <v>-3372</v>
      </c>
      <c r="N123" s="59">
        <f ca="1"/>
        <v>-3372</v>
      </c>
      <c r="O123" s="59">
        <f ca="1"/>
        <v>-3372</v>
      </c>
      <c r="P123" s="59">
        <f ca="1"/>
        <v>-3372</v>
      </c>
      <c r="Q123" s="59">
        <f ca="1"/>
        <v>-3372</v>
      </c>
      <c r="R123" s="59">
        <f ca="1"/>
        <v>-3372</v>
      </c>
      <c r="S123" s="59">
        <f ca="1"/>
        <v>-3372</v>
      </c>
      <c r="T123" s="59">
        <f ca="1"/>
        <v>-3372</v>
      </c>
      <c r="U123" s="59">
        <f ca="1"/>
        <v>-3372</v>
      </c>
      <c r="V123" s="59">
        <f ca="1"/>
        <v>-3372</v>
      </c>
      <c r="W123" s="59">
        <f ca="1"/>
        <v>-3372</v>
      </c>
      <c r="X123" s="59">
        <f ca="1"/>
        <v>-3372</v>
      </c>
      <c r="Y123" s="59">
        <f ca="1"/>
        <v>-3372</v>
      </c>
      <c r="Z123" s="59">
        <f ca="1"/>
        <v>-3372</v>
      </c>
      <c r="AA123" s="59">
        <f ca="1"/>
        <v>-3372</v>
      </c>
      <c r="AB123" s="59">
        <f ca="1"/>
        <v>-3372</v>
      </c>
      <c r="AC123" s="59">
        <f ca="1"/>
        <v>-3372</v>
      </c>
      <c r="AD123" s="59">
        <f ca="1"/>
        <v>-3372</v>
      </c>
      <c r="AE123" s="59">
        <f ca="1"/>
        <v>-3372</v>
      </c>
      <c r="AF123" s="59">
        <f ca="1"/>
        <v>-3372</v>
      </c>
      <c r="AG123" s="59">
        <f ca="1"/>
        <v>-3372</v>
      </c>
      <c r="AH123" s="59">
        <f ca="1"/>
        <v>-3372</v>
      </c>
      <c r="AI123" s="59">
        <f ca="1"/>
        <v>-3372</v>
      </c>
      <c r="AJ123" s="59">
        <f ca="1"/>
        <v>-3372</v>
      </c>
      <c r="AK123" s="59">
        <f ca="1"/>
        <v>-3372</v>
      </c>
      <c r="AL123" s="59">
        <f ca="1"/>
        <v>-3372</v>
      </c>
      <c r="AM123" s="59">
        <f ca="1"/>
        <v>-3372</v>
      </c>
      <c r="AN123" s="59">
        <f ca="1"/>
        <v>-3372</v>
      </c>
      <c r="AO123" s="59">
        <f ca="1"/>
        <v>-3372</v>
      </c>
      <c r="AP123" s="59">
        <f ca="1"/>
        <v>-3372</v>
      </c>
      <c r="AQ123" s="59">
        <f ca="1"/>
        <v>-3372</v>
      </c>
      <c r="AR123" s="59">
        <f ca="1"/>
        <v>-3372</v>
      </c>
      <c r="AS123" s="59">
        <f ca="1"/>
        <v>-3372</v>
      </c>
      <c r="AT123" s="59">
        <f ca="1"/>
        <v>-3372</v>
      </c>
      <c r="AU123" s="59">
        <f ca="1"/>
        <v>-3372</v>
      </c>
      <c r="AV123" s="59">
        <f ca="1"/>
        <v>-3372</v>
      </c>
      <c r="AW123" s="59">
        <f ca="1"/>
        <v>-3372</v>
      </c>
      <c r="AX123" s="59">
        <f ca="1"/>
        <v>-3372</v>
      </c>
      <c r="AY123" s="59">
        <f ca="1"/>
        <v>-3372</v>
      </c>
      <c r="AZ123" s="59">
        <f ca="1"/>
        <v>-3372</v>
      </c>
      <c r="BA123" s="59">
        <f ca="1"/>
        <v>-3372</v>
      </c>
      <c r="BS123" s="5">
        <f t="shared" si="23"/>
        <v>1048495</v>
      </c>
      <c r="BT123" s="5" t="str">
        <f t="shared" si="38"/>
        <v/>
      </c>
      <c r="CD123" s="5" t="e">
        <f t="shared" ca="1" si="26"/>
        <v>#REF!</v>
      </c>
      <c r="CE123" s="5" t="e">
        <f t="shared" ca="1" si="27"/>
        <v>#REF!</v>
      </c>
      <c r="CF123" s="5" t="e">
        <f t="shared" ca="1" si="25"/>
        <v>#REF!</v>
      </c>
      <c r="CG123" s="5"/>
    </row>
    <row r="124" spans="1:85" x14ac:dyDescent="0.25">
      <c r="A124" s="57" t="str">
        <f ca="1"/>
        <v>Liegenschaftssteuer New York</v>
      </c>
      <c r="B124" s="57">
        <f ca="1"/>
        <v>11</v>
      </c>
      <c r="C124" s="53" t="str">
        <f ca="1"/>
        <v>Amy</v>
      </c>
      <c r="D124" s="54"/>
      <c r="E124" s="63"/>
      <c r="F124" s="59">
        <f ca="1"/>
        <v>-575</v>
      </c>
      <c r="G124" s="59">
        <f ca="1"/>
        <v>-575</v>
      </c>
      <c r="H124" s="59">
        <f ca="1"/>
        <v>-575</v>
      </c>
      <c r="I124" s="59">
        <f ca="1"/>
        <v>-575</v>
      </c>
      <c r="J124" s="59">
        <f ca="1"/>
        <v>-575</v>
      </c>
      <c r="K124" s="59">
        <f ca="1"/>
        <v>-575</v>
      </c>
      <c r="L124" s="59">
        <f ca="1"/>
        <v>-575</v>
      </c>
      <c r="M124" s="59">
        <f ca="1"/>
        <v>-575</v>
      </c>
      <c r="N124" s="59">
        <f ca="1"/>
        <v>-575</v>
      </c>
      <c r="O124" s="59">
        <f ca="1"/>
        <v>-575</v>
      </c>
      <c r="P124" s="59">
        <f ca="1"/>
        <v>-575</v>
      </c>
      <c r="Q124" s="59">
        <f ca="1"/>
        <v>-575</v>
      </c>
      <c r="R124" s="59">
        <f ca="1"/>
        <v>-575</v>
      </c>
      <c r="S124" s="59">
        <f ca="1"/>
        <v>-575</v>
      </c>
      <c r="T124" s="59">
        <f ca="1"/>
        <v>-575</v>
      </c>
      <c r="U124" s="59">
        <f ca="1"/>
        <v>-575</v>
      </c>
      <c r="V124" s="59">
        <f ca="1"/>
        <v>-575</v>
      </c>
      <c r="W124" s="59">
        <f ca="1"/>
        <v>-575</v>
      </c>
      <c r="X124" s="59">
        <f ca="1"/>
        <v>-575</v>
      </c>
      <c r="Y124" s="59">
        <f ca="1"/>
        <v>-575</v>
      </c>
      <c r="Z124" s="59">
        <f ca="1"/>
        <v>-575</v>
      </c>
      <c r="AA124" s="59">
        <f ca="1"/>
        <v>-575</v>
      </c>
      <c r="AB124" s="59">
        <f ca="1"/>
        <v>-575</v>
      </c>
      <c r="AC124" s="59">
        <f ca="1"/>
        <v>-575</v>
      </c>
      <c r="AD124" s="59">
        <f ca="1"/>
        <v>-575</v>
      </c>
      <c r="AE124" s="59">
        <f ca="1"/>
        <v>-575</v>
      </c>
      <c r="AF124" s="59">
        <f ca="1"/>
        <v>-575</v>
      </c>
      <c r="AG124" s="59">
        <f ca="1"/>
        <v>-575</v>
      </c>
      <c r="AH124" s="59">
        <f ca="1"/>
        <v>-575</v>
      </c>
      <c r="AI124" s="59">
        <f ca="1"/>
        <v>-575</v>
      </c>
      <c r="AJ124" s="59">
        <f ca="1"/>
        <v>-575</v>
      </c>
      <c r="AK124" s="59">
        <f ca="1"/>
        <v>-575</v>
      </c>
      <c r="AL124" s="59">
        <f ca="1"/>
        <v>-575</v>
      </c>
      <c r="AM124" s="59">
        <f ca="1"/>
        <v>-575</v>
      </c>
      <c r="AN124" s="59">
        <f ca="1"/>
        <v>-575</v>
      </c>
      <c r="AO124" s="59">
        <f ca="1"/>
        <v>-575</v>
      </c>
      <c r="AP124" s="59">
        <f ca="1"/>
        <v>-575</v>
      </c>
      <c r="AQ124" s="59">
        <f ca="1"/>
        <v>-575</v>
      </c>
      <c r="AR124" s="59">
        <f ca="1"/>
        <v>-575</v>
      </c>
      <c r="AS124" s="59">
        <f ca="1"/>
        <v>-575</v>
      </c>
      <c r="AT124" s="59">
        <f ca="1"/>
        <v>-575</v>
      </c>
      <c r="AU124" s="59">
        <f ca="1"/>
        <v>-575</v>
      </c>
      <c r="AV124" s="59">
        <f ca="1"/>
        <v>-575</v>
      </c>
      <c r="AW124" s="59">
        <f ca="1"/>
        <v>-575</v>
      </c>
      <c r="AX124" s="59">
        <f ca="1"/>
        <v>-575</v>
      </c>
      <c r="AY124" s="59">
        <f ca="1"/>
        <v>-575</v>
      </c>
      <c r="AZ124" s="59">
        <f ca="1"/>
        <v>-575</v>
      </c>
      <c r="BA124" s="59">
        <f ca="1"/>
        <v>-575</v>
      </c>
      <c r="BS124" s="5">
        <f t="shared" si="23"/>
        <v>1048495</v>
      </c>
      <c r="BT124" s="5" t="str">
        <f t="shared" si="38"/>
        <v/>
      </c>
      <c r="CD124" s="5" t="e">
        <f t="shared" ca="1" si="26"/>
        <v>#REF!</v>
      </c>
      <c r="CE124" s="5" t="e">
        <f t="shared" ca="1" si="27"/>
        <v>#REF!</v>
      </c>
      <c r="CF124" s="5" t="e">
        <f t="shared" ca="1" si="25"/>
        <v>#REF!</v>
      </c>
      <c r="CG124" s="5"/>
    </row>
    <row r="125" spans="1:85" x14ac:dyDescent="0.25">
      <c r="A125" s="57" t="str">
        <f ca="1"/>
        <v>Eigenmietwert EH New York</v>
      </c>
      <c r="B125" s="57">
        <f ca="1"/>
        <v>12</v>
      </c>
      <c r="C125" s="53" t="str">
        <f ca="1"/>
        <v>Amy</v>
      </c>
      <c r="D125" s="54"/>
      <c r="E125" s="63"/>
      <c r="F125" s="59">
        <f ca="1"/>
        <v>780</v>
      </c>
      <c r="G125" s="59">
        <f ca="1"/>
        <v>780</v>
      </c>
      <c r="H125" s="59">
        <f ca="1"/>
        <v>780</v>
      </c>
      <c r="I125" s="59">
        <f ca="1"/>
        <v>780</v>
      </c>
      <c r="J125" s="59">
        <f ca="1"/>
        <v>780</v>
      </c>
      <c r="K125" s="59">
        <f ca="1"/>
        <v>780</v>
      </c>
      <c r="L125" s="59">
        <f ca="1"/>
        <v>780</v>
      </c>
      <c r="M125" s="59">
        <f ca="1"/>
        <v>780</v>
      </c>
      <c r="N125" s="59">
        <f ca="1"/>
        <v>780</v>
      </c>
      <c r="O125" s="59">
        <f ca="1"/>
        <v>780</v>
      </c>
      <c r="P125" s="59">
        <f ca="1"/>
        <v>780</v>
      </c>
      <c r="Q125" s="59">
        <f ca="1"/>
        <v>780</v>
      </c>
      <c r="R125" s="59">
        <f ca="1"/>
        <v>780</v>
      </c>
      <c r="S125" s="59">
        <f ca="1"/>
        <v>780</v>
      </c>
      <c r="T125" s="59">
        <f ca="1"/>
        <v>780</v>
      </c>
      <c r="U125" s="59">
        <f ca="1"/>
        <v>780</v>
      </c>
      <c r="V125" s="59">
        <f ca="1"/>
        <v>780</v>
      </c>
      <c r="W125" s="59">
        <f ca="1"/>
        <v>780</v>
      </c>
      <c r="X125" s="59">
        <f ca="1"/>
        <v>780</v>
      </c>
      <c r="Y125" s="59">
        <f ca="1"/>
        <v>780</v>
      </c>
      <c r="Z125" s="59">
        <f ca="1"/>
        <v>780</v>
      </c>
      <c r="AA125" s="59">
        <f ca="1"/>
        <v>780</v>
      </c>
      <c r="AB125" s="59">
        <f ca="1"/>
        <v>780</v>
      </c>
      <c r="AC125" s="59">
        <f ca="1"/>
        <v>780</v>
      </c>
      <c r="AD125" s="59">
        <f ca="1"/>
        <v>780</v>
      </c>
      <c r="AE125" s="59">
        <f ca="1"/>
        <v>780</v>
      </c>
      <c r="AF125" s="59">
        <f ca="1"/>
        <v>780</v>
      </c>
      <c r="AG125" s="59">
        <f ca="1"/>
        <v>780</v>
      </c>
      <c r="AH125" s="59">
        <f ca="1"/>
        <v>780</v>
      </c>
      <c r="AI125" s="59">
        <f ca="1"/>
        <v>780</v>
      </c>
      <c r="AJ125" s="59">
        <f ca="1"/>
        <v>780</v>
      </c>
      <c r="AK125" s="59">
        <f ca="1"/>
        <v>780</v>
      </c>
      <c r="AL125" s="59">
        <f ca="1"/>
        <v>780</v>
      </c>
      <c r="AM125" s="59">
        <f ca="1"/>
        <v>780</v>
      </c>
      <c r="AN125" s="59">
        <f ca="1"/>
        <v>780</v>
      </c>
      <c r="AO125" s="59">
        <f ca="1"/>
        <v>780</v>
      </c>
      <c r="AP125" s="59">
        <f ca="1"/>
        <v>780</v>
      </c>
      <c r="AQ125" s="59">
        <f ca="1"/>
        <v>780</v>
      </c>
      <c r="AR125" s="59">
        <f ca="1"/>
        <v>780</v>
      </c>
      <c r="AS125" s="59">
        <f ca="1"/>
        <v>780</v>
      </c>
      <c r="AT125" s="59">
        <f ca="1"/>
        <v>780</v>
      </c>
      <c r="AU125" s="59">
        <f ca="1"/>
        <v>780</v>
      </c>
      <c r="AV125" s="59">
        <f ca="1"/>
        <v>780</v>
      </c>
      <c r="AW125" s="59">
        <f ca="1"/>
        <v>780</v>
      </c>
      <c r="AX125" s="59">
        <f ca="1"/>
        <v>780</v>
      </c>
      <c r="AY125" s="59">
        <f ca="1"/>
        <v>780</v>
      </c>
      <c r="AZ125" s="59">
        <f ca="1"/>
        <v>780</v>
      </c>
      <c r="BA125" s="59">
        <f ca="1"/>
        <v>780</v>
      </c>
      <c r="BS125" s="5">
        <f t="shared" si="23"/>
        <v>1048495</v>
      </c>
      <c r="BT125" s="5" t="str">
        <f t="shared" si="38"/>
        <v/>
      </c>
      <c r="CD125" s="5" t="e">
        <f t="shared" ca="1" si="26"/>
        <v>#REF!</v>
      </c>
      <c r="CE125" s="5" t="e">
        <f t="shared" ca="1" si="27"/>
        <v>#REF!</v>
      </c>
      <c r="CF125" s="5" t="e">
        <f t="shared" ca="1" si="25"/>
        <v>#REF!</v>
      </c>
      <c r="CG125" s="5"/>
    </row>
    <row r="126" spans="1:85" x14ac:dyDescent="0.25">
      <c r="A126" s="57" t="str">
        <f ca="1"/>
        <v>Liegenschaftsk. EH New York (20% Mietwert)</v>
      </c>
      <c r="B126" s="57">
        <f ca="1"/>
        <v>13</v>
      </c>
      <c r="C126" s="53" t="str">
        <f ca="1"/>
        <v>Amy</v>
      </c>
      <c r="D126" s="54"/>
      <c r="E126" s="63"/>
      <c r="F126" s="59">
        <f ca="1"/>
        <v>-156</v>
      </c>
      <c r="G126" s="59">
        <f ca="1"/>
        <v>-156</v>
      </c>
      <c r="H126" s="59">
        <f ca="1"/>
        <v>-156</v>
      </c>
      <c r="I126" s="59">
        <f ca="1"/>
        <v>-156</v>
      </c>
      <c r="J126" s="59">
        <f ca="1"/>
        <v>-156</v>
      </c>
      <c r="K126" s="59">
        <f ca="1"/>
        <v>-156</v>
      </c>
      <c r="L126" s="59">
        <f ca="1"/>
        <v>-156</v>
      </c>
      <c r="M126" s="59">
        <f ca="1"/>
        <v>-156</v>
      </c>
      <c r="N126" s="59">
        <f ca="1"/>
        <v>-156</v>
      </c>
      <c r="O126" s="59">
        <f ca="1"/>
        <v>-156</v>
      </c>
      <c r="P126" s="59">
        <f ca="1"/>
        <v>-156</v>
      </c>
      <c r="Q126" s="59">
        <f ca="1"/>
        <v>-156</v>
      </c>
      <c r="R126" s="59">
        <f ca="1"/>
        <v>-156</v>
      </c>
      <c r="S126" s="59">
        <f ca="1"/>
        <v>-156</v>
      </c>
      <c r="T126" s="59">
        <f ca="1"/>
        <v>-156</v>
      </c>
      <c r="U126" s="59">
        <f ca="1"/>
        <v>-156</v>
      </c>
      <c r="V126" s="59">
        <f ca="1"/>
        <v>-156</v>
      </c>
      <c r="W126" s="59">
        <f ca="1"/>
        <v>-156</v>
      </c>
      <c r="X126" s="59">
        <f ca="1"/>
        <v>-156</v>
      </c>
      <c r="Y126" s="59">
        <f ca="1"/>
        <v>-156</v>
      </c>
      <c r="Z126" s="59">
        <f ca="1"/>
        <v>-156</v>
      </c>
      <c r="AA126" s="59">
        <f ca="1"/>
        <v>-156</v>
      </c>
      <c r="AB126" s="59">
        <f ca="1"/>
        <v>-156</v>
      </c>
      <c r="AC126" s="59">
        <f ca="1"/>
        <v>-156</v>
      </c>
      <c r="AD126" s="59">
        <f ca="1"/>
        <v>-156</v>
      </c>
      <c r="AE126" s="59">
        <f ca="1"/>
        <v>-156</v>
      </c>
      <c r="AF126" s="59">
        <f ca="1"/>
        <v>-156</v>
      </c>
      <c r="AG126" s="59">
        <f ca="1"/>
        <v>-156</v>
      </c>
      <c r="AH126" s="59">
        <f ca="1"/>
        <v>-156</v>
      </c>
      <c r="AI126" s="59">
        <f ca="1"/>
        <v>-156</v>
      </c>
      <c r="AJ126" s="59">
        <f ca="1"/>
        <v>-156</v>
      </c>
      <c r="AK126" s="59">
        <f ca="1"/>
        <v>-156</v>
      </c>
      <c r="AL126" s="59">
        <f ca="1"/>
        <v>-156</v>
      </c>
      <c r="AM126" s="59">
        <f ca="1"/>
        <v>-156</v>
      </c>
      <c r="AN126" s="59">
        <f ca="1"/>
        <v>-156</v>
      </c>
      <c r="AO126" s="59">
        <f ca="1"/>
        <v>-156</v>
      </c>
      <c r="AP126" s="59">
        <f ca="1"/>
        <v>-156</v>
      </c>
      <c r="AQ126" s="59">
        <f ca="1"/>
        <v>-156</v>
      </c>
      <c r="AR126" s="59">
        <f ca="1"/>
        <v>-156</v>
      </c>
      <c r="AS126" s="59">
        <f ca="1"/>
        <v>-156</v>
      </c>
      <c r="AT126" s="59">
        <f ca="1"/>
        <v>-156</v>
      </c>
      <c r="AU126" s="59">
        <f ca="1"/>
        <v>-156</v>
      </c>
      <c r="AV126" s="59">
        <f ca="1"/>
        <v>-156</v>
      </c>
      <c r="AW126" s="59">
        <f ca="1"/>
        <v>-156</v>
      </c>
      <c r="AX126" s="59">
        <f ca="1"/>
        <v>-156</v>
      </c>
      <c r="AY126" s="59">
        <f ca="1"/>
        <v>-156</v>
      </c>
      <c r="AZ126" s="59">
        <f ca="1"/>
        <v>-156</v>
      </c>
      <c r="BA126" s="59">
        <f ca="1"/>
        <v>-156</v>
      </c>
      <c r="BS126" s="5">
        <f t="shared" si="23"/>
        <v>1048495</v>
      </c>
      <c r="BT126" s="5" t="str">
        <f t="shared" si="38"/>
        <v/>
      </c>
      <c r="CD126" s="5" t="e">
        <f t="shared" ca="1" si="26"/>
        <v>#REF!</v>
      </c>
      <c r="CE126" s="5" t="e">
        <f t="shared" ca="1" si="27"/>
        <v>#REF!</v>
      </c>
      <c r="CF126" s="5" t="e">
        <f t="shared" ca="1" si="25"/>
        <v>#REF!</v>
      </c>
      <c r="CG126" s="5"/>
    </row>
    <row r="127" spans="1:85" x14ac:dyDescent="0.25">
      <c r="A127" s="57" t="str">
        <f ca="1"/>
        <v>Auswärtiger Wochenaufenthalt</v>
      </c>
      <c r="B127" s="57">
        <f ca="1"/>
        <v>14</v>
      </c>
      <c r="C127" s="53" t="str">
        <f ca="1"/>
        <v>Amy</v>
      </c>
      <c r="D127" s="54"/>
      <c r="E127" s="63"/>
      <c r="F127" s="59">
        <f ca="1"/>
        <v>-20400</v>
      </c>
      <c r="G127" s="59">
        <f ca="1"/>
        <v>-20400</v>
      </c>
      <c r="H127" s="59">
        <f ca="1"/>
        <v>-20400</v>
      </c>
      <c r="I127" s="59">
        <f ca="1"/>
        <v>-20400</v>
      </c>
      <c r="J127" s="59">
        <f ca="1"/>
        <v>-20400</v>
      </c>
      <c r="K127" s="59">
        <f ca="1"/>
        <v>0</v>
      </c>
      <c r="L127" s="59">
        <f ca="1"/>
        <v>0</v>
      </c>
      <c r="M127" s="59">
        <f ca="1"/>
        <v>0</v>
      </c>
      <c r="N127" s="59">
        <f ca="1"/>
        <v>0</v>
      </c>
      <c r="O127" s="59">
        <f ca="1"/>
        <v>0</v>
      </c>
      <c r="P127" s="59">
        <f ca="1"/>
        <v>0</v>
      </c>
      <c r="Q127" s="59">
        <f ca="1"/>
        <v>0</v>
      </c>
      <c r="R127" s="59">
        <f ca="1"/>
        <v>0</v>
      </c>
      <c r="S127" s="59">
        <f ca="1"/>
        <v>0</v>
      </c>
      <c r="T127" s="59">
        <f ca="1"/>
        <v>0</v>
      </c>
      <c r="U127" s="59">
        <f ca="1"/>
        <v>0</v>
      </c>
      <c r="V127" s="59">
        <f ca="1"/>
        <v>0</v>
      </c>
      <c r="W127" s="59">
        <f ca="1"/>
        <v>0</v>
      </c>
      <c r="X127" s="59">
        <f ca="1"/>
        <v>0</v>
      </c>
      <c r="Y127" s="59">
        <f ca="1"/>
        <v>0</v>
      </c>
      <c r="Z127" s="59">
        <f ca="1"/>
        <v>0</v>
      </c>
      <c r="AA127" s="59">
        <f ca="1"/>
        <v>0</v>
      </c>
      <c r="AB127" s="59">
        <f ca="1"/>
        <v>0</v>
      </c>
      <c r="AC127" s="59">
        <f ca="1"/>
        <v>0</v>
      </c>
      <c r="AD127" s="59">
        <f ca="1"/>
        <v>0</v>
      </c>
      <c r="AE127" s="59">
        <f ca="1"/>
        <v>0</v>
      </c>
      <c r="AF127" s="59">
        <f ca="1"/>
        <v>0</v>
      </c>
      <c r="AG127" s="59">
        <f ca="1"/>
        <v>0</v>
      </c>
      <c r="AH127" s="59">
        <f ca="1"/>
        <v>0</v>
      </c>
      <c r="AI127" s="59">
        <f ca="1"/>
        <v>0</v>
      </c>
      <c r="AJ127" s="59">
        <f ca="1"/>
        <v>0</v>
      </c>
      <c r="AK127" s="59">
        <f ca="1"/>
        <v>0</v>
      </c>
      <c r="AL127" s="59">
        <f ca="1"/>
        <v>0</v>
      </c>
      <c r="AM127" s="59">
        <f ca="1"/>
        <v>0</v>
      </c>
      <c r="AN127" s="59">
        <f ca="1"/>
        <v>0</v>
      </c>
      <c r="AO127" s="59">
        <f ca="1"/>
        <v>0</v>
      </c>
      <c r="AP127" s="59">
        <f ca="1"/>
        <v>0</v>
      </c>
      <c r="AQ127" s="59">
        <f ca="1"/>
        <v>0</v>
      </c>
      <c r="AR127" s="59">
        <f ca="1"/>
        <v>0</v>
      </c>
      <c r="AS127" s="59">
        <f ca="1"/>
        <v>0</v>
      </c>
      <c r="AT127" s="59">
        <f ca="1"/>
        <v>0</v>
      </c>
      <c r="AU127" s="59">
        <f ca="1"/>
        <v>0</v>
      </c>
      <c r="AV127" s="59">
        <f ca="1"/>
        <v>0</v>
      </c>
      <c r="AW127" s="59">
        <f ca="1"/>
        <v>0</v>
      </c>
      <c r="AX127" s="59">
        <f ca="1"/>
        <v>0</v>
      </c>
      <c r="AY127" s="59">
        <f ca="1"/>
        <v>0</v>
      </c>
      <c r="AZ127" s="59">
        <f ca="1"/>
        <v>0</v>
      </c>
      <c r="BA127" s="59">
        <f ca="1"/>
        <v>0</v>
      </c>
      <c r="BS127" s="5">
        <f t="shared" si="23"/>
        <v>1048495</v>
      </c>
      <c r="BT127" s="5" t="str">
        <f t="shared" si="38"/>
        <v/>
      </c>
      <c r="CD127" s="5" t="e">
        <f t="shared" ca="1" si="26"/>
        <v>#REF!</v>
      </c>
      <c r="CE127" s="5" t="e">
        <f t="shared" ca="1" si="27"/>
        <v>#REF!</v>
      </c>
      <c r="CF127" s="5" t="e">
        <f t="shared" ca="1" si="25"/>
        <v>#REF!</v>
      </c>
      <c r="CG127" s="5"/>
    </row>
    <row r="128" spans="1:85" x14ac:dyDescent="0.25">
      <c r="A128" s="57" t="str">
        <f ca="1"/>
        <v>Berufskosten</v>
      </c>
      <c r="B128" s="57">
        <f ca="1"/>
        <v>15</v>
      </c>
      <c r="C128" s="53" t="str">
        <f ca="1"/>
        <v>Amy</v>
      </c>
      <c r="D128" s="54"/>
      <c r="E128" s="63"/>
      <c r="F128" s="59">
        <f ca="1"/>
        <v>-2652</v>
      </c>
      <c r="G128" s="59">
        <f ca="1"/>
        <v>-2652</v>
      </c>
      <c r="H128" s="59">
        <f ca="1"/>
        <v>-2652</v>
      </c>
      <c r="I128" s="59">
        <f ca="1"/>
        <v>-2652</v>
      </c>
      <c r="J128" s="59">
        <f ca="1"/>
        <v>-2652</v>
      </c>
      <c r="K128" s="59">
        <f ca="1"/>
        <v>0</v>
      </c>
      <c r="L128" s="59">
        <f ca="1"/>
        <v>0</v>
      </c>
      <c r="M128" s="59">
        <f ca="1"/>
        <v>0</v>
      </c>
      <c r="N128" s="59">
        <f ca="1"/>
        <v>0</v>
      </c>
      <c r="O128" s="59">
        <f ca="1"/>
        <v>0</v>
      </c>
      <c r="P128" s="59">
        <f ca="1"/>
        <v>0</v>
      </c>
      <c r="Q128" s="59">
        <f ca="1"/>
        <v>0</v>
      </c>
      <c r="R128" s="59">
        <f ca="1"/>
        <v>0</v>
      </c>
      <c r="S128" s="59">
        <f ca="1"/>
        <v>0</v>
      </c>
      <c r="T128" s="59">
        <f ca="1"/>
        <v>0</v>
      </c>
      <c r="U128" s="59">
        <f ca="1"/>
        <v>0</v>
      </c>
      <c r="V128" s="59">
        <f ca="1"/>
        <v>0</v>
      </c>
      <c r="W128" s="59">
        <f ca="1"/>
        <v>0</v>
      </c>
      <c r="X128" s="59">
        <f ca="1"/>
        <v>0</v>
      </c>
      <c r="Y128" s="59">
        <f ca="1"/>
        <v>0</v>
      </c>
      <c r="Z128" s="59">
        <f ca="1"/>
        <v>0</v>
      </c>
      <c r="AA128" s="59">
        <f ca="1"/>
        <v>0</v>
      </c>
      <c r="AB128" s="59">
        <f ca="1"/>
        <v>0</v>
      </c>
      <c r="AC128" s="59">
        <f ca="1"/>
        <v>0</v>
      </c>
      <c r="AD128" s="59">
        <f ca="1"/>
        <v>0</v>
      </c>
      <c r="AE128" s="59">
        <f ca="1"/>
        <v>0</v>
      </c>
      <c r="AF128" s="59">
        <f ca="1"/>
        <v>0</v>
      </c>
      <c r="AG128" s="59">
        <f ca="1"/>
        <v>0</v>
      </c>
      <c r="AH128" s="59">
        <f ca="1"/>
        <v>0</v>
      </c>
      <c r="AI128" s="59">
        <f ca="1"/>
        <v>0</v>
      </c>
      <c r="AJ128" s="59">
        <f ca="1"/>
        <v>0</v>
      </c>
      <c r="AK128" s="59">
        <f ca="1"/>
        <v>0</v>
      </c>
      <c r="AL128" s="59">
        <f ca="1"/>
        <v>0</v>
      </c>
      <c r="AM128" s="59">
        <f ca="1"/>
        <v>0</v>
      </c>
      <c r="AN128" s="59">
        <f ca="1"/>
        <v>0</v>
      </c>
      <c r="AO128" s="59">
        <f ca="1"/>
        <v>0</v>
      </c>
      <c r="AP128" s="59">
        <f ca="1"/>
        <v>0</v>
      </c>
      <c r="AQ128" s="59">
        <f ca="1"/>
        <v>0</v>
      </c>
      <c r="AR128" s="59">
        <f ca="1"/>
        <v>0</v>
      </c>
      <c r="AS128" s="59">
        <f ca="1"/>
        <v>0</v>
      </c>
      <c r="AT128" s="59">
        <f ca="1"/>
        <v>0</v>
      </c>
      <c r="AU128" s="59">
        <f ca="1"/>
        <v>0</v>
      </c>
      <c r="AV128" s="59">
        <f ca="1"/>
        <v>0</v>
      </c>
      <c r="AW128" s="59">
        <f ca="1"/>
        <v>0</v>
      </c>
      <c r="AX128" s="59">
        <f ca="1"/>
        <v>0</v>
      </c>
      <c r="AY128" s="59">
        <f ca="1"/>
        <v>0</v>
      </c>
      <c r="AZ128" s="59">
        <f ca="1"/>
        <v>0</v>
      </c>
      <c r="BA128" s="59">
        <f ca="1"/>
        <v>0</v>
      </c>
      <c r="BS128" s="5">
        <f t="shared" si="23"/>
        <v>1048495</v>
      </c>
      <c r="BT128" s="5" t="str">
        <f t="shared" si="38"/>
        <v/>
      </c>
      <c r="CD128" s="5" t="e">
        <f t="shared" ca="1" si="26"/>
        <v>#REF!</v>
      </c>
      <c r="CE128" s="5" t="e">
        <f t="shared" ca="1" si="27"/>
        <v>#REF!</v>
      </c>
      <c r="CF128" s="5" t="e">
        <f t="shared" ca="1" si="25"/>
        <v>#REF!</v>
      </c>
      <c r="CG128" s="5"/>
    </row>
    <row r="129" spans="1:85" x14ac:dyDescent="0.25">
      <c r="A129" s="57" t="str">
        <f ca="1"/>
        <v>Verheiratetenabzug</v>
      </c>
      <c r="B129" s="57">
        <f ca="1"/>
        <v>16</v>
      </c>
      <c r="C129" s="53" t="str">
        <f ca="1"/>
        <v>Amy</v>
      </c>
      <c r="D129" s="54"/>
      <c r="E129" s="63"/>
      <c r="F129" s="59">
        <f ca="1"/>
        <v>-5200</v>
      </c>
      <c r="G129" s="59">
        <f ca="1"/>
        <v>-5200</v>
      </c>
      <c r="H129" s="59">
        <f ca="1"/>
        <v>-5200</v>
      </c>
      <c r="I129" s="59">
        <f ca="1"/>
        <v>-5200</v>
      </c>
      <c r="J129" s="59">
        <f ca="1"/>
        <v>-5200</v>
      </c>
      <c r="K129" s="59">
        <f ca="1"/>
        <v>-5200</v>
      </c>
      <c r="L129" s="59">
        <f ca="1"/>
        <v>-5200</v>
      </c>
      <c r="M129" s="59">
        <f ca="1"/>
        <v>-5200</v>
      </c>
      <c r="N129" s="59">
        <f ca="1"/>
        <v>-5200</v>
      </c>
      <c r="O129" s="59">
        <f ca="1"/>
        <v>-5200</v>
      </c>
      <c r="P129" s="59">
        <f ca="1"/>
        <v>-5200</v>
      </c>
      <c r="Q129" s="59">
        <f ca="1"/>
        <v>-5200</v>
      </c>
      <c r="R129" s="59">
        <f ca="1"/>
        <v>-5200</v>
      </c>
      <c r="S129" s="59">
        <f ca="1"/>
        <v>-5200</v>
      </c>
      <c r="T129" s="59">
        <f ca="1"/>
        <v>-5200</v>
      </c>
      <c r="U129" s="59">
        <f ca="1"/>
        <v>-5200</v>
      </c>
      <c r="V129" s="59">
        <f ca="1"/>
        <v>-5200</v>
      </c>
      <c r="W129" s="59">
        <f ca="1"/>
        <v>-5200</v>
      </c>
      <c r="X129" s="59">
        <f ca="1"/>
        <v>-5200</v>
      </c>
      <c r="Y129" s="59">
        <f ca="1"/>
        <v>-5200</v>
      </c>
      <c r="Z129" s="59">
        <f ca="1"/>
        <v>-5200</v>
      </c>
      <c r="AA129" s="59">
        <f ca="1"/>
        <v>-5200</v>
      </c>
      <c r="AB129" s="59">
        <f ca="1"/>
        <v>-5200</v>
      </c>
      <c r="AC129" s="59">
        <f ca="1"/>
        <v>-5200</v>
      </c>
      <c r="AD129" s="59">
        <f ca="1"/>
        <v>-5200</v>
      </c>
      <c r="AE129" s="59">
        <f ca="1"/>
        <v>-5200</v>
      </c>
      <c r="AF129" s="59">
        <f ca="1"/>
        <v>-5200</v>
      </c>
      <c r="AG129" s="59">
        <f ca="1"/>
        <v>-5200</v>
      </c>
      <c r="AH129" s="59">
        <f ca="1"/>
        <v>-5200</v>
      </c>
      <c r="AI129" s="59">
        <f ca="1"/>
        <v>-5200</v>
      </c>
      <c r="AJ129" s="59">
        <f ca="1"/>
        <v>-5200</v>
      </c>
      <c r="AK129" s="59">
        <f ca="1"/>
        <v>-5200</v>
      </c>
      <c r="AL129" s="59">
        <f ca="1"/>
        <v>-5200</v>
      </c>
      <c r="AM129" s="59">
        <f ca="1"/>
        <v>-5200</v>
      </c>
      <c r="AN129" s="59">
        <f ca="1"/>
        <v>-5200</v>
      </c>
      <c r="AO129" s="59">
        <f ca="1"/>
        <v>-5200</v>
      </c>
      <c r="AP129" s="59">
        <f ca="1"/>
        <v>-5200</v>
      </c>
      <c r="AQ129" s="59">
        <f ca="1"/>
        <v>-5200</v>
      </c>
      <c r="AR129" s="59">
        <f ca="1"/>
        <v>-5200</v>
      </c>
      <c r="AS129" s="59">
        <f ca="1"/>
        <v>-5200</v>
      </c>
      <c r="AT129" s="59">
        <f ca="1"/>
        <v>-5200</v>
      </c>
      <c r="AU129" s="59">
        <f ca="1"/>
        <v>-5200</v>
      </c>
      <c r="AV129" s="59">
        <f ca="1"/>
        <v>-5200</v>
      </c>
      <c r="AW129" s="59">
        <f ca="1"/>
        <v>-5200</v>
      </c>
      <c r="AX129" s="59">
        <f ca="1"/>
        <v>-5200</v>
      </c>
      <c r="AY129" s="59">
        <f ca="1"/>
        <v>-5200</v>
      </c>
      <c r="AZ129" s="59">
        <f ca="1"/>
        <v>-5200</v>
      </c>
      <c r="BA129" s="59">
        <f ca="1"/>
        <v>-5200</v>
      </c>
      <c r="BS129" s="5">
        <f t="shared" si="23"/>
        <v>1048495</v>
      </c>
      <c r="BT129" s="5" t="str">
        <f t="shared" si="38"/>
        <v/>
      </c>
      <c r="CD129" s="5" t="e">
        <f t="shared" ca="1" si="26"/>
        <v>#REF!</v>
      </c>
      <c r="CE129" s="5" t="e">
        <f t="shared" ca="1" si="27"/>
        <v>#REF!</v>
      </c>
      <c r="CF129" s="5" t="e">
        <f t="shared" ca="1" si="25"/>
        <v>#REF!</v>
      </c>
      <c r="CG129" s="5"/>
    </row>
    <row r="130" spans="1:85" hidden="1" x14ac:dyDescent="0.25">
      <c r="A130" s="57"/>
      <c r="B130" s="57"/>
      <c r="C130" s="53"/>
      <c r="D130" s="54"/>
      <c r="E130" s="63"/>
      <c r="F130" s="59"/>
      <c r="G130" s="59"/>
      <c r="H130" s="59"/>
      <c r="I130" s="59"/>
      <c r="J130" s="59"/>
      <c r="K130" s="59"/>
      <c r="L130" s="59"/>
      <c r="M130" s="59"/>
      <c r="N130" s="59"/>
      <c r="O130" s="59"/>
      <c r="P130" s="59"/>
      <c r="Q130" s="59"/>
      <c r="R130" s="59"/>
      <c r="S130" s="59"/>
      <c r="T130" s="59"/>
      <c r="U130" s="59"/>
      <c r="V130" s="59"/>
      <c r="W130" s="59"/>
      <c r="X130" s="59"/>
      <c r="Y130" s="59"/>
      <c r="Z130" s="59"/>
      <c r="AA130" s="59"/>
      <c r="AB130" s="59"/>
      <c r="AC130" s="59"/>
      <c r="AD130" s="59"/>
      <c r="AE130" s="59"/>
      <c r="AF130" s="59"/>
      <c r="AG130" s="59"/>
      <c r="AH130" s="59"/>
      <c r="AI130" s="59"/>
      <c r="AJ130" s="59"/>
      <c r="AK130" s="59"/>
      <c r="AL130" s="59"/>
      <c r="AM130" s="59"/>
      <c r="AN130" s="59"/>
      <c r="AO130" s="59"/>
      <c r="AP130" s="59"/>
      <c r="AQ130" s="59"/>
      <c r="AR130" s="59"/>
      <c r="AS130" s="59"/>
      <c r="AT130" s="59"/>
      <c r="AU130" s="59"/>
      <c r="AV130" s="59"/>
      <c r="AW130" s="59"/>
      <c r="AX130" s="59"/>
      <c r="AY130" s="59"/>
      <c r="AZ130" s="59"/>
      <c r="BA130" s="59"/>
      <c r="BS130" s="5">
        <f t="shared" ref="BS130:BS148" si="39">COUNTIF(BT:BT,BT130)-1</f>
        <v>1048495</v>
      </c>
      <c r="BT130" s="5" t="str">
        <f t="shared" si="38"/>
        <v/>
      </c>
      <c r="CD130" s="5" t="e">
        <f t="shared" ca="1" si="26"/>
        <v>#REF!</v>
      </c>
      <c r="CE130" s="5" t="e">
        <f t="shared" ca="1" si="27"/>
        <v>#REF!</v>
      </c>
      <c r="CF130" s="5" t="e">
        <f t="shared" ca="1" si="25"/>
        <v>#REF!</v>
      </c>
      <c r="CG130" s="5"/>
    </row>
    <row r="131" spans="1:85" hidden="1" x14ac:dyDescent="0.25">
      <c r="A131" s="57"/>
      <c r="B131" s="57"/>
      <c r="C131" s="53"/>
      <c r="D131" s="54"/>
      <c r="E131" s="63"/>
      <c r="F131" s="59"/>
      <c r="G131" s="59"/>
      <c r="H131" s="59"/>
      <c r="I131" s="59"/>
      <c r="J131" s="59"/>
      <c r="K131" s="59"/>
      <c r="L131" s="59"/>
      <c r="M131" s="59"/>
      <c r="N131" s="59"/>
      <c r="O131" s="59"/>
      <c r="P131" s="59"/>
      <c r="Q131" s="59"/>
      <c r="R131" s="59"/>
      <c r="S131" s="59"/>
      <c r="T131" s="59"/>
      <c r="U131" s="59"/>
      <c r="V131" s="59"/>
      <c r="W131" s="59"/>
      <c r="X131" s="59"/>
      <c r="Y131" s="59"/>
      <c r="Z131" s="59"/>
      <c r="AA131" s="59"/>
      <c r="AB131" s="59"/>
      <c r="AC131" s="59"/>
      <c r="AD131" s="59"/>
      <c r="AE131" s="59"/>
      <c r="AF131" s="59"/>
      <c r="AG131" s="59"/>
      <c r="AH131" s="59"/>
      <c r="AI131" s="59"/>
      <c r="AJ131" s="59"/>
      <c r="AK131" s="59"/>
      <c r="AL131" s="59"/>
      <c r="AM131" s="59"/>
      <c r="AN131" s="59"/>
      <c r="AO131" s="59"/>
      <c r="AP131" s="59"/>
      <c r="AQ131" s="59"/>
      <c r="AR131" s="59"/>
      <c r="AS131" s="59"/>
      <c r="AT131" s="59"/>
      <c r="AU131" s="59"/>
      <c r="AV131" s="59"/>
      <c r="AW131" s="59"/>
      <c r="AX131" s="59"/>
      <c r="AY131" s="59"/>
      <c r="AZ131" s="59"/>
      <c r="BA131" s="59"/>
      <c r="BS131" s="5">
        <f t="shared" si="39"/>
        <v>1048495</v>
      </c>
      <c r="BT131" s="5" t="str">
        <f t="shared" si="38"/>
        <v/>
      </c>
      <c r="CD131" s="5" t="e">
        <f t="shared" ca="1" si="26"/>
        <v>#REF!</v>
      </c>
      <c r="CE131" s="5" t="e">
        <f t="shared" ca="1" si="27"/>
        <v>#REF!</v>
      </c>
      <c r="CF131" s="5" t="e">
        <f t="shared" ref="CF131:CF154" ca="1" si="40">_xlfn.TEXTJOIN(" - ",TRUE,CD131,CE131,CB131)</f>
        <v>#REF!</v>
      </c>
      <c r="CG131" s="5"/>
    </row>
    <row r="132" spans="1:85" hidden="1" x14ac:dyDescent="0.25">
      <c r="A132" s="57"/>
      <c r="B132" s="57"/>
      <c r="C132" s="53"/>
      <c r="D132" s="54"/>
      <c r="E132" s="63"/>
      <c r="F132" s="59"/>
      <c r="G132" s="59"/>
      <c r="H132" s="59"/>
      <c r="I132" s="59"/>
      <c r="J132" s="59"/>
      <c r="K132" s="59"/>
      <c r="L132" s="59"/>
      <c r="M132" s="59"/>
      <c r="N132" s="59"/>
      <c r="O132" s="59"/>
      <c r="P132" s="59"/>
      <c r="Q132" s="59"/>
      <c r="R132" s="59"/>
      <c r="S132" s="59"/>
      <c r="T132" s="59"/>
      <c r="U132" s="59"/>
      <c r="V132" s="59"/>
      <c r="W132" s="59"/>
      <c r="X132" s="59"/>
      <c r="Y132" s="59"/>
      <c r="Z132" s="59"/>
      <c r="AA132" s="59"/>
      <c r="AB132" s="59"/>
      <c r="AC132" s="59"/>
      <c r="AD132" s="59"/>
      <c r="AE132" s="59"/>
      <c r="AF132" s="59"/>
      <c r="AG132" s="59"/>
      <c r="AH132" s="59"/>
      <c r="AI132" s="59"/>
      <c r="AJ132" s="59"/>
      <c r="AK132" s="59"/>
      <c r="AL132" s="59"/>
      <c r="AM132" s="59"/>
      <c r="AN132" s="59"/>
      <c r="AO132" s="59"/>
      <c r="AP132" s="59"/>
      <c r="AQ132" s="59"/>
      <c r="AR132" s="59"/>
      <c r="AS132" s="59"/>
      <c r="AT132" s="59"/>
      <c r="AU132" s="59"/>
      <c r="AV132" s="59"/>
      <c r="AW132" s="59"/>
      <c r="AX132" s="59"/>
      <c r="AY132" s="59"/>
      <c r="AZ132" s="59"/>
      <c r="BA132" s="59"/>
      <c r="BS132" s="5">
        <f t="shared" si="39"/>
        <v>1048495</v>
      </c>
      <c r="BT132" s="5" t="str">
        <f t="shared" si="38"/>
        <v/>
      </c>
      <c r="CD132" s="5" t="e">
        <f t="shared" ref="CD132:CD154" ca="1" si="41">INDEX(INDIRECT($BV132&amp;"[Zugehörigkeit Bezeichnung]"),MATCH($BW132,INDIRECT($BV132&amp;"[Id]"),0))</f>
        <v>#REF!</v>
      </c>
      <c r="CE132" s="5" t="e">
        <f t="shared" ref="CE132:CE154" ca="1" si="42">INDEX(INDIRECT($BV132&amp;"[Titel]"),MATCH($BW132,INDIRECT($BV132&amp;"[Id]"),0))</f>
        <v>#REF!</v>
      </c>
      <c r="CF132" s="5" t="e">
        <f t="shared" ca="1" si="40"/>
        <v>#REF!</v>
      </c>
      <c r="CG132" s="5"/>
    </row>
    <row r="133" spans="1:85" hidden="1" x14ac:dyDescent="0.25">
      <c r="A133" s="57"/>
      <c r="B133" s="57"/>
      <c r="C133" s="53"/>
      <c r="D133" s="54"/>
      <c r="E133" s="63"/>
      <c r="F133" s="59"/>
      <c r="G133" s="59"/>
      <c r="H133" s="59"/>
      <c r="I133" s="59"/>
      <c r="J133" s="59"/>
      <c r="K133" s="59"/>
      <c r="L133" s="59"/>
      <c r="M133" s="59"/>
      <c r="N133" s="59"/>
      <c r="O133" s="59"/>
      <c r="P133" s="59"/>
      <c r="Q133" s="59"/>
      <c r="R133" s="59"/>
      <c r="S133" s="59"/>
      <c r="T133" s="59"/>
      <c r="U133" s="59"/>
      <c r="V133" s="59"/>
      <c r="W133" s="59"/>
      <c r="X133" s="59"/>
      <c r="Y133" s="59"/>
      <c r="Z133" s="59"/>
      <c r="AA133" s="59"/>
      <c r="AB133" s="59"/>
      <c r="AC133" s="59"/>
      <c r="AD133" s="59"/>
      <c r="AE133" s="59"/>
      <c r="AF133" s="59"/>
      <c r="AG133" s="59"/>
      <c r="AH133" s="59"/>
      <c r="AI133" s="59"/>
      <c r="AJ133" s="59"/>
      <c r="AK133" s="59"/>
      <c r="AL133" s="59"/>
      <c r="AM133" s="59"/>
      <c r="AN133" s="59"/>
      <c r="AO133" s="59"/>
      <c r="AP133" s="59"/>
      <c r="AQ133" s="59"/>
      <c r="AR133" s="59"/>
      <c r="AS133" s="59"/>
      <c r="AT133" s="59"/>
      <c r="AU133" s="59"/>
      <c r="AV133" s="59"/>
      <c r="AW133" s="59"/>
      <c r="AX133" s="59"/>
      <c r="AY133" s="59"/>
      <c r="AZ133" s="59"/>
      <c r="BA133" s="59"/>
      <c r="BS133" s="5">
        <f t="shared" si="39"/>
        <v>1048495</v>
      </c>
      <c r="BT133" s="5" t="str">
        <f t="shared" si="38"/>
        <v/>
      </c>
      <c r="CD133" s="5" t="e">
        <f t="shared" ca="1" si="41"/>
        <v>#REF!</v>
      </c>
      <c r="CE133" s="5" t="e">
        <f t="shared" ca="1" si="42"/>
        <v>#REF!</v>
      </c>
      <c r="CF133" s="5" t="e">
        <f t="shared" ca="1" si="40"/>
        <v>#REF!</v>
      </c>
      <c r="CG133" s="5"/>
    </row>
    <row r="134" spans="1:85" hidden="1" x14ac:dyDescent="0.25">
      <c r="A134" s="57"/>
      <c r="B134" s="57"/>
      <c r="C134" s="53"/>
      <c r="D134" s="54"/>
      <c r="E134" s="63"/>
      <c r="F134" s="59"/>
      <c r="G134" s="59"/>
      <c r="H134" s="59"/>
      <c r="I134" s="59"/>
      <c r="J134" s="59"/>
      <c r="K134" s="59"/>
      <c r="L134" s="59"/>
      <c r="M134" s="59"/>
      <c r="N134" s="59"/>
      <c r="O134" s="59"/>
      <c r="P134" s="59"/>
      <c r="Q134" s="59"/>
      <c r="R134" s="59"/>
      <c r="S134" s="59"/>
      <c r="T134" s="59"/>
      <c r="U134" s="59"/>
      <c r="V134" s="59"/>
      <c r="W134" s="59"/>
      <c r="X134" s="59"/>
      <c r="Y134" s="59"/>
      <c r="Z134" s="59"/>
      <c r="AA134" s="59"/>
      <c r="AB134" s="59"/>
      <c r="AC134" s="59"/>
      <c r="AD134" s="59"/>
      <c r="AE134" s="59"/>
      <c r="AF134" s="59"/>
      <c r="AG134" s="59"/>
      <c r="AH134" s="59"/>
      <c r="AI134" s="59"/>
      <c r="AJ134" s="59"/>
      <c r="AK134" s="59"/>
      <c r="AL134" s="59"/>
      <c r="AM134" s="59"/>
      <c r="AN134" s="59"/>
      <c r="AO134" s="59"/>
      <c r="AP134" s="59"/>
      <c r="AQ134" s="59"/>
      <c r="AR134" s="59"/>
      <c r="AS134" s="59"/>
      <c r="AT134" s="59"/>
      <c r="AU134" s="59"/>
      <c r="AV134" s="59"/>
      <c r="AW134" s="59"/>
      <c r="AX134" s="59"/>
      <c r="AY134" s="59"/>
      <c r="AZ134" s="59"/>
      <c r="BA134" s="59"/>
      <c r="BS134" s="5">
        <f t="shared" si="39"/>
        <v>-1</v>
      </c>
      <c r="BT134" s="5"/>
      <c r="CD134" s="5" t="e">
        <f t="shared" ca="1" si="41"/>
        <v>#REF!</v>
      </c>
      <c r="CE134" s="5" t="e">
        <f t="shared" ca="1" si="42"/>
        <v>#REF!</v>
      </c>
      <c r="CF134" s="5" t="e">
        <f t="shared" ca="1" si="40"/>
        <v>#REF!</v>
      </c>
      <c r="CG134" s="5"/>
    </row>
    <row r="135" spans="1:85" hidden="1" x14ac:dyDescent="0.25">
      <c r="A135" s="57"/>
      <c r="B135" s="57"/>
      <c r="C135" s="53"/>
      <c r="D135" s="54"/>
      <c r="E135" s="63"/>
      <c r="F135" s="59"/>
      <c r="G135" s="59"/>
      <c r="H135" s="59"/>
      <c r="I135" s="59"/>
      <c r="J135" s="59"/>
      <c r="K135" s="59"/>
      <c r="L135" s="59"/>
      <c r="M135" s="59"/>
      <c r="N135" s="59"/>
      <c r="O135" s="59"/>
      <c r="P135" s="59"/>
      <c r="Q135" s="59"/>
      <c r="R135" s="59"/>
      <c r="S135" s="59"/>
      <c r="T135" s="59"/>
      <c r="U135" s="59"/>
      <c r="V135" s="59"/>
      <c r="W135" s="59"/>
      <c r="X135" s="59"/>
      <c r="Y135" s="59"/>
      <c r="Z135" s="59"/>
      <c r="AA135" s="59"/>
      <c r="AB135" s="59"/>
      <c r="AC135" s="59"/>
      <c r="AD135" s="59"/>
      <c r="AE135" s="59"/>
      <c r="AF135" s="59"/>
      <c r="AG135" s="59"/>
      <c r="AH135" s="59"/>
      <c r="AI135" s="59"/>
      <c r="AJ135" s="59"/>
      <c r="AK135" s="59"/>
      <c r="AL135" s="59"/>
      <c r="AM135" s="59"/>
      <c r="AN135" s="59"/>
      <c r="AO135" s="59"/>
      <c r="AP135" s="59"/>
      <c r="AQ135" s="59"/>
      <c r="AR135" s="59"/>
      <c r="AS135" s="59"/>
      <c r="AT135" s="59"/>
      <c r="AU135" s="59"/>
      <c r="AV135" s="59"/>
      <c r="AW135" s="59"/>
      <c r="AX135" s="59"/>
      <c r="AY135" s="59"/>
      <c r="AZ135" s="59"/>
      <c r="BA135" s="59"/>
      <c r="BS135" s="5">
        <f t="shared" si="39"/>
        <v>-1</v>
      </c>
      <c r="BT135" s="5"/>
      <c r="CD135" s="5" t="e">
        <f t="shared" ca="1" si="41"/>
        <v>#REF!</v>
      </c>
      <c r="CE135" s="5" t="e">
        <f t="shared" ca="1" si="42"/>
        <v>#REF!</v>
      </c>
      <c r="CF135" s="5" t="e">
        <f t="shared" ca="1" si="40"/>
        <v>#REF!</v>
      </c>
      <c r="CG135" s="5"/>
    </row>
    <row r="136" spans="1:85" hidden="1" x14ac:dyDescent="0.25">
      <c r="A136" s="57"/>
      <c r="B136" s="57"/>
      <c r="C136" s="53"/>
      <c r="D136" s="54"/>
      <c r="E136" s="63"/>
      <c r="F136" s="59"/>
      <c r="G136" s="59"/>
      <c r="H136" s="59"/>
      <c r="I136" s="59"/>
      <c r="J136" s="59"/>
      <c r="K136" s="59"/>
      <c r="L136" s="59"/>
      <c r="M136" s="59"/>
      <c r="N136" s="59"/>
      <c r="O136" s="59"/>
      <c r="P136" s="59"/>
      <c r="Q136" s="59"/>
      <c r="R136" s="59"/>
      <c r="S136" s="59"/>
      <c r="T136" s="59"/>
      <c r="U136" s="59"/>
      <c r="V136" s="59"/>
      <c r="W136" s="59"/>
      <c r="X136" s="59"/>
      <c r="Y136" s="59"/>
      <c r="Z136" s="59"/>
      <c r="AA136" s="59"/>
      <c r="AB136" s="59"/>
      <c r="AC136" s="59"/>
      <c r="AD136" s="59"/>
      <c r="AE136" s="59"/>
      <c r="AF136" s="59"/>
      <c r="AG136" s="59"/>
      <c r="AH136" s="59"/>
      <c r="AI136" s="59"/>
      <c r="AJ136" s="59"/>
      <c r="AK136" s="59"/>
      <c r="AL136" s="59"/>
      <c r="AM136" s="59"/>
      <c r="AN136" s="59"/>
      <c r="AO136" s="59"/>
      <c r="AP136" s="59"/>
      <c r="AQ136" s="59"/>
      <c r="AR136" s="59"/>
      <c r="AS136" s="59"/>
      <c r="AT136" s="59"/>
      <c r="AU136" s="59"/>
      <c r="AV136" s="59"/>
      <c r="AW136" s="59"/>
      <c r="AX136" s="59"/>
      <c r="AY136" s="59"/>
      <c r="AZ136" s="59"/>
      <c r="BA136" s="59"/>
      <c r="BS136" s="5">
        <f t="shared" si="39"/>
        <v>-1</v>
      </c>
      <c r="BT136" s="5"/>
      <c r="CD136" s="5" t="e">
        <f t="shared" ca="1" si="41"/>
        <v>#REF!</v>
      </c>
      <c r="CE136" s="5" t="e">
        <f t="shared" ca="1" si="42"/>
        <v>#REF!</v>
      </c>
      <c r="CF136" s="5" t="e">
        <f t="shared" ca="1" si="40"/>
        <v>#REF!</v>
      </c>
      <c r="CG136" s="5"/>
    </row>
    <row r="137" spans="1:85" ht="27.75" customHeight="1" x14ac:dyDescent="0.25">
      <c r="A137" s="56" t="s">
        <v>13</v>
      </c>
      <c r="B137" s="57"/>
      <c r="C137" s="53"/>
      <c r="D137" s="54"/>
      <c r="E137" s="63"/>
      <c r="F137" s="58">
        <f ca="1">SUM(F138:F147)</f>
        <v>207956.40000000002</v>
      </c>
      <c r="G137" s="58">
        <f t="shared" ref="G137:BA137" ca="1" si="43">SUM(G138:G147)</f>
        <v>290113.91776921757</v>
      </c>
      <c r="H137" s="58">
        <f t="shared" ca="1" si="43"/>
        <v>384374.36181969807</v>
      </c>
      <c r="I137" s="58">
        <f t="shared" ca="1" si="43"/>
        <v>461823.45210956235</v>
      </c>
      <c r="J137" s="58">
        <f t="shared" ca="1" si="43"/>
        <v>965292.9945368364</v>
      </c>
      <c r="K137" s="58">
        <f t="shared" ca="1" si="43"/>
        <v>1353872.2038225033</v>
      </c>
      <c r="L137" s="58">
        <f t="shared" ca="1" si="43"/>
        <v>1202678.4604925145</v>
      </c>
      <c r="M137" s="58">
        <f t="shared" ca="1" si="43"/>
        <v>1209552.7215598163</v>
      </c>
      <c r="N137" s="58">
        <f t="shared" ca="1" si="43"/>
        <v>1232527.281245793</v>
      </c>
      <c r="O137" s="58">
        <f t="shared" ca="1" si="43"/>
        <v>1210564.0257335403</v>
      </c>
      <c r="P137" s="58">
        <f t="shared" ca="1" si="43"/>
        <v>1214394.9774927439</v>
      </c>
      <c r="Q137" s="58">
        <f t="shared" ca="1" si="43"/>
        <v>1216980.0856288695</v>
      </c>
      <c r="R137" s="58">
        <f t="shared" ca="1" si="43"/>
        <v>1218277.8850604575</v>
      </c>
      <c r="S137" s="58">
        <f t="shared" ca="1" si="43"/>
        <v>1218231.124064378</v>
      </c>
      <c r="T137" s="58">
        <f t="shared" ca="1" si="43"/>
        <v>1216791.2135983985</v>
      </c>
      <c r="U137" s="58">
        <f t="shared" ca="1" si="43"/>
        <v>1213902.8734096878</v>
      </c>
      <c r="V137" s="58">
        <f t="shared" ca="1" si="43"/>
        <v>1209514.3375721304</v>
      </c>
      <c r="W137" s="58">
        <f t="shared" ca="1" si="43"/>
        <v>1203561.843789316</v>
      </c>
      <c r="X137" s="58">
        <f t="shared" ca="1" si="43"/>
        <v>1195989.5925472032</v>
      </c>
      <c r="Y137" s="58">
        <f t="shared" ca="1" si="43"/>
        <v>1186735.9309230479</v>
      </c>
      <c r="Z137" s="58">
        <f t="shared" ca="1" si="43"/>
        <v>1175742.0004483343</v>
      </c>
      <c r="AA137" s="58">
        <f t="shared" ca="1" si="43"/>
        <v>1162936.2647465484</v>
      </c>
      <c r="AB137" s="58">
        <f t="shared" ca="1" si="43"/>
        <v>1148261.6034648623</v>
      </c>
      <c r="AC137" s="58">
        <f t="shared" ca="1" si="43"/>
        <v>1131642.6069926806</v>
      </c>
      <c r="AD137" s="58">
        <f t="shared" ca="1" si="43"/>
        <v>1113012.948951436</v>
      </c>
      <c r="AE137" s="58">
        <f t="shared" ca="1" si="43"/>
        <v>1092298.6341303103</v>
      </c>
      <c r="AF137" s="58">
        <f t="shared" ca="1" si="43"/>
        <v>1069423.4475997738</v>
      </c>
      <c r="AG137" s="58">
        <f t="shared" ca="1" si="43"/>
        <v>1044313.9914664449</v>
      </c>
      <c r="AH137" s="58">
        <f t="shared" ca="1" si="43"/>
        <v>1016890.0509707085</v>
      </c>
      <c r="AI137" s="58">
        <f t="shared" ca="1" si="43"/>
        <v>987067.99982244591</v>
      </c>
      <c r="AJ137" s="58">
        <f t="shared" ca="1" si="43"/>
        <v>954768.26101615676</v>
      </c>
      <c r="AK137" s="58">
        <f t="shared" ca="1" si="43"/>
        <v>919908.28958122339</v>
      </c>
      <c r="AL137" s="58">
        <f t="shared" ca="1" si="43"/>
        <v>882392.05593619507</v>
      </c>
      <c r="AM137" s="58">
        <f t="shared" ca="1" si="43"/>
        <v>842137.54945616191</v>
      </c>
      <c r="AN137" s="58">
        <f t="shared" ca="1" si="43"/>
        <v>799043.93076962687</v>
      </c>
      <c r="AO137" s="58">
        <f t="shared" ca="1" si="43"/>
        <v>753023.50423683098</v>
      </c>
      <c r="AP137" s="58">
        <f t="shared" ca="1" si="43"/>
        <v>703937.28851076041</v>
      </c>
      <c r="AQ137" s="58">
        <f t="shared" ca="1" si="43"/>
        <v>651668.49105566414</v>
      </c>
      <c r="AR137" s="58">
        <f t="shared" ca="1" si="43"/>
        <v>596106.30094676022</v>
      </c>
      <c r="AS137" s="58">
        <f t="shared" ca="1" si="43"/>
        <v>537131.10641064565</v>
      </c>
      <c r="AT137" s="58">
        <f t="shared" ca="1" si="43"/>
        <v>474629.37717239582</v>
      </c>
      <c r="AU137" s="58">
        <f t="shared" ca="1" si="43"/>
        <v>408484.33703206957</v>
      </c>
      <c r="AV137" s="58">
        <f t="shared" ca="1" si="43"/>
        <v>338553.5805371367</v>
      </c>
      <c r="AW137" s="58">
        <f t="shared" ca="1" si="43"/>
        <v>264652.3319312958</v>
      </c>
      <c r="AX137" s="58">
        <f t="shared" ca="1" si="43"/>
        <v>186652.41600197135</v>
      </c>
      <c r="AY137" s="58">
        <f t="shared" ca="1" si="43"/>
        <v>104398.80225524609</v>
      </c>
      <c r="AZ137" s="58">
        <f t="shared" ca="1" si="43"/>
        <v>17705.236116742715</v>
      </c>
      <c r="BA137" s="58">
        <f t="shared" ca="1" si="43"/>
        <v>-73732.07531735755</v>
      </c>
      <c r="BS137" s="5">
        <f t="shared" si="39"/>
        <v>-1</v>
      </c>
      <c r="BT137" s="5"/>
      <c r="CD137" s="5" t="e">
        <f t="shared" ca="1" si="41"/>
        <v>#REF!</v>
      </c>
      <c r="CE137" s="5" t="e">
        <f t="shared" ca="1" si="42"/>
        <v>#REF!</v>
      </c>
      <c r="CF137" s="5" t="e">
        <f t="shared" ca="1" si="40"/>
        <v>#REF!</v>
      </c>
      <c r="CG137" s="5"/>
    </row>
    <row r="138" spans="1:85" x14ac:dyDescent="0.25">
      <c r="A138" s="57" t="s">
        <v>59</v>
      </c>
      <c r="B138" s="57"/>
      <c r="C138" s="53"/>
      <c r="D138" s="54"/>
      <c r="E138" s="63"/>
      <c r="F138" s="59">
        <f t="shared" ref="F138:BA138" ca="1" si="44">F43</f>
        <v>288099.40000000002</v>
      </c>
      <c r="G138" s="59">
        <f t="shared" ca="1" si="44"/>
        <v>377708.08076921757</v>
      </c>
      <c r="H138" s="59">
        <f t="shared" ca="1" si="44"/>
        <v>470281.41250069806</v>
      </c>
      <c r="I138" s="59">
        <f t="shared" ca="1" si="44"/>
        <v>555071.68244706234</v>
      </c>
      <c r="J138" s="59">
        <f t="shared" ca="1" si="44"/>
        <v>846292.9945368364</v>
      </c>
      <c r="K138" s="59">
        <f t="shared" ca="1" si="44"/>
        <v>1232872.2038225033</v>
      </c>
      <c r="L138" s="59">
        <f t="shared" ca="1" si="44"/>
        <v>1296067.1612583613</v>
      </c>
      <c r="M138" s="59">
        <f t="shared" ca="1" si="44"/>
        <v>1309772.3359598164</v>
      </c>
      <c r="N138" s="59">
        <f t="shared" ca="1" si="44"/>
        <v>1333372.4885817275</v>
      </c>
      <c r="O138" s="59">
        <f t="shared" ca="1" si="44"/>
        <v>1340564.0257335403</v>
      </c>
      <c r="P138" s="59">
        <f t="shared" ca="1" si="44"/>
        <v>1344394.9774927439</v>
      </c>
      <c r="Q138" s="59">
        <f t="shared" ca="1" si="44"/>
        <v>1346980.0856288695</v>
      </c>
      <c r="R138" s="59">
        <f t="shared" ca="1" si="44"/>
        <v>1348277.8850604575</v>
      </c>
      <c r="S138" s="59">
        <f t="shared" ca="1" si="44"/>
        <v>1348231.124064378</v>
      </c>
      <c r="T138" s="59">
        <f t="shared" ca="1" si="44"/>
        <v>1346791.2135983985</v>
      </c>
      <c r="U138" s="59">
        <f t="shared" ca="1" si="44"/>
        <v>1343902.8734096878</v>
      </c>
      <c r="V138" s="59">
        <f t="shared" ca="1" si="44"/>
        <v>1339514.3375721304</v>
      </c>
      <c r="W138" s="59">
        <f t="shared" ca="1" si="44"/>
        <v>1333561.843789316</v>
      </c>
      <c r="X138" s="59">
        <f t="shared" ca="1" si="44"/>
        <v>1325989.5925472032</v>
      </c>
      <c r="Y138" s="59">
        <f t="shared" ca="1" si="44"/>
        <v>1316735.9309230479</v>
      </c>
      <c r="Z138" s="59">
        <f t="shared" ca="1" si="44"/>
        <v>1305742.0004483343</v>
      </c>
      <c r="AA138" s="59">
        <f t="shared" ca="1" si="44"/>
        <v>1292936.2647465484</v>
      </c>
      <c r="AB138" s="59">
        <f t="shared" ca="1" si="44"/>
        <v>1278261.6034648623</v>
      </c>
      <c r="AC138" s="59">
        <f t="shared" ca="1" si="44"/>
        <v>1261642.6069926806</v>
      </c>
      <c r="AD138" s="59">
        <f t="shared" ca="1" si="44"/>
        <v>1243012.948951436</v>
      </c>
      <c r="AE138" s="59">
        <f t="shared" ca="1" si="44"/>
        <v>1222298.6341303103</v>
      </c>
      <c r="AF138" s="59">
        <f t="shared" ca="1" si="44"/>
        <v>1199423.4475997738</v>
      </c>
      <c r="AG138" s="59">
        <f t="shared" ca="1" si="44"/>
        <v>1174313.9914664449</v>
      </c>
      <c r="AH138" s="59">
        <f t="shared" ca="1" si="44"/>
        <v>1146890.0509707085</v>
      </c>
      <c r="AI138" s="59">
        <f t="shared" ca="1" si="44"/>
        <v>1117067.9998224459</v>
      </c>
      <c r="AJ138" s="59">
        <f t="shared" ca="1" si="44"/>
        <v>1084768.2610161568</v>
      </c>
      <c r="AK138" s="59">
        <f t="shared" ca="1" si="44"/>
        <v>1049908.2895812234</v>
      </c>
      <c r="AL138" s="59">
        <f t="shared" ca="1" si="44"/>
        <v>1012392.0559361951</v>
      </c>
      <c r="AM138" s="59">
        <f t="shared" ca="1" si="44"/>
        <v>972137.54945616191</v>
      </c>
      <c r="AN138" s="59">
        <f t="shared" ca="1" si="44"/>
        <v>929043.93076962687</v>
      </c>
      <c r="AO138" s="59">
        <f t="shared" ca="1" si="44"/>
        <v>883023.50423683098</v>
      </c>
      <c r="AP138" s="59">
        <f t="shared" ca="1" si="44"/>
        <v>833937.28851076041</v>
      </c>
      <c r="AQ138" s="59">
        <f t="shared" ca="1" si="44"/>
        <v>781668.49105566414</v>
      </c>
      <c r="AR138" s="59">
        <f t="shared" ca="1" si="44"/>
        <v>726106.30094676022</v>
      </c>
      <c r="AS138" s="59">
        <f t="shared" ca="1" si="44"/>
        <v>667131.10641064565</v>
      </c>
      <c r="AT138" s="59">
        <f t="shared" ca="1" si="44"/>
        <v>604629.37717239582</v>
      </c>
      <c r="AU138" s="59">
        <f t="shared" ca="1" si="44"/>
        <v>538484.33703206957</v>
      </c>
      <c r="AV138" s="59">
        <f t="shared" ca="1" si="44"/>
        <v>468553.5805371367</v>
      </c>
      <c r="AW138" s="59">
        <f t="shared" ca="1" si="44"/>
        <v>394652.3319312958</v>
      </c>
      <c r="AX138" s="59">
        <f t="shared" ca="1" si="44"/>
        <v>316652.41600197135</v>
      </c>
      <c r="AY138" s="59">
        <f t="shared" ca="1" si="44"/>
        <v>234398.80225524609</v>
      </c>
      <c r="AZ138" s="59">
        <f t="shared" ca="1" si="44"/>
        <v>147705.23611674266</v>
      </c>
      <c r="BA138" s="59">
        <f t="shared" ca="1" si="44"/>
        <v>56267.924682642471</v>
      </c>
      <c r="BS138" s="5">
        <f t="shared" si="39"/>
        <v>-1</v>
      </c>
      <c r="BT138" s="5"/>
      <c r="CD138" s="5" t="e">
        <f t="shared" ca="1" si="41"/>
        <v>#REF!</v>
      </c>
      <c r="CE138" s="5" t="e">
        <f t="shared" ca="1" si="42"/>
        <v>#REF!</v>
      </c>
      <c r="CF138" s="5" t="e">
        <f t="shared" ca="1" si="40"/>
        <v>#REF!</v>
      </c>
      <c r="CG138" s="5"/>
    </row>
    <row r="139" spans="1:85" x14ac:dyDescent="0.25">
      <c r="A139" s="57" t="s">
        <v>98</v>
      </c>
      <c r="B139" s="57"/>
      <c r="C139" s="53"/>
      <c r="D139" s="54"/>
      <c r="E139" s="63"/>
      <c r="F139" s="59">
        <f t="shared" ref="F139:BA139" ca="1" si="45">F70</f>
        <v>-880000</v>
      </c>
      <c r="G139" s="59">
        <f t="shared" ca="1" si="45"/>
        <v>-880000</v>
      </c>
      <c r="H139" s="59">
        <f t="shared" ca="1" si="45"/>
        <v>-880000</v>
      </c>
      <c r="I139" s="59">
        <f t="shared" ca="1" si="45"/>
        <v>-880000</v>
      </c>
      <c r="J139" s="59">
        <f t="shared" ca="1" si="45"/>
        <v>-880000</v>
      </c>
      <c r="K139" s="59">
        <f t="shared" ca="1" si="45"/>
        <v>-880000</v>
      </c>
      <c r="L139" s="59">
        <f t="shared" ca="1" si="45"/>
        <v>-880000</v>
      </c>
      <c r="M139" s="59">
        <f t="shared" ca="1" si="45"/>
        <v>-880000</v>
      </c>
      <c r="N139" s="59">
        <f t="shared" ca="1" si="45"/>
        <v>-880000</v>
      </c>
      <c r="O139" s="59">
        <f t="shared" ca="1" si="45"/>
        <v>-880000</v>
      </c>
      <c r="P139" s="59">
        <f t="shared" ca="1" si="45"/>
        <v>-880000</v>
      </c>
      <c r="Q139" s="59">
        <f t="shared" ca="1" si="45"/>
        <v>-880000</v>
      </c>
      <c r="R139" s="59">
        <f t="shared" ca="1" si="45"/>
        <v>-880000</v>
      </c>
      <c r="S139" s="59">
        <f t="shared" ca="1" si="45"/>
        <v>-880000</v>
      </c>
      <c r="T139" s="59">
        <f t="shared" ca="1" si="45"/>
        <v>-880000</v>
      </c>
      <c r="U139" s="59">
        <f t="shared" ca="1" si="45"/>
        <v>-880000</v>
      </c>
      <c r="V139" s="59">
        <f t="shared" ca="1" si="45"/>
        <v>-880000</v>
      </c>
      <c r="W139" s="59">
        <f t="shared" ca="1" si="45"/>
        <v>-880000</v>
      </c>
      <c r="X139" s="59">
        <f t="shared" ca="1" si="45"/>
        <v>-880000</v>
      </c>
      <c r="Y139" s="59">
        <f t="shared" ca="1" si="45"/>
        <v>-880000</v>
      </c>
      <c r="Z139" s="59">
        <f t="shared" ca="1" si="45"/>
        <v>-880000</v>
      </c>
      <c r="AA139" s="59">
        <f t="shared" ca="1" si="45"/>
        <v>-880000</v>
      </c>
      <c r="AB139" s="59">
        <f t="shared" ca="1" si="45"/>
        <v>-880000</v>
      </c>
      <c r="AC139" s="59">
        <f t="shared" ca="1" si="45"/>
        <v>-880000</v>
      </c>
      <c r="AD139" s="59">
        <f t="shared" ca="1" si="45"/>
        <v>-880000</v>
      </c>
      <c r="AE139" s="59">
        <f t="shared" ca="1" si="45"/>
        <v>-880000</v>
      </c>
      <c r="AF139" s="59">
        <f t="shared" ca="1" si="45"/>
        <v>-880000</v>
      </c>
      <c r="AG139" s="59">
        <f t="shared" ca="1" si="45"/>
        <v>-880000</v>
      </c>
      <c r="AH139" s="59">
        <f t="shared" ca="1" si="45"/>
        <v>-880000</v>
      </c>
      <c r="AI139" s="59">
        <f t="shared" ca="1" si="45"/>
        <v>-880000</v>
      </c>
      <c r="AJ139" s="59">
        <f t="shared" ca="1" si="45"/>
        <v>-880000</v>
      </c>
      <c r="AK139" s="59">
        <f t="shared" ca="1" si="45"/>
        <v>-880000</v>
      </c>
      <c r="AL139" s="59">
        <f t="shared" ca="1" si="45"/>
        <v>-880000</v>
      </c>
      <c r="AM139" s="59">
        <f t="shared" ca="1" si="45"/>
        <v>-880000</v>
      </c>
      <c r="AN139" s="59">
        <f t="shared" ca="1" si="45"/>
        <v>-880000</v>
      </c>
      <c r="AO139" s="59">
        <f t="shared" ca="1" si="45"/>
        <v>-880000</v>
      </c>
      <c r="AP139" s="59">
        <f t="shared" ca="1" si="45"/>
        <v>-880000</v>
      </c>
      <c r="AQ139" s="59">
        <f t="shared" ca="1" si="45"/>
        <v>-880000</v>
      </c>
      <c r="AR139" s="59">
        <f t="shared" ca="1" si="45"/>
        <v>-880000</v>
      </c>
      <c r="AS139" s="59">
        <f t="shared" ca="1" si="45"/>
        <v>-880000</v>
      </c>
      <c r="AT139" s="59">
        <f t="shared" ca="1" si="45"/>
        <v>-880000</v>
      </c>
      <c r="AU139" s="59">
        <f t="shared" ca="1" si="45"/>
        <v>-880000</v>
      </c>
      <c r="AV139" s="59">
        <f t="shared" ca="1" si="45"/>
        <v>-880000</v>
      </c>
      <c r="AW139" s="59">
        <f t="shared" ca="1" si="45"/>
        <v>-880000</v>
      </c>
      <c r="AX139" s="59">
        <f t="shared" ca="1" si="45"/>
        <v>-880000</v>
      </c>
      <c r="AY139" s="59">
        <f t="shared" ca="1" si="45"/>
        <v>-880000</v>
      </c>
      <c r="AZ139" s="59">
        <f t="shared" ca="1" si="45"/>
        <v>-880000</v>
      </c>
      <c r="BA139" s="59">
        <f t="shared" ca="1" si="45"/>
        <v>-880000</v>
      </c>
      <c r="BS139" s="5">
        <f t="shared" si="39"/>
        <v>1048495</v>
      </c>
      <c r="BT139" s="5" t="str">
        <f t="shared" ref="BT139:BT149" si="46">BU139&amp;BV139&amp;BW139</f>
        <v/>
      </c>
      <c r="CD139" s="5" t="e">
        <f t="shared" ca="1" si="41"/>
        <v>#REF!</v>
      </c>
      <c r="CE139" s="5" t="e">
        <f t="shared" ca="1" si="42"/>
        <v>#REF!</v>
      </c>
      <c r="CF139" s="5" t="e">
        <f t="shared" ca="1" si="40"/>
        <v>#REF!</v>
      </c>
      <c r="CG139" s="5"/>
    </row>
    <row r="140" spans="1:85" x14ac:dyDescent="0.25">
      <c r="A140" s="57" t="s">
        <v>108</v>
      </c>
      <c r="B140" s="57"/>
      <c r="C140" s="53"/>
      <c r="D140" s="54"/>
      <c r="E140" s="63"/>
      <c r="F140" s="59">
        <f>SUM(V_Liegensch[Steuerwert])</f>
        <v>750000</v>
      </c>
      <c r="G140" s="59">
        <f>F140</f>
        <v>750000</v>
      </c>
      <c r="H140" s="59">
        <f t="shared" ref="H140:BA140" si="47">G140</f>
        <v>750000</v>
      </c>
      <c r="I140" s="59">
        <f t="shared" si="47"/>
        <v>750000</v>
      </c>
      <c r="J140" s="59">
        <f t="shared" si="47"/>
        <v>750000</v>
      </c>
      <c r="K140" s="59">
        <f t="shared" si="47"/>
        <v>750000</v>
      </c>
      <c r="L140" s="59">
        <f t="shared" si="47"/>
        <v>750000</v>
      </c>
      <c r="M140" s="59">
        <f t="shared" si="47"/>
        <v>750000</v>
      </c>
      <c r="N140" s="59">
        <f t="shared" si="47"/>
        <v>750000</v>
      </c>
      <c r="O140" s="59">
        <f t="shared" si="47"/>
        <v>750000</v>
      </c>
      <c r="P140" s="59">
        <f t="shared" si="47"/>
        <v>750000</v>
      </c>
      <c r="Q140" s="59">
        <f t="shared" si="47"/>
        <v>750000</v>
      </c>
      <c r="R140" s="59">
        <f t="shared" si="47"/>
        <v>750000</v>
      </c>
      <c r="S140" s="59">
        <f t="shared" si="47"/>
        <v>750000</v>
      </c>
      <c r="T140" s="59">
        <f t="shared" si="47"/>
        <v>750000</v>
      </c>
      <c r="U140" s="59">
        <f t="shared" si="47"/>
        <v>750000</v>
      </c>
      <c r="V140" s="59">
        <f t="shared" si="47"/>
        <v>750000</v>
      </c>
      <c r="W140" s="59">
        <f t="shared" si="47"/>
        <v>750000</v>
      </c>
      <c r="X140" s="59">
        <f t="shared" si="47"/>
        <v>750000</v>
      </c>
      <c r="Y140" s="59">
        <f t="shared" si="47"/>
        <v>750000</v>
      </c>
      <c r="Z140" s="59">
        <f t="shared" si="47"/>
        <v>750000</v>
      </c>
      <c r="AA140" s="59">
        <f t="shared" si="47"/>
        <v>750000</v>
      </c>
      <c r="AB140" s="59">
        <f t="shared" si="47"/>
        <v>750000</v>
      </c>
      <c r="AC140" s="59">
        <f t="shared" si="47"/>
        <v>750000</v>
      </c>
      <c r="AD140" s="59">
        <f t="shared" si="47"/>
        <v>750000</v>
      </c>
      <c r="AE140" s="59">
        <f t="shared" si="47"/>
        <v>750000</v>
      </c>
      <c r="AF140" s="59">
        <f t="shared" si="47"/>
        <v>750000</v>
      </c>
      <c r="AG140" s="59">
        <f t="shared" si="47"/>
        <v>750000</v>
      </c>
      <c r="AH140" s="59">
        <f t="shared" si="47"/>
        <v>750000</v>
      </c>
      <c r="AI140" s="59">
        <f t="shared" si="47"/>
        <v>750000</v>
      </c>
      <c r="AJ140" s="59">
        <f t="shared" si="47"/>
        <v>750000</v>
      </c>
      <c r="AK140" s="59">
        <f t="shared" si="47"/>
        <v>750000</v>
      </c>
      <c r="AL140" s="59">
        <f t="shared" si="47"/>
        <v>750000</v>
      </c>
      <c r="AM140" s="59">
        <f t="shared" si="47"/>
        <v>750000</v>
      </c>
      <c r="AN140" s="59">
        <f t="shared" si="47"/>
        <v>750000</v>
      </c>
      <c r="AO140" s="59">
        <f t="shared" si="47"/>
        <v>750000</v>
      </c>
      <c r="AP140" s="59">
        <f t="shared" si="47"/>
        <v>750000</v>
      </c>
      <c r="AQ140" s="59">
        <f t="shared" si="47"/>
        <v>750000</v>
      </c>
      <c r="AR140" s="59">
        <f t="shared" si="47"/>
        <v>750000</v>
      </c>
      <c r="AS140" s="59">
        <f t="shared" si="47"/>
        <v>750000</v>
      </c>
      <c r="AT140" s="59">
        <f t="shared" si="47"/>
        <v>750000</v>
      </c>
      <c r="AU140" s="59">
        <f t="shared" si="47"/>
        <v>750000</v>
      </c>
      <c r="AV140" s="59">
        <f t="shared" si="47"/>
        <v>750000</v>
      </c>
      <c r="AW140" s="59">
        <f t="shared" si="47"/>
        <v>750000</v>
      </c>
      <c r="AX140" s="59">
        <f t="shared" si="47"/>
        <v>750000</v>
      </c>
      <c r="AY140" s="59">
        <f t="shared" si="47"/>
        <v>750000</v>
      </c>
      <c r="AZ140" s="59">
        <f t="shared" si="47"/>
        <v>750000</v>
      </c>
      <c r="BA140" s="59">
        <f t="shared" si="47"/>
        <v>750000</v>
      </c>
      <c r="BS140" s="5">
        <f t="shared" si="39"/>
        <v>1048495</v>
      </c>
      <c r="BT140" s="5" t="str">
        <f t="shared" si="46"/>
        <v/>
      </c>
      <c r="CD140" s="5" t="e">
        <f t="shared" ca="1" si="41"/>
        <v>#REF!</v>
      </c>
      <c r="CE140" s="5" t="e">
        <f t="shared" ca="1" si="42"/>
        <v>#REF!</v>
      </c>
      <c r="CF140" s="5" t="e">
        <f t="shared" ca="1" si="40"/>
        <v>#REF!</v>
      </c>
      <c r="CG140" s="5"/>
    </row>
    <row r="141" spans="1:85" hidden="1" x14ac:dyDescent="0.25">
      <c r="A141" s="57"/>
      <c r="B141" s="57"/>
      <c r="C141" s="53"/>
      <c r="D141" s="54"/>
      <c r="E141" s="63"/>
      <c r="F141" s="59"/>
      <c r="G141" s="59"/>
      <c r="H141" s="59"/>
      <c r="I141" s="59"/>
      <c r="J141" s="59"/>
      <c r="K141" s="59"/>
      <c r="L141" s="59"/>
      <c r="M141" s="59"/>
      <c r="N141" s="59"/>
      <c r="O141" s="59"/>
      <c r="P141" s="59"/>
      <c r="Q141" s="59"/>
      <c r="R141" s="59"/>
      <c r="S141" s="59"/>
      <c r="T141" s="59"/>
      <c r="U141" s="59"/>
      <c r="V141" s="59"/>
      <c r="W141" s="59"/>
      <c r="X141" s="59"/>
      <c r="Y141" s="59"/>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X141" s="59"/>
      <c r="AY141" s="59"/>
      <c r="AZ141" s="59"/>
      <c r="BA141" s="59"/>
      <c r="BS141" s="5">
        <f t="shared" si="39"/>
        <v>1048495</v>
      </c>
      <c r="BT141" s="5" t="str">
        <f t="shared" si="46"/>
        <v/>
      </c>
      <c r="CD141" s="5" t="e">
        <f t="shared" ca="1" si="41"/>
        <v>#REF!</v>
      </c>
      <c r="CE141" s="5" t="e">
        <f t="shared" ca="1" si="42"/>
        <v>#REF!</v>
      </c>
      <c r="CF141" s="5" t="e">
        <f t="shared" ca="1" si="40"/>
        <v>#REF!</v>
      </c>
      <c r="CG141" s="5"/>
    </row>
    <row r="142" spans="1:85" hidden="1" x14ac:dyDescent="0.25">
      <c r="A142" s="57"/>
      <c r="B142" s="57"/>
      <c r="C142" s="53"/>
      <c r="D142" s="54"/>
      <c r="E142" s="63"/>
      <c r="F142" s="59"/>
      <c r="G142" s="59"/>
      <c r="H142" s="59"/>
      <c r="I142" s="59"/>
      <c r="J142" s="59"/>
      <c r="K142" s="59"/>
      <c r="L142" s="59"/>
      <c r="M142" s="59"/>
      <c r="N142" s="59"/>
      <c r="O142" s="59"/>
      <c r="P142" s="59"/>
      <c r="Q142" s="59"/>
      <c r="R142" s="59"/>
      <c r="S142" s="59"/>
      <c r="T142" s="59"/>
      <c r="U142" s="59"/>
      <c r="V142" s="59"/>
      <c r="W142" s="59"/>
      <c r="X142" s="59"/>
      <c r="Y142" s="59"/>
      <c r="Z142" s="59"/>
      <c r="AA142" s="59"/>
      <c r="AB142" s="59"/>
      <c r="AC142" s="59"/>
      <c r="AD142" s="59"/>
      <c r="AE142" s="59"/>
      <c r="AF142" s="59"/>
      <c r="AG142" s="59"/>
      <c r="AH142" s="59"/>
      <c r="AI142" s="59"/>
      <c r="AJ142" s="59"/>
      <c r="AK142" s="59"/>
      <c r="AL142" s="59"/>
      <c r="AM142" s="59"/>
      <c r="AN142" s="59"/>
      <c r="AO142" s="59"/>
      <c r="AP142" s="59"/>
      <c r="AQ142" s="59"/>
      <c r="AR142" s="59"/>
      <c r="AS142" s="59"/>
      <c r="AT142" s="59"/>
      <c r="AU142" s="59"/>
      <c r="AV142" s="59"/>
      <c r="AW142" s="59"/>
      <c r="AX142" s="59"/>
      <c r="AY142" s="59"/>
      <c r="AZ142" s="59"/>
      <c r="BA142" s="59"/>
      <c r="BS142" s="5">
        <f t="shared" si="39"/>
        <v>1048495</v>
      </c>
      <c r="BT142" s="5" t="str">
        <f t="shared" si="46"/>
        <v/>
      </c>
      <c r="CD142" s="5" t="e">
        <f t="shared" ca="1" si="41"/>
        <v>#REF!</v>
      </c>
      <c r="CE142" s="5" t="e">
        <f t="shared" ca="1" si="42"/>
        <v>#REF!</v>
      </c>
      <c r="CF142" s="5" t="e">
        <f t="shared" ca="1" si="40"/>
        <v>#REF!</v>
      </c>
      <c r="CG142" s="5"/>
    </row>
    <row r="143" spans="1:85" hidden="1" x14ac:dyDescent="0.25">
      <c r="A143" s="57"/>
      <c r="B143" s="57"/>
      <c r="C143" s="53"/>
      <c r="D143" s="54"/>
      <c r="E143" s="63"/>
      <c r="F143" s="59"/>
      <c r="G143" s="59"/>
      <c r="H143" s="59"/>
      <c r="I143" s="59"/>
      <c r="J143" s="59"/>
      <c r="K143" s="59"/>
      <c r="L143" s="59"/>
      <c r="M143" s="59"/>
      <c r="N143" s="59"/>
      <c r="O143" s="59"/>
      <c r="P143" s="59"/>
      <c r="Q143" s="59"/>
      <c r="R143" s="59"/>
      <c r="S143" s="59"/>
      <c r="T143" s="59"/>
      <c r="U143" s="59"/>
      <c r="V143" s="59"/>
      <c r="W143" s="59"/>
      <c r="X143" s="59"/>
      <c r="Y143" s="59"/>
      <c r="Z143" s="59"/>
      <c r="AA143" s="59"/>
      <c r="AB143" s="59"/>
      <c r="AC143" s="59"/>
      <c r="AD143" s="59"/>
      <c r="AE143" s="59"/>
      <c r="AF143" s="59"/>
      <c r="AG143" s="59"/>
      <c r="AH143" s="59"/>
      <c r="AI143" s="59"/>
      <c r="AJ143" s="59"/>
      <c r="AK143" s="59"/>
      <c r="AL143" s="59"/>
      <c r="AM143" s="59"/>
      <c r="AN143" s="59"/>
      <c r="AO143" s="59"/>
      <c r="AP143" s="59"/>
      <c r="AQ143" s="59"/>
      <c r="AR143" s="59"/>
      <c r="AS143" s="59"/>
      <c r="AT143" s="59"/>
      <c r="AU143" s="59"/>
      <c r="AV143" s="59"/>
      <c r="AW143" s="59"/>
      <c r="AX143" s="59"/>
      <c r="AY143" s="59"/>
      <c r="AZ143" s="59"/>
      <c r="BA143" s="59"/>
      <c r="BS143" s="5">
        <f t="shared" si="39"/>
        <v>1048495</v>
      </c>
      <c r="BT143" s="5" t="str">
        <f t="shared" si="46"/>
        <v/>
      </c>
      <c r="CD143" s="5" t="e">
        <f t="shared" ca="1" si="41"/>
        <v>#REF!</v>
      </c>
      <c r="CE143" s="5" t="e">
        <f t="shared" ca="1" si="42"/>
        <v>#REF!</v>
      </c>
      <c r="CF143" s="5" t="e">
        <f t="shared" ca="1" si="40"/>
        <v>#REF!</v>
      </c>
      <c r="CG143" s="5"/>
    </row>
    <row r="144" spans="1:85" hidden="1" x14ac:dyDescent="0.25">
      <c r="A144" s="57"/>
      <c r="B144" s="57"/>
      <c r="C144" s="53"/>
      <c r="D144" s="54"/>
      <c r="E144" s="63"/>
      <c r="F144" s="59"/>
      <c r="G144" s="59"/>
      <c r="H144" s="59"/>
      <c r="I144" s="59"/>
      <c r="J144" s="59"/>
      <c r="K144" s="59"/>
      <c r="L144" s="59"/>
      <c r="M144" s="59"/>
      <c r="N144" s="59"/>
      <c r="O144" s="59"/>
      <c r="P144" s="59"/>
      <c r="Q144" s="59"/>
      <c r="R144" s="59"/>
      <c r="S144" s="59"/>
      <c r="T144" s="59"/>
      <c r="U144" s="59"/>
      <c r="V144" s="59"/>
      <c r="W144" s="59"/>
      <c r="X144" s="59"/>
      <c r="Y144" s="59"/>
      <c r="Z144" s="59"/>
      <c r="AA144" s="59"/>
      <c r="AB144" s="59"/>
      <c r="AC144" s="59"/>
      <c r="AD144" s="59"/>
      <c r="AE144" s="59"/>
      <c r="AF144" s="59"/>
      <c r="AG144" s="59"/>
      <c r="AH144" s="59"/>
      <c r="AI144" s="59"/>
      <c r="AJ144" s="59"/>
      <c r="AK144" s="59"/>
      <c r="AL144" s="59"/>
      <c r="AM144" s="59"/>
      <c r="AN144" s="59"/>
      <c r="AO144" s="59"/>
      <c r="AP144" s="59"/>
      <c r="AQ144" s="59"/>
      <c r="AR144" s="59"/>
      <c r="AS144" s="59"/>
      <c r="AT144" s="59"/>
      <c r="AU144" s="59"/>
      <c r="AV144" s="59"/>
      <c r="AW144" s="59"/>
      <c r="AX144" s="59"/>
      <c r="AY144" s="59"/>
      <c r="AZ144" s="59"/>
      <c r="BA144" s="59"/>
      <c r="BS144" s="5">
        <f t="shared" si="39"/>
        <v>1048495</v>
      </c>
      <c r="BT144" s="5" t="str">
        <f t="shared" si="46"/>
        <v/>
      </c>
      <c r="CD144" s="5" t="e">
        <f t="shared" ca="1" si="41"/>
        <v>#REF!</v>
      </c>
      <c r="CE144" s="5" t="e">
        <f t="shared" ca="1" si="42"/>
        <v>#REF!</v>
      </c>
      <c r="CF144" s="5" t="e">
        <f t="shared" ca="1" si="40"/>
        <v>#REF!</v>
      </c>
      <c r="CG144" s="5"/>
    </row>
    <row r="145" spans="1:85" hidden="1" x14ac:dyDescent="0.25">
      <c r="A145" s="57"/>
      <c r="B145" s="57"/>
      <c r="C145" s="53"/>
      <c r="D145" s="54"/>
      <c r="E145" s="63"/>
      <c r="F145" s="59"/>
      <c r="G145" s="59"/>
      <c r="H145" s="59"/>
      <c r="I145" s="59"/>
      <c r="J145" s="59"/>
      <c r="K145" s="59"/>
      <c r="L145" s="59"/>
      <c r="M145" s="59"/>
      <c r="N145" s="59"/>
      <c r="O145" s="59"/>
      <c r="P145" s="59"/>
      <c r="Q145" s="59"/>
      <c r="R145" s="59"/>
      <c r="S145" s="59"/>
      <c r="T145" s="59"/>
      <c r="U145" s="59"/>
      <c r="V145" s="59"/>
      <c r="W145" s="59"/>
      <c r="X145" s="59"/>
      <c r="Y145" s="59"/>
      <c r="Z145" s="59"/>
      <c r="AA145" s="59"/>
      <c r="AB145" s="59"/>
      <c r="AC145" s="59"/>
      <c r="AD145" s="59"/>
      <c r="AE145" s="59"/>
      <c r="AF145" s="59"/>
      <c r="AG145" s="59"/>
      <c r="AH145" s="59"/>
      <c r="AI145" s="59"/>
      <c r="AJ145" s="59"/>
      <c r="AK145" s="59"/>
      <c r="AL145" s="59"/>
      <c r="AM145" s="59"/>
      <c r="AN145" s="59"/>
      <c r="AO145" s="59"/>
      <c r="AP145" s="59"/>
      <c r="AQ145" s="59"/>
      <c r="AR145" s="59"/>
      <c r="AS145" s="59"/>
      <c r="AT145" s="59"/>
      <c r="AU145" s="59"/>
      <c r="AV145" s="59"/>
      <c r="AW145" s="59"/>
      <c r="AX145" s="59"/>
      <c r="AY145" s="59"/>
      <c r="AZ145" s="59"/>
      <c r="BA145" s="59"/>
      <c r="BS145" s="5">
        <f t="shared" si="39"/>
        <v>1048495</v>
      </c>
      <c r="BT145" s="5" t="str">
        <f t="shared" si="46"/>
        <v/>
      </c>
      <c r="CD145" s="5" t="e">
        <f t="shared" ca="1" si="41"/>
        <v>#REF!</v>
      </c>
      <c r="CE145" s="5" t="e">
        <f t="shared" ca="1" si="42"/>
        <v>#REF!</v>
      </c>
      <c r="CF145" s="5" t="e">
        <f t="shared" ca="1" si="40"/>
        <v>#REF!</v>
      </c>
      <c r="CG145" s="5"/>
    </row>
    <row r="146" spans="1:85" hidden="1" x14ac:dyDescent="0.25">
      <c r="A146" s="57"/>
      <c r="B146" s="57"/>
      <c r="C146" s="53"/>
      <c r="D146" s="54"/>
      <c r="E146" s="63"/>
      <c r="F146" s="59"/>
      <c r="G146" s="59"/>
      <c r="H146" s="59"/>
      <c r="I146" s="59"/>
      <c r="J146" s="59"/>
      <c r="K146" s="59"/>
      <c r="L146" s="59"/>
      <c r="M146" s="59"/>
      <c r="N146" s="59"/>
      <c r="O146" s="59"/>
      <c r="P146" s="59"/>
      <c r="Q146" s="59"/>
      <c r="R146" s="59"/>
      <c r="S146" s="59"/>
      <c r="T146" s="59"/>
      <c r="U146" s="59"/>
      <c r="V146" s="59"/>
      <c r="W146" s="59"/>
      <c r="X146" s="59"/>
      <c r="Y146" s="59"/>
      <c r="Z146" s="59"/>
      <c r="AA146" s="59"/>
      <c r="AB146" s="59"/>
      <c r="AC146" s="59"/>
      <c r="AD146" s="59"/>
      <c r="AE146" s="59"/>
      <c r="AF146" s="59"/>
      <c r="AG146" s="59"/>
      <c r="AH146" s="59"/>
      <c r="AI146" s="59"/>
      <c r="AJ146" s="59"/>
      <c r="AK146" s="59"/>
      <c r="AL146" s="59"/>
      <c r="AM146" s="59"/>
      <c r="AN146" s="59"/>
      <c r="AO146" s="59"/>
      <c r="AP146" s="59"/>
      <c r="AQ146" s="59"/>
      <c r="AR146" s="59"/>
      <c r="AS146" s="59"/>
      <c r="AT146" s="59"/>
      <c r="AU146" s="59"/>
      <c r="AV146" s="59"/>
      <c r="AW146" s="59"/>
      <c r="AX146" s="59"/>
      <c r="AY146" s="59"/>
      <c r="AZ146" s="59"/>
      <c r="BA146" s="59"/>
      <c r="BS146" s="5">
        <f t="shared" si="39"/>
        <v>1048495</v>
      </c>
      <c r="BT146" s="5" t="str">
        <f t="shared" si="46"/>
        <v/>
      </c>
      <c r="CD146" s="5" t="e">
        <f t="shared" ca="1" si="41"/>
        <v>#REF!</v>
      </c>
      <c r="CE146" s="5" t="e">
        <f t="shared" ca="1" si="42"/>
        <v>#REF!</v>
      </c>
      <c r="CF146" s="5" t="e">
        <f t="shared" ca="1" si="40"/>
        <v>#REF!</v>
      </c>
      <c r="CG146" s="5"/>
    </row>
    <row r="147" spans="1:85" ht="28.15" customHeight="1" x14ac:dyDescent="0.25">
      <c r="A147" s="56" t="s">
        <v>269</v>
      </c>
      <c r="B147" s="57"/>
      <c r="C147" s="53"/>
      <c r="D147" s="54"/>
      <c r="E147" s="63"/>
      <c r="F147" s="58">
        <f>SUM(F88:F89)</f>
        <v>49857</v>
      </c>
      <c r="G147" s="58">
        <f t="shared" ref="G147:BA147" si="48">SUM(G88:G89)</f>
        <v>42405.837</v>
      </c>
      <c r="H147" s="58">
        <f t="shared" si="48"/>
        <v>44092.949318999985</v>
      </c>
      <c r="I147" s="58">
        <f t="shared" si="48"/>
        <v>36751.769662499995</v>
      </c>
      <c r="J147" s="58">
        <f t="shared" si="48"/>
        <v>249000</v>
      </c>
      <c r="K147" s="58">
        <f t="shared" si="48"/>
        <v>251000</v>
      </c>
      <c r="L147" s="58">
        <f t="shared" si="48"/>
        <v>36611.299234153194</v>
      </c>
      <c r="M147" s="58">
        <f t="shared" si="48"/>
        <v>29780.385600000001</v>
      </c>
      <c r="N147" s="58">
        <f t="shared" si="48"/>
        <v>29154.792664065601</v>
      </c>
      <c r="O147" s="58">
        <f t="shared" si="48"/>
        <v>0</v>
      </c>
      <c r="P147" s="58">
        <f t="shared" si="48"/>
        <v>0</v>
      </c>
      <c r="Q147" s="58">
        <f t="shared" si="48"/>
        <v>0</v>
      </c>
      <c r="R147" s="58">
        <f t="shared" si="48"/>
        <v>0</v>
      </c>
      <c r="S147" s="58">
        <f t="shared" si="48"/>
        <v>0</v>
      </c>
      <c r="T147" s="58">
        <f t="shared" si="48"/>
        <v>0</v>
      </c>
      <c r="U147" s="58">
        <f t="shared" si="48"/>
        <v>0</v>
      </c>
      <c r="V147" s="58">
        <f t="shared" si="48"/>
        <v>0</v>
      </c>
      <c r="W147" s="58">
        <f t="shared" si="48"/>
        <v>0</v>
      </c>
      <c r="X147" s="58">
        <f t="shared" si="48"/>
        <v>0</v>
      </c>
      <c r="Y147" s="58">
        <f t="shared" si="48"/>
        <v>0</v>
      </c>
      <c r="Z147" s="58">
        <f t="shared" si="48"/>
        <v>0</v>
      </c>
      <c r="AA147" s="58">
        <f t="shared" si="48"/>
        <v>0</v>
      </c>
      <c r="AB147" s="58">
        <f t="shared" si="48"/>
        <v>0</v>
      </c>
      <c r="AC147" s="58">
        <f t="shared" si="48"/>
        <v>0</v>
      </c>
      <c r="AD147" s="58">
        <f t="shared" si="48"/>
        <v>0</v>
      </c>
      <c r="AE147" s="58">
        <f t="shared" si="48"/>
        <v>0</v>
      </c>
      <c r="AF147" s="58">
        <f t="shared" si="48"/>
        <v>0</v>
      </c>
      <c r="AG147" s="58">
        <f t="shared" si="48"/>
        <v>0</v>
      </c>
      <c r="AH147" s="58">
        <f t="shared" si="48"/>
        <v>0</v>
      </c>
      <c r="AI147" s="58">
        <f t="shared" si="48"/>
        <v>0</v>
      </c>
      <c r="AJ147" s="58">
        <f t="shared" si="48"/>
        <v>0</v>
      </c>
      <c r="AK147" s="58">
        <f t="shared" si="48"/>
        <v>0</v>
      </c>
      <c r="AL147" s="58">
        <f t="shared" si="48"/>
        <v>0</v>
      </c>
      <c r="AM147" s="58">
        <f t="shared" si="48"/>
        <v>0</v>
      </c>
      <c r="AN147" s="58">
        <f t="shared" si="48"/>
        <v>0</v>
      </c>
      <c r="AO147" s="58">
        <f t="shared" si="48"/>
        <v>0</v>
      </c>
      <c r="AP147" s="58">
        <f t="shared" si="48"/>
        <v>0</v>
      </c>
      <c r="AQ147" s="58">
        <f t="shared" si="48"/>
        <v>0</v>
      </c>
      <c r="AR147" s="58">
        <f t="shared" si="48"/>
        <v>0</v>
      </c>
      <c r="AS147" s="58">
        <f t="shared" si="48"/>
        <v>0</v>
      </c>
      <c r="AT147" s="58">
        <f t="shared" si="48"/>
        <v>0</v>
      </c>
      <c r="AU147" s="58">
        <f t="shared" si="48"/>
        <v>0</v>
      </c>
      <c r="AV147" s="58">
        <f t="shared" si="48"/>
        <v>0</v>
      </c>
      <c r="AW147" s="58">
        <f t="shared" si="48"/>
        <v>0</v>
      </c>
      <c r="AX147" s="58">
        <f t="shared" si="48"/>
        <v>0</v>
      </c>
      <c r="AY147" s="58">
        <f t="shared" si="48"/>
        <v>0</v>
      </c>
      <c r="AZ147" s="58">
        <f t="shared" si="48"/>
        <v>0</v>
      </c>
      <c r="BA147" s="58">
        <f t="shared" si="48"/>
        <v>0</v>
      </c>
      <c r="BS147" s="5">
        <f t="shared" si="39"/>
        <v>1048495</v>
      </c>
      <c r="BT147" s="5" t="str">
        <f t="shared" si="46"/>
        <v/>
      </c>
      <c r="CD147" s="5" t="e">
        <f t="shared" ca="1" si="41"/>
        <v>#REF!</v>
      </c>
      <c r="CE147" s="5" t="e">
        <f t="shared" ca="1" si="42"/>
        <v>#REF!</v>
      </c>
      <c r="CF147" s="5" t="e">
        <f t="shared" ca="1" si="40"/>
        <v>#REF!</v>
      </c>
      <c r="CG147" s="5"/>
    </row>
    <row r="148" spans="1:85" ht="27.75" customHeight="1" x14ac:dyDescent="0.25">
      <c r="A148" s="56" t="s">
        <v>104</v>
      </c>
      <c r="B148" s="57"/>
      <c r="C148" s="53"/>
      <c r="D148" s="54"/>
      <c r="E148" s="63"/>
      <c r="F148" s="58">
        <f ca="1">SUM(F149:F154)</f>
        <v>-33834.248384061349</v>
      </c>
      <c r="G148" s="58">
        <f t="shared" ref="G148:BA148" ca="1" si="49">SUM(G149:G154)</f>
        <v>-34519.169633358382</v>
      </c>
      <c r="H148" s="58">
        <f t="shared" ca="1" si="49"/>
        <v>-35478.789347884755</v>
      </c>
      <c r="I148" s="58">
        <f t="shared" ca="1" si="49"/>
        <v>-35602.824739200187</v>
      </c>
      <c r="J148" s="58">
        <f t="shared" ca="1" si="49"/>
        <v>-51288.985508082507</v>
      </c>
      <c r="K148" s="58">
        <f t="shared" ca="1" si="49"/>
        <v>-64139.886832884782</v>
      </c>
      <c r="L148" s="58">
        <f t="shared" ca="1" si="49"/>
        <v>-46614.723957514158</v>
      </c>
      <c r="M148" s="58">
        <f t="shared" ca="1" si="49"/>
        <v>-27972.952124023344</v>
      </c>
      <c r="N148" s="58">
        <f t="shared" ca="1" si="49"/>
        <v>-26015.491352604618</v>
      </c>
      <c r="O148" s="58">
        <f t="shared" ca="1" si="49"/>
        <v>-28279.338999251642</v>
      </c>
      <c r="P148" s="58">
        <f t="shared" ca="1" si="49"/>
        <v>-28329.92411866604</v>
      </c>
      <c r="Q148" s="58">
        <f t="shared" ca="1" si="49"/>
        <v>-28358.822462667285</v>
      </c>
      <c r="R148" s="58">
        <f t="shared" ca="1" si="49"/>
        <v>-28379.829079009705</v>
      </c>
      <c r="S148" s="58">
        <f t="shared" ca="1" si="49"/>
        <v>-28382.162761326843</v>
      </c>
      <c r="T148" s="58">
        <f t="shared" ca="1" si="49"/>
        <v>-28370.425629575762</v>
      </c>
      <c r="U148" s="58">
        <f t="shared" ca="1" si="49"/>
        <v>-28338.955087505197</v>
      </c>
      <c r="V148" s="58">
        <f t="shared" ca="1" si="49"/>
        <v>-28297.448745355206</v>
      </c>
      <c r="W148" s="58">
        <f t="shared" ca="1" si="49"/>
        <v>-28235.571010129799</v>
      </c>
      <c r="X148" s="58">
        <f t="shared" ca="1" si="49"/>
        <v>-28156.834012085124</v>
      </c>
      <c r="Y148" s="58">
        <f t="shared" ca="1" si="49"/>
        <v>-28056.044589355723</v>
      </c>
      <c r="Z148" s="58">
        <f t="shared" ca="1" si="49"/>
        <v>-27943.307066158664</v>
      </c>
      <c r="AA148" s="58">
        <f t="shared" ca="1" si="49"/>
        <v>-27801.656765099895</v>
      </c>
      <c r="AB148" s="58">
        <f t="shared" ca="1" si="49"/>
        <v>-27646.762636153264</v>
      </c>
      <c r="AC148" s="58">
        <f t="shared" ca="1" si="49"/>
        <v>-27466.757691061397</v>
      </c>
      <c r="AD148" s="58">
        <f t="shared" ca="1" si="49"/>
        <v>-27266.546141584768</v>
      </c>
      <c r="AE148" s="58">
        <f t="shared" ca="1" si="49"/>
        <v>-27045.407744180469</v>
      </c>
      <c r="AF148" s="58">
        <f t="shared" ca="1" si="49"/>
        <v>-26797.59042628602</v>
      </c>
      <c r="AG148" s="58">
        <f t="shared" ca="1" si="49"/>
        <v>-26526.901796932452</v>
      </c>
      <c r="AH148" s="58">
        <f t="shared" ca="1" si="49"/>
        <v>-26233.56270198882</v>
      </c>
      <c r="AI148" s="58">
        <f t="shared" ca="1" si="49"/>
        <v>-25910.338549254851</v>
      </c>
      <c r="AJ148" s="58">
        <f t="shared" ca="1" si="49"/>
        <v>-25557.024918326912</v>
      </c>
      <c r="AK148" s="58">
        <f t="shared" ca="1" si="49"/>
        <v>-25183.64530567906</v>
      </c>
      <c r="AL148" s="58">
        <f t="shared" ca="1" si="49"/>
        <v>-24772.722983518215</v>
      </c>
      <c r="AM148" s="58">
        <f t="shared" ca="1" si="49"/>
        <v>-24339.540268697132</v>
      </c>
      <c r="AN148" s="58">
        <f t="shared" ca="1" si="49"/>
        <v>-23867.303199233302</v>
      </c>
      <c r="AO148" s="58">
        <f t="shared" ca="1" si="49"/>
        <v>-23402.985133443934</v>
      </c>
      <c r="AP148" s="58">
        <f t="shared" ca="1" si="49"/>
        <v>-22919.578267200151</v>
      </c>
      <c r="AQ148" s="58">
        <f t="shared" ca="1" si="49"/>
        <v>-22406.760201242269</v>
      </c>
      <c r="AR148" s="58">
        <f t="shared" ca="1" si="49"/>
        <v>-21868.936114296532</v>
      </c>
      <c r="AS148" s="58">
        <f t="shared" ca="1" si="49"/>
        <v>-21295.575578450706</v>
      </c>
      <c r="AT148" s="58">
        <f t="shared" ca="1" si="49"/>
        <v>-20685.517771634492</v>
      </c>
      <c r="AU148" s="58">
        <f t="shared" ca="1" si="49"/>
        <v>-20059.481889142487</v>
      </c>
      <c r="AV148" s="58">
        <f t="shared" ca="1" si="49"/>
        <v>-19453.751866098377</v>
      </c>
      <c r="AW148" s="58">
        <f t="shared" ca="1" si="49"/>
        <v>-18805.878648669241</v>
      </c>
      <c r="AX148" s="58">
        <f t="shared" ca="1" si="49"/>
        <v>-18137.373606453919</v>
      </c>
      <c r="AY148" s="58">
        <f t="shared" ca="1" si="49"/>
        <v>-17473.110904448433</v>
      </c>
      <c r="AZ148" s="58">
        <f t="shared" ca="1" si="49"/>
        <v>-16921.713187167603</v>
      </c>
      <c r="BA148" s="58">
        <f t="shared" ca="1" si="49"/>
        <v>-16532.722714143634</v>
      </c>
      <c r="BS148" s="5">
        <f t="shared" si="39"/>
        <v>1048495</v>
      </c>
      <c r="BT148" s="5" t="str">
        <f t="shared" si="46"/>
        <v/>
      </c>
      <c r="CD148" s="5" t="e">
        <f t="shared" ca="1" si="41"/>
        <v>#REF!</v>
      </c>
      <c r="CE148" s="5" t="e">
        <f t="shared" ca="1" si="42"/>
        <v>#REF!</v>
      </c>
      <c r="CF148" s="5" t="e">
        <f t="shared" ca="1" si="40"/>
        <v>#REF!</v>
      </c>
      <c r="CG148" s="5"/>
    </row>
    <row r="149" spans="1:85" x14ac:dyDescent="0.25">
      <c r="A149" s="57" t="s">
        <v>105</v>
      </c>
      <c r="B149" s="57"/>
      <c r="C149" s="53"/>
      <c r="D149" s="54"/>
      <c r="E149" s="63"/>
      <c r="F149" s="59" cm="1">
        <f t="array" aca="1" ref="F149" ca="1">-EinkommenSteuerGesamt(F90,Ziv)</f>
        <v>-30800.757567524</v>
      </c>
      <c r="G149" s="59" cm="1">
        <f t="array" aca="1" ref="G149" ca="1">-EinkommenSteuerGesamt(G90,Ziv)</f>
        <v>-31415.22111471774</v>
      </c>
      <c r="H149" s="59" cm="1">
        <f t="array" aca="1" ref="H149" ca="1">-EinkommenSteuerGesamt(H90,Ziv)</f>
        <v>-31940.025550963263</v>
      </c>
      <c r="I149" s="59" cm="1">
        <f t="array" aca="1" ref="I149" ca="1">-EinkommenSteuerGesamt(I90,Ziv)</f>
        <v>-31970.819858633364</v>
      </c>
      <c r="J149" s="59" cm="1">
        <f t="array" aca="1" ref="J149" ca="1">-EinkommenSteuerGesamt(J90,Ziv)</f>
        <v>-29962.211682391364</v>
      </c>
      <c r="K149" s="59" cm="1">
        <f t="array" aca="1" ref="K149" ca="1">-EinkommenSteuerGesamt(K90,Ziv)</f>
        <v>-40285.180060926032</v>
      </c>
      <c r="L149" s="59" cm="1">
        <f t="array" aca="1" ref="L149" ca="1">-EinkommenSteuerGesamt(L90,Ziv)</f>
        <v>-38869.729192531493</v>
      </c>
      <c r="M149" s="59" cm="1">
        <f t="array" aca="1" ref="M149" ca="1">-EinkommenSteuerGesamt(M90,Ziv)</f>
        <v>-20423.158325088451</v>
      </c>
      <c r="N149" s="59" cm="1">
        <f t="array" aca="1" ref="N149" ca="1">-EinkommenSteuerGesamt(N90,Ziv)</f>
        <v>-18348.299481559443</v>
      </c>
      <c r="O149" s="59" cm="1">
        <f t="array" aca="1" ref="O149" ca="1">-EinkommenSteuerGesamt(O90,Ziv)</f>
        <v>-21690.378112567443</v>
      </c>
      <c r="P149" s="59" cm="1">
        <f t="array" aca="1" ref="P149" ca="1">-EinkommenSteuerGesamt(P90,Ziv)</f>
        <v>-21718.0005071372</v>
      </c>
      <c r="Q149" s="59" cm="1">
        <f t="array" aca="1" ref="Q149" ca="1">-EinkommenSteuerGesamt(Q90,Ziv)</f>
        <v>-21731.40371297051</v>
      </c>
      <c r="R149" s="59" cm="1">
        <f t="array" aca="1" ref="R149" ca="1">-EinkommenSteuerGesamt(R90,Ziv)</f>
        <v>-21744.631319519969</v>
      </c>
      <c r="S149" s="59" cm="1">
        <f t="array" aca="1" ref="S149" ca="1">-EinkommenSteuerGesamt(S90,Ziv)</f>
        <v>-21747.245287247631</v>
      </c>
      <c r="T149" s="59" cm="1">
        <f t="array" aca="1" ref="T149" ca="1">-EinkommenSteuerGesamt(T90,Ziv)</f>
        <v>-21744.138978829604</v>
      </c>
      <c r="U149" s="59" cm="1">
        <f t="array" aca="1" ref="U149" ca="1">-EinkommenSteuerGesamt(U90,Ziv)</f>
        <v>-21729.981147850158</v>
      </c>
      <c r="V149" s="59" cm="1">
        <f t="array" aca="1" ref="V149" ca="1">-EinkommenSteuerGesamt(V90,Ziv)</f>
        <v>-21714.779689510491</v>
      </c>
      <c r="W149" s="59" cm="1">
        <f t="array" aca="1" ref="W149" ca="1">-EinkommenSteuerGesamt(W90,Ziv)</f>
        <v>-21688.581202019286</v>
      </c>
      <c r="X149" s="59" cm="1">
        <f t="array" aca="1" ref="X149" ca="1">-EinkommenSteuerGesamt(X90,Ziv)</f>
        <v>-21655.232277919858</v>
      </c>
      <c r="Y149" s="59" cm="1">
        <f t="array" aca="1" ref="Y149" ca="1">-EinkommenSteuerGesamt(Y90,Ziv)</f>
        <v>-21609.909302965614</v>
      </c>
      <c r="Z149" s="59" cm="1">
        <f t="array" aca="1" ref="Z149" ca="1">-EinkommenSteuerGesamt(Z90,Ziv)</f>
        <v>-21563.069399034008</v>
      </c>
      <c r="AA149" s="59" cm="1">
        <f t="array" aca="1" ref="AA149" ca="1">-EinkommenSteuerGesamt(AA90,Ziv)</f>
        <v>-21498.176677771724</v>
      </c>
      <c r="AB149" s="59" cm="1">
        <f t="array" aca="1" ref="AB149" ca="1">-EinkommenSteuerGesamt(AB90,Ziv)</f>
        <v>-21431.242468547556</v>
      </c>
      <c r="AC149" s="59" cm="1">
        <f t="array" aca="1" ref="AC149" ca="1">-EinkommenSteuerGesamt(AC90,Ziv)</f>
        <v>-21350.851788309905</v>
      </c>
      <c r="AD149" s="59" cm="1">
        <f t="array" aca="1" ref="AD149" ca="1">-EinkommenSteuerGesamt(AD90,Ziv)</f>
        <v>-21262.306409132529</v>
      </c>
      <c r="AE149" s="59" cm="1">
        <f t="array" aca="1" ref="AE149" ca="1">-EinkommenSteuerGesamt(AE90,Ziv)</f>
        <v>-21165.329614766051</v>
      </c>
      <c r="AF149" s="59" cm="1">
        <f t="array" aca="1" ref="AF149" ca="1">-EinkommenSteuerGesamt(AF90,Ziv)</f>
        <v>-21054.626164935631</v>
      </c>
      <c r="AG149" s="59" cm="1">
        <f t="array" aca="1" ref="AG149" ca="1">-EinkommenSteuerGesamt(AG90,Ziv)</f>
        <v>-20934.443615645232</v>
      </c>
      <c r="AH149" s="59" cm="1">
        <f t="array" aca="1" ref="AH149" ca="1">-EinkommenSteuerGesamt(AH90,Ziv)</f>
        <v>-20805.483620033046</v>
      </c>
      <c r="AI149" s="59" cm="1">
        <f t="array" aca="1" ref="AI149" ca="1">-EinkommenSteuerGesamt(AI90,Ziv)</f>
        <v>-20661.012841881762</v>
      </c>
      <c r="AJ149" s="59" cm="1">
        <f t="array" aca="1" ref="AJ149" ca="1">-EinkommenSteuerGesamt(AJ90,Ziv)</f>
        <v>-20501.303845358721</v>
      </c>
      <c r="AK149" s="59" cm="1">
        <f t="array" aca="1" ref="AK149" ca="1">-EinkommenSteuerGesamt(AK90,Ziv)</f>
        <v>-20336.874901491858</v>
      </c>
      <c r="AL149" s="59" cm="1">
        <f t="array" aca="1" ref="AL149" ca="1">-EinkommenSteuerGesamt(AL90,Ziv)</f>
        <v>-20150.824883799312</v>
      </c>
      <c r="AM149" s="59" cm="1">
        <f t="array" aca="1" ref="AM149" ca="1">-EinkommenSteuerGesamt(AM90,Ziv)</f>
        <v>-19958.92768081955</v>
      </c>
      <c r="AN149" s="59" cm="1">
        <f t="array" aca="1" ref="AN149" ca="1">-EinkommenSteuerGesamt(AN90,Ziv)</f>
        <v>-19744.993761762809</v>
      </c>
      <c r="AO149" s="59" cm="1">
        <f t="array" aca="1" ref="AO149" ca="1">-EinkommenSteuerGesamt(AO90,Ziv)</f>
        <v>-19524.577613343616</v>
      </c>
      <c r="AP149" s="59" cm="1">
        <f t="array" aca="1" ref="AP149" ca="1">-EinkommenSteuerGesamt(AP90,Ziv)</f>
        <v>-19286.356394651557</v>
      </c>
      <c r="AQ149" s="59" cm="1">
        <f t="array" aca="1" ref="AQ149" ca="1">-EinkommenSteuerGesamt(AQ90,Ziv)</f>
        <v>-19034.62097198188</v>
      </c>
      <c r="AR149" s="59" cm="1">
        <f t="array" aca="1" ref="AR149" ca="1">-EinkommenSteuerGesamt(AR90,Ziv)</f>
        <v>-18774.330024630119</v>
      </c>
      <c r="AS149" s="59" cm="1">
        <f t="array" aca="1" ref="AS149" ca="1">-EinkommenSteuerGesamt(AS90,Ziv)</f>
        <v>-18495.550585492179</v>
      </c>
      <c r="AT149" s="59" cm="1">
        <f t="array" aca="1" ref="AT149" ca="1">-EinkommenSteuerGesamt(AT90,Ziv)</f>
        <v>-18197.688916221025</v>
      </c>
      <c r="AU149" s="59" cm="1">
        <f t="array" aca="1" ref="AU149" ca="1">-EinkommenSteuerGesamt(AU90,Ziv)</f>
        <v>-17885.548361924986</v>
      </c>
      <c r="AV149" s="59" cm="1">
        <f t="array" aca="1" ref="AV149" ca="1">-EinkommenSteuerGesamt(AV90,Ziv)</f>
        <v>-17559.261641834633</v>
      </c>
      <c r="AW149" s="59" cm="1">
        <f t="array" aca="1" ref="AW149" ca="1">-EinkommenSteuerGesamt(AW90,Ziv)</f>
        <v>-17206.697813834431</v>
      </c>
      <c r="AX149" s="59" cm="1">
        <f t="array" aca="1" ref="AX149" ca="1">-EinkommenSteuerGesamt(AX90,Ziv)</f>
        <v>-16838.218317465678</v>
      </c>
      <c r="AY149" s="59" cm="1">
        <f t="array" aca="1" ref="AY149" ca="1">-EinkommenSteuerGesamt(AY90,Ziv)</f>
        <v>-16461.555375925614</v>
      </c>
      <c r="AZ149" s="59" cm="1">
        <f t="array" aca="1" ref="AZ149" ca="1">-EinkommenSteuerGesamt(AZ90,Ziv)</f>
        <v>-16092.870570730254</v>
      </c>
      <c r="BA149" s="59" cm="1">
        <f t="array" aca="1" ref="BA149" ca="1">-EinkommenSteuerGesamt(BA90,Ziv)</f>
        <v>-15703.880097706286</v>
      </c>
      <c r="BS149" s="5">
        <f t="shared" ref="BS149:BS150" si="50">COUNTIF(BT:BT,BT148)-1</f>
        <v>1048495</v>
      </c>
      <c r="BT149" s="5" t="str">
        <f t="shared" si="46"/>
        <v/>
      </c>
      <c r="CD149" s="5" t="e">
        <f t="shared" ca="1" si="41"/>
        <v>#REF!</v>
      </c>
      <c r="CE149" s="5" t="e">
        <f t="shared" ca="1" si="42"/>
        <v>#REF!</v>
      </c>
      <c r="CF149" s="5" t="e">
        <f t="shared" ca="1" si="40"/>
        <v>#REF!</v>
      </c>
      <c r="CG149" s="5"/>
    </row>
    <row r="150" spans="1:85" x14ac:dyDescent="0.25">
      <c r="A150" s="57" t="s">
        <v>106</v>
      </c>
      <c r="B150" s="57"/>
      <c r="C150" s="53"/>
      <c r="D150" s="54"/>
      <c r="E150" s="63"/>
      <c r="F150" s="59" cm="1">
        <f t="array" aca="1" ref="F150" ca="1">-VermoegenSteuer(F137)</f>
        <v>-544.80205260000002</v>
      </c>
      <c r="G150" s="59" cm="1">
        <f t="array" aca="1" ref="G150" ca="1">-VermoegenSteuer(G137)</f>
        <v>-872.08271540579324</v>
      </c>
      <c r="H150" s="59" cm="1">
        <f t="array" aca="1" ref="H150" ca="1">-VermoegenSteuer(H137)</f>
        <v>-1248.7474498315112</v>
      </c>
      <c r="I150" s="59" cm="1">
        <f t="array" aca="1" ref="I150" ca="1">-VermoegenSteuer(I137)</f>
        <v>-1595.0206432872624</v>
      </c>
      <c r="J150" s="59" cm="1">
        <f t="array" aca="1" ref="J150" ca="1">-VermoegenSteuer(J137)</f>
        <v>-4289.9637092537987</v>
      </c>
      <c r="K150" s="59" cm="1">
        <f t="array" aca="1" ref="K150" ca="1">-VermoegenSteuer(K137)</f>
        <v>-6636.0266555214048</v>
      </c>
      <c r="L150" s="59" cm="1">
        <f t="array" aca="1" ref="L150" ca="1">-VermoegenSteuer(L137)</f>
        <v>-5712.8521921921447</v>
      </c>
      <c r="M150" s="59" cm="1">
        <f t="array" aca="1" ref="M150" ca="1">-VermoegenSteuer(M137)</f>
        <v>-5754.0565130295417</v>
      </c>
      <c r="N150" s="59" cm="1">
        <f t="array" aca="1" ref="N150" ca="1">-VermoegenSteuer(N137)</f>
        <v>-5891.7660237872751</v>
      </c>
      <c r="O150" s="59" cm="1">
        <f t="array" aca="1" ref="O150" ca="1">-VermoegenSteuer(O137)</f>
        <v>-5760.1182702468486</v>
      </c>
      <c r="P150" s="59" cm="1">
        <f t="array" aca="1" ref="P150" ca="1">-VermoegenSteuer(P137)</f>
        <v>-5783.0809950914936</v>
      </c>
      <c r="Q150" s="59" cm="1">
        <f t="array" aca="1" ref="Q150" ca="1">-VermoegenSteuer(Q137)</f>
        <v>-5798.5761332594266</v>
      </c>
      <c r="R150" s="59" cm="1">
        <f t="array" aca="1" ref="R150" ca="1">-VermoegenSteuer(R137)</f>
        <v>-5806.3551430523867</v>
      </c>
      <c r="S150" s="59" cm="1">
        <f t="array" aca="1" ref="S150" ca="1">-VermoegenSteuer(S137)</f>
        <v>-5806.0748576418637</v>
      </c>
      <c r="T150" s="59" cm="1">
        <f t="array" aca="1" ref="T150" ca="1">-VermoegenSteuer(T137)</f>
        <v>-5797.4440343088099</v>
      </c>
      <c r="U150" s="59" cm="1">
        <f t="array" aca="1" ref="U150" ca="1">-VermoegenSteuer(U137)</f>
        <v>-5780.1313232176917</v>
      </c>
      <c r="V150" s="59" cm="1">
        <f t="array" aca="1" ref="V150" ca="1">-VermoegenSteuer(V137)</f>
        <v>-5753.8264394073676</v>
      </c>
      <c r="W150" s="59" cm="1">
        <f t="array" aca="1" ref="W150" ca="1">-VermoegenSteuer(W137)</f>
        <v>-5718.1471916731643</v>
      </c>
      <c r="X150" s="59" cm="1">
        <f t="array" aca="1" ref="X150" ca="1">-VermoegenSteuer(X137)</f>
        <v>-5672.7591177279173</v>
      </c>
      <c r="Y150" s="59" cm="1">
        <f t="array" aca="1" ref="Y150" ca="1">-VermoegenSteuer(Y137)</f>
        <v>-5617.2926699527616</v>
      </c>
      <c r="Z150" s="59" cm="1">
        <f t="array" aca="1" ref="Z150" ca="1">-VermoegenSteuer(Z137)</f>
        <v>-5551.3950506873098</v>
      </c>
      <c r="AA150" s="59" cm="1">
        <f t="array" aca="1" ref="AA150" ca="1">-VermoegenSteuer(AA137)</f>
        <v>-5474.6374708908206</v>
      </c>
      <c r="AB150" s="59" cm="1">
        <f t="array" aca="1" ref="AB150" ca="1">-VermoegenSteuer(AB137)</f>
        <v>-5386.6775511683609</v>
      </c>
      <c r="AC150" s="59" cm="1">
        <f t="array" aca="1" ref="AC150" ca="1">-VermoegenSteuer(AC137)</f>
        <v>-5287.0632863141436</v>
      </c>
      <c r="AD150" s="59" cm="1">
        <f t="array" aca="1" ref="AD150" ca="1">-VermoegenSteuer(AD137)</f>
        <v>-5175.3971160148913</v>
      </c>
      <c r="AE150" s="59" cm="1">
        <f t="array" aca="1" ref="AE150" ca="1">-VermoegenSteuer(AE137)</f>
        <v>-5051.2355129770685</v>
      </c>
      <c r="AF150" s="59" cm="1">
        <f t="array" aca="1" ref="AF150" ca="1">-VermoegenSteuer(AF137)</f>
        <v>-4914.1216449130416</v>
      </c>
      <c r="AG150" s="59" cm="1">
        <f t="array" aca="1" ref="AG150" ca="1">-VermoegenSteuer(AG137)</f>
        <v>-4763.6155648498716</v>
      </c>
      <c r="AH150" s="59" cm="1">
        <f t="array" aca="1" ref="AH150" ca="1">-VermoegenSteuer(AH137)</f>
        <v>-4599.2364655184256</v>
      </c>
      <c r="AI150" s="59" cm="1">
        <f t="array" aca="1" ref="AI150" ca="1">-VermoegenSteuer(AI137)</f>
        <v>-4420.4830909357406</v>
      </c>
      <c r="AJ150" s="59" cm="1">
        <f t="array" aca="1" ref="AJ150" ca="1">-VermoegenSteuer(AJ137)</f>
        <v>-4226.8784565308424</v>
      </c>
      <c r="AK150" s="59" cm="1">
        <f t="array" aca="1" ref="AK150" ca="1">-VermoegenSteuer(AK137)</f>
        <v>-4017.927787749853</v>
      </c>
      <c r="AL150" s="59" cm="1">
        <f t="array" aca="1" ref="AL150" ca="1">-VermoegenSteuer(AL137)</f>
        <v>-3793.0554832815528</v>
      </c>
      <c r="AM150" s="59" cm="1">
        <f t="array" aca="1" ref="AM150" ca="1">-VermoegenSteuer(AM137)</f>
        <v>-3551.7699714402333</v>
      </c>
      <c r="AN150" s="59" cm="1">
        <f t="array" aca="1" ref="AN150" ca="1">-VermoegenSteuer(AN137)</f>
        <v>-3293.466821033142</v>
      </c>
      <c r="AO150" s="59" cm="1">
        <f t="array" aca="1" ref="AO150" ca="1">-VermoegenSteuer(AO137)</f>
        <v>-3049.5649036629707</v>
      </c>
      <c r="AP150" s="59" cm="1">
        <f t="array" aca="1" ref="AP150" ca="1">-VermoegenSteuer(AP137)</f>
        <v>-2804.3792561112464</v>
      </c>
      <c r="AQ150" s="59" cm="1">
        <f t="array" aca="1" ref="AQ150" ca="1">-VermoegenSteuer(AQ137)</f>
        <v>-2543.2966128230419</v>
      </c>
      <c r="AR150" s="59" cm="1">
        <f t="array" aca="1" ref="AR150" ca="1">-VermoegenSteuer(AR137)</f>
        <v>-2265.7634732290662</v>
      </c>
      <c r="AS150" s="59" cm="1">
        <f t="array" aca="1" ref="AS150" ca="1">-VermoegenSteuer(AS137)</f>
        <v>-1971.1823765211768</v>
      </c>
      <c r="AT150" s="59" cm="1">
        <f t="array" aca="1" ref="AT150" ca="1">-VermoegenSteuer(AT137)</f>
        <v>-1658.9862389761181</v>
      </c>
      <c r="AU150" s="59" cm="1">
        <f t="array" aca="1" ref="AU150" ca="1">-VermoegenSteuer(AU137)</f>
        <v>-1345.0909107801517</v>
      </c>
      <c r="AV150" s="59" cm="1">
        <f t="array" aca="1" ref="AV150" ca="1">-VermoegenSteuer(AV137)</f>
        <v>-1065.6476078263966</v>
      </c>
      <c r="AW150" s="59" cm="1">
        <f t="array" aca="1" ref="AW150" ca="1">-VermoegenSteuer(AW137)</f>
        <v>-770.33821839745974</v>
      </c>
      <c r="AX150" s="59" cm="1">
        <f t="array" aca="1" ref="AX150" ca="1">-VermoegenSteuer(AX137)</f>
        <v>-470.31267255089261</v>
      </c>
      <c r="AY150" s="59" cm="1">
        <f t="array" aca="1" ref="AY150" ca="1">-VermoegenSteuer(AY137)</f>
        <v>-182.71291208546813</v>
      </c>
      <c r="AZ150" s="59" cm="1">
        <f t="array" aca="1" ref="AZ150" ca="1">-VermoegenSteuer(AZ137)</f>
        <v>0</v>
      </c>
      <c r="BA150" s="59" cm="1">
        <f t="array" aca="1" ref="BA150" ca="1">-VermoegenSteuer(BA137)</f>
        <v>0</v>
      </c>
      <c r="BS150" s="5">
        <f t="shared" si="50"/>
        <v>1048495</v>
      </c>
      <c r="CD150" s="5" t="e">
        <f t="shared" ca="1" si="41"/>
        <v>#REF!</v>
      </c>
      <c r="CE150" s="5" t="e">
        <f t="shared" ca="1" si="42"/>
        <v>#REF!</v>
      </c>
      <c r="CF150" s="5" t="e">
        <f t="shared" ca="1" si="40"/>
        <v>#REF!</v>
      </c>
      <c r="CG150" s="5"/>
    </row>
    <row r="151" spans="1:85" x14ac:dyDescent="0.25">
      <c r="A151" s="57" t="s">
        <v>138</v>
      </c>
      <c r="B151" s="57"/>
      <c r="C151" s="53"/>
      <c r="D151" s="54"/>
      <c r="E151" s="63"/>
      <c r="F151" s="59">
        <f>-SUMPRODUCT(V_Liegensch[Steuerwert],V_Liegensch[Liegenschaftssteuer])</f>
        <v>-828.84261643734828</v>
      </c>
      <c r="G151" s="59">
        <f>-SUMPRODUCT(V_Liegensch[Steuerwert],V_Liegensch[Liegenschaftssteuer])</f>
        <v>-828.84261643734828</v>
      </c>
      <c r="H151" s="59">
        <f>-SUMPRODUCT(V_Liegensch[Steuerwert],V_Liegensch[Liegenschaftssteuer])</f>
        <v>-828.84261643734828</v>
      </c>
      <c r="I151" s="59">
        <f>-SUMPRODUCT(V_Liegensch[Steuerwert],V_Liegensch[Liegenschaftssteuer])</f>
        <v>-828.84261643734828</v>
      </c>
      <c r="J151" s="59">
        <f>-SUMPRODUCT(V_Liegensch[Steuerwert],V_Liegensch[Liegenschaftssteuer])</f>
        <v>-828.84261643734828</v>
      </c>
      <c r="K151" s="59">
        <f>-SUMPRODUCT(V_Liegensch[Steuerwert],V_Liegensch[Liegenschaftssteuer])</f>
        <v>-828.84261643734828</v>
      </c>
      <c r="L151" s="59">
        <f>-SUMPRODUCT(V_Liegensch[Steuerwert],V_Liegensch[Liegenschaftssteuer])</f>
        <v>-828.84261643734828</v>
      </c>
      <c r="M151" s="59">
        <f>-SUMPRODUCT(V_Liegensch[Steuerwert],V_Liegensch[Liegenschaftssteuer])</f>
        <v>-828.84261643734828</v>
      </c>
      <c r="N151" s="59">
        <f>-SUMPRODUCT(V_Liegensch[Steuerwert],V_Liegensch[Liegenschaftssteuer])</f>
        <v>-828.84261643734828</v>
      </c>
      <c r="O151" s="59">
        <f>-SUMPRODUCT(V_Liegensch[Steuerwert],V_Liegensch[Liegenschaftssteuer])</f>
        <v>-828.84261643734828</v>
      </c>
      <c r="P151" s="59">
        <f>-SUMPRODUCT(V_Liegensch[Steuerwert],V_Liegensch[Liegenschaftssteuer])</f>
        <v>-828.84261643734828</v>
      </c>
      <c r="Q151" s="59">
        <f>-SUMPRODUCT(V_Liegensch[Steuerwert],V_Liegensch[Liegenschaftssteuer])</f>
        <v>-828.84261643734828</v>
      </c>
      <c r="R151" s="59">
        <f>-SUMPRODUCT(V_Liegensch[Steuerwert],V_Liegensch[Liegenschaftssteuer])</f>
        <v>-828.84261643734828</v>
      </c>
      <c r="S151" s="59">
        <f>-SUMPRODUCT(V_Liegensch[Steuerwert],V_Liegensch[Liegenschaftssteuer])</f>
        <v>-828.84261643734828</v>
      </c>
      <c r="T151" s="59">
        <f>-SUMPRODUCT(V_Liegensch[Steuerwert],V_Liegensch[Liegenschaftssteuer])</f>
        <v>-828.84261643734828</v>
      </c>
      <c r="U151" s="59">
        <f>-SUMPRODUCT(V_Liegensch[Steuerwert],V_Liegensch[Liegenschaftssteuer])</f>
        <v>-828.84261643734828</v>
      </c>
      <c r="V151" s="59">
        <f>-SUMPRODUCT(V_Liegensch[Steuerwert],V_Liegensch[Liegenschaftssteuer])</f>
        <v>-828.84261643734828</v>
      </c>
      <c r="W151" s="59">
        <f>-SUMPRODUCT(V_Liegensch[Steuerwert],V_Liegensch[Liegenschaftssteuer])</f>
        <v>-828.84261643734828</v>
      </c>
      <c r="X151" s="59">
        <f>-SUMPRODUCT(V_Liegensch[Steuerwert],V_Liegensch[Liegenschaftssteuer])</f>
        <v>-828.84261643734828</v>
      </c>
      <c r="Y151" s="59">
        <f>-SUMPRODUCT(V_Liegensch[Steuerwert],V_Liegensch[Liegenschaftssteuer])</f>
        <v>-828.84261643734828</v>
      </c>
      <c r="Z151" s="59">
        <f>-SUMPRODUCT(V_Liegensch[Steuerwert],V_Liegensch[Liegenschaftssteuer])</f>
        <v>-828.84261643734828</v>
      </c>
      <c r="AA151" s="59">
        <f>-SUMPRODUCT(V_Liegensch[Steuerwert],V_Liegensch[Liegenschaftssteuer])</f>
        <v>-828.84261643734828</v>
      </c>
      <c r="AB151" s="59">
        <f>-SUMPRODUCT(V_Liegensch[Steuerwert],V_Liegensch[Liegenschaftssteuer])</f>
        <v>-828.84261643734828</v>
      </c>
      <c r="AC151" s="59">
        <f>-SUMPRODUCT(V_Liegensch[Steuerwert],V_Liegensch[Liegenschaftssteuer])</f>
        <v>-828.84261643734828</v>
      </c>
      <c r="AD151" s="59">
        <f>-SUMPRODUCT(V_Liegensch[Steuerwert],V_Liegensch[Liegenschaftssteuer])</f>
        <v>-828.84261643734828</v>
      </c>
      <c r="AE151" s="59">
        <f>-SUMPRODUCT(V_Liegensch[Steuerwert],V_Liegensch[Liegenschaftssteuer])</f>
        <v>-828.84261643734828</v>
      </c>
      <c r="AF151" s="59">
        <f>-SUMPRODUCT(V_Liegensch[Steuerwert],V_Liegensch[Liegenschaftssteuer])</f>
        <v>-828.84261643734828</v>
      </c>
      <c r="AG151" s="59">
        <f>-SUMPRODUCT(V_Liegensch[Steuerwert],V_Liegensch[Liegenschaftssteuer])</f>
        <v>-828.84261643734828</v>
      </c>
      <c r="AH151" s="59">
        <f>-SUMPRODUCT(V_Liegensch[Steuerwert],V_Liegensch[Liegenschaftssteuer])</f>
        <v>-828.84261643734828</v>
      </c>
      <c r="AI151" s="59">
        <f>-SUMPRODUCT(V_Liegensch[Steuerwert],V_Liegensch[Liegenschaftssteuer])</f>
        <v>-828.84261643734828</v>
      </c>
      <c r="AJ151" s="59">
        <f>-SUMPRODUCT(V_Liegensch[Steuerwert],V_Liegensch[Liegenschaftssteuer])</f>
        <v>-828.84261643734828</v>
      </c>
      <c r="AK151" s="59">
        <f>-SUMPRODUCT(V_Liegensch[Steuerwert],V_Liegensch[Liegenschaftssteuer])</f>
        <v>-828.84261643734828</v>
      </c>
      <c r="AL151" s="59">
        <f>-SUMPRODUCT(V_Liegensch[Steuerwert],V_Liegensch[Liegenschaftssteuer])</f>
        <v>-828.84261643734828</v>
      </c>
      <c r="AM151" s="59">
        <f>-SUMPRODUCT(V_Liegensch[Steuerwert],V_Liegensch[Liegenschaftssteuer])</f>
        <v>-828.84261643734828</v>
      </c>
      <c r="AN151" s="59">
        <f>-SUMPRODUCT(V_Liegensch[Steuerwert],V_Liegensch[Liegenschaftssteuer])</f>
        <v>-828.84261643734828</v>
      </c>
      <c r="AO151" s="59">
        <f>-SUMPRODUCT(V_Liegensch[Steuerwert],V_Liegensch[Liegenschaftssteuer])</f>
        <v>-828.84261643734828</v>
      </c>
      <c r="AP151" s="59">
        <f>-SUMPRODUCT(V_Liegensch[Steuerwert],V_Liegensch[Liegenschaftssteuer])</f>
        <v>-828.84261643734828</v>
      </c>
      <c r="AQ151" s="59">
        <f>-SUMPRODUCT(V_Liegensch[Steuerwert],V_Liegensch[Liegenschaftssteuer])</f>
        <v>-828.84261643734828</v>
      </c>
      <c r="AR151" s="59">
        <f>-SUMPRODUCT(V_Liegensch[Steuerwert],V_Liegensch[Liegenschaftssteuer])</f>
        <v>-828.84261643734828</v>
      </c>
      <c r="AS151" s="59">
        <f>-SUMPRODUCT(V_Liegensch[Steuerwert],V_Liegensch[Liegenschaftssteuer])</f>
        <v>-828.84261643734828</v>
      </c>
      <c r="AT151" s="59">
        <f>-SUMPRODUCT(V_Liegensch[Steuerwert],V_Liegensch[Liegenschaftssteuer])</f>
        <v>-828.84261643734828</v>
      </c>
      <c r="AU151" s="59">
        <f>-SUMPRODUCT(V_Liegensch[Steuerwert],V_Liegensch[Liegenschaftssteuer])</f>
        <v>-828.84261643734828</v>
      </c>
      <c r="AV151" s="59">
        <f>-SUMPRODUCT(V_Liegensch[Steuerwert],V_Liegensch[Liegenschaftssteuer])</f>
        <v>-828.84261643734828</v>
      </c>
      <c r="AW151" s="59">
        <f>-SUMPRODUCT(V_Liegensch[Steuerwert],V_Liegensch[Liegenschaftssteuer])</f>
        <v>-828.84261643734828</v>
      </c>
      <c r="AX151" s="59">
        <f>-SUMPRODUCT(V_Liegensch[Steuerwert],V_Liegensch[Liegenschaftssteuer])</f>
        <v>-828.84261643734828</v>
      </c>
      <c r="AY151" s="59">
        <f>-SUMPRODUCT(V_Liegensch[Steuerwert],V_Liegensch[Liegenschaftssteuer])</f>
        <v>-828.84261643734828</v>
      </c>
      <c r="AZ151" s="59">
        <f>-SUMPRODUCT(V_Liegensch[Steuerwert],V_Liegensch[Liegenschaftssteuer])</f>
        <v>-828.84261643734828</v>
      </c>
      <c r="BA151" s="59">
        <f>-SUMPRODUCT(V_Liegensch[Steuerwert],V_Liegensch[Liegenschaftssteuer])</f>
        <v>-828.84261643734828</v>
      </c>
      <c r="CD151" s="5" t="e">
        <f t="shared" ca="1" si="41"/>
        <v>#REF!</v>
      </c>
      <c r="CE151" s="5" t="e">
        <f t="shared" ca="1" si="42"/>
        <v>#REF!</v>
      </c>
      <c r="CF151" s="5" t="e">
        <f t="shared" ca="1" si="40"/>
        <v>#REF!</v>
      </c>
      <c r="CG151" s="5"/>
    </row>
    <row r="152" spans="1:85" x14ac:dyDescent="0.25">
      <c r="A152" s="57" t="s">
        <v>28</v>
      </c>
      <c r="B152" s="57"/>
      <c r="C152" s="53"/>
      <c r="D152" s="54"/>
      <c r="E152" s="63"/>
      <c r="F152" s="59" cm="1">
        <f t="array" ref="F152">-KapitalAuszSteuer(F147,Ziv)</f>
        <v>-1659.8461475000004</v>
      </c>
      <c r="G152" s="59" cm="1">
        <f t="array" ref="G152">-KapitalAuszSteuer(G147,Ziv)</f>
        <v>-1403.0231867975001</v>
      </c>
      <c r="H152" s="59" cm="1">
        <f t="array" ref="H152">-KapitalAuszSteuer(H147,Ziv)</f>
        <v>-1461.173730652632</v>
      </c>
      <c r="I152" s="59" cm="1">
        <f t="array" ref="I152">-KapitalAuszSteuer(I147,Ziv)</f>
        <v>-1208.1416208422188</v>
      </c>
      <c r="J152" s="59" cm="1">
        <f t="array" ref="J152">-KapitalAuszSteuer(J147,Ziv)</f>
        <v>-16207.967500000001</v>
      </c>
      <c r="K152" s="59" cm="1">
        <f t="array" ref="K152">-KapitalAuszSteuer(K147,Ziv)</f>
        <v>-16389.837500000001</v>
      </c>
      <c r="L152" s="59" cm="1">
        <f t="array" ref="L152">-KapitalAuszSteuer(L147,Ziv)</f>
        <v>-1203.2999563531753</v>
      </c>
      <c r="M152" s="59" cm="1">
        <f t="array" ref="M152">-KapitalAuszSteuer(M147,Ziv)</f>
        <v>-966.89466946800007</v>
      </c>
      <c r="N152" s="59" cm="1">
        <f t="array" ref="N152">-KapitalAuszSteuer(N147,Ziv)</f>
        <v>-946.58323082054994</v>
      </c>
      <c r="O152" s="59" cm="1">
        <f t="array" ref="O152">-KapitalAuszSteuer(O147,Ziv)</f>
        <v>0</v>
      </c>
      <c r="P152" s="59" cm="1">
        <f t="array" ref="P152">-KapitalAuszSteuer(P147,Ziv)</f>
        <v>0</v>
      </c>
      <c r="Q152" s="59" cm="1">
        <f t="array" ref="Q152">-KapitalAuszSteuer(Q147,Ziv)</f>
        <v>0</v>
      </c>
      <c r="R152" s="59" cm="1">
        <f t="array" ref="R152">-KapitalAuszSteuer(R147,Ziv)</f>
        <v>0</v>
      </c>
      <c r="S152" s="59" cm="1">
        <f t="array" ref="S152">-KapitalAuszSteuer(S147,Ziv)</f>
        <v>0</v>
      </c>
      <c r="T152" s="59" cm="1">
        <f t="array" ref="T152">-KapitalAuszSteuer(T147,Ziv)</f>
        <v>0</v>
      </c>
      <c r="U152" s="59" cm="1">
        <f t="array" ref="U152">-KapitalAuszSteuer(U147,Ziv)</f>
        <v>0</v>
      </c>
      <c r="V152" s="59" cm="1">
        <f t="array" ref="V152">-KapitalAuszSteuer(V147,Ziv)</f>
        <v>0</v>
      </c>
      <c r="W152" s="59" cm="1">
        <f t="array" ref="W152">-KapitalAuszSteuer(W147,Ziv)</f>
        <v>0</v>
      </c>
      <c r="X152" s="59" cm="1">
        <f t="array" ref="X152">-KapitalAuszSteuer(X147,Ziv)</f>
        <v>0</v>
      </c>
      <c r="Y152" s="59" cm="1">
        <f t="array" ref="Y152">-KapitalAuszSteuer(Y147,Ziv)</f>
        <v>0</v>
      </c>
      <c r="Z152" s="59" cm="1">
        <f t="array" ref="Z152">-KapitalAuszSteuer(Z147,Ziv)</f>
        <v>0</v>
      </c>
      <c r="AA152" s="59" cm="1">
        <f t="array" ref="AA152">-KapitalAuszSteuer(AA147,Ziv)</f>
        <v>0</v>
      </c>
      <c r="AB152" s="59" cm="1">
        <f t="array" ref="AB152">-KapitalAuszSteuer(AB147,Ziv)</f>
        <v>0</v>
      </c>
      <c r="AC152" s="59" cm="1">
        <f t="array" ref="AC152">-KapitalAuszSteuer(AC147,Ziv)</f>
        <v>0</v>
      </c>
      <c r="AD152" s="59" cm="1">
        <f t="array" ref="AD152">-KapitalAuszSteuer(AD147,Ziv)</f>
        <v>0</v>
      </c>
      <c r="AE152" s="59" cm="1">
        <f t="array" ref="AE152">-KapitalAuszSteuer(AE147,Ziv)</f>
        <v>0</v>
      </c>
      <c r="AF152" s="59" cm="1">
        <f t="array" ref="AF152">-KapitalAuszSteuer(AF147,Ziv)</f>
        <v>0</v>
      </c>
      <c r="AG152" s="59" cm="1">
        <f t="array" ref="AG152">-KapitalAuszSteuer(AG147,Ziv)</f>
        <v>0</v>
      </c>
      <c r="AH152" s="59" cm="1">
        <f t="array" ref="AH152">-KapitalAuszSteuer(AH147,Ziv)</f>
        <v>0</v>
      </c>
      <c r="AI152" s="59" cm="1">
        <f t="array" ref="AI152">-KapitalAuszSteuer(AI147,Ziv)</f>
        <v>0</v>
      </c>
      <c r="AJ152" s="59" cm="1">
        <f t="array" ref="AJ152">-KapitalAuszSteuer(AJ147,Ziv)</f>
        <v>0</v>
      </c>
      <c r="AK152" s="59" cm="1">
        <f t="array" ref="AK152">-KapitalAuszSteuer(AK147,Ziv)</f>
        <v>0</v>
      </c>
      <c r="AL152" s="59" cm="1">
        <f t="array" ref="AL152">-KapitalAuszSteuer(AL147,Ziv)</f>
        <v>0</v>
      </c>
      <c r="AM152" s="59" cm="1">
        <f t="array" ref="AM152">-KapitalAuszSteuer(AM147,Ziv)</f>
        <v>0</v>
      </c>
      <c r="AN152" s="59" cm="1">
        <f t="array" ref="AN152">-KapitalAuszSteuer(AN147,Ziv)</f>
        <v>0</v>
      </c>
      <c r="AO152" s="59" cm="1">
        <f t="array" ref="AO152">-KapitalAuszSteuer(AO147,Ziv)</f>
        <v>0</v>
      </c>
      <c r="AP152" s="59" cm="1">
        <f t="array" ref="AP152">-KapitalAuszSteuer(AP147,Ziv)</f>
        <v>0</v>
      </c>
      <c r="AQ152" s="59" cm="1">
        <f t="array" ref="AQ152">-KapitalAuszSteuer(AQ147,Ziv)</f>
        <v>0</v>
      </c>
      <c r="AR152" s="59" cm="1">
        <f t="array" ref="AR152">-KapitalAuszSteuer(AR147,Ziv)</f>
        <v>0</v>
      </c>
      <c r="AS152" s="59" cm="1">
        <f t="array" ref="AS152">-KapitalAuszSteuer(AS147,Ziv)</f>
        <v>0</v>
      </c>
      <c r="AT152" s="59" cm="1">
        <f t="array" ref="AT152">-KapitalAuszSteuer(AT147,Ziv)</f>
        <v>0</v>
      </c>
      <c r="AU152" s="59" cm="1">
        <f t="array" ref="AU152">-KapitalAuszSteuer(AU147,Ziv)</f>
        <v>0</v>
      </c>
      <c r="AV152" s="59" cm="1">
        <f t="array" ref="AV152">-KapitalAuszSteuer(AV147,Ziv)</f>
        <v>0</v>
      </c>
      <c r="AW152" s="59" cm="1">
        <f t="array" ref="AW152">-KapitalAuszSteuer(AW147,Ziv)</f>
        <v>0</v>
      </c>
      <c r="AX152" s="59" cm="1">
        <f t="array" ref="AX152">-KapitalAuszSteuer(AX147,Ziv)</f>
        <v>0</v>
      </c>
      <c r="AY152" s="59" cm="1">
        <f t="array" ref="AY152">-KapitalAuszSteuer(AY147,Ziv)</f>
        <v>0</v>
      </c>
      <c r="AZ152" s="59" cm="1">
        <f t="array" ref="AZ152">-KapitalAuszSteuer(AZ147,Ziv)</f>
        <v>0</v>
      </c>
      <c r="BA152" s="59" cm="1">
        <f t="array" ref="BA152">-KapitalAuszSteuer(BA147,Ziv)</f>
        <v>0</v>
      </c>
      <c r="CD152" s="5" t="e">
        <f t="shared" ca="1" si="41"/>
        <v>#REF!</v>
      </c>
      <c r="CE152" s="5" t="e">
        <f t="shared" ca="1" si="42"/>
        <v>#REF!</v>
      </c>
      <c r="CF152" s="5" t="e">
        <f t="shared" ca="1" si="40"/>
        <v>#REF!</v>
      </c>
      <c r="CG152" s="5"/>
    </row>
    <row r="153" spans="1:85" hidden="1" x14ac:dyDescent="0.25">
      <c r="A153" s="57"/>
      <c r="B153" s="57"/>
      <c r="C153" s="53"/>
      <c r="D153" s="54"/>
      <c r="E153" s="63"/>
      <c r="F153" s="59"/>
      <c r="G153" s="59"/>
      <c r="H153" s="59"/>
      <c r="I153" s="59"/>
      <c r="J153" s="59"/>
      <c r="K153" s="59"/>
      <c r="L153" s="59"/>
      <c r="M153" s="59"/>
      <c r="N153" s="59"/>
      <c r="O153" s="59"/>
      <c r="P153" s="59"/>
      <c r="Q153" s="59"/>
      <c r="R153" s="59"/>
      <c r="S153" s="59"/>
      <c r="T153" s="59"/>
      <c r="U153" s="59"/>
      <c r="V153" s="59"/>
      <c r="W153" s="59"/>
      <c r="X153" s="59"/>
      <c r="Y153" s="59"/>
      <c r="Z153" s="59"/>
      <c r="AA153" s="59"/>
      <c r="AB153" s="59"/>
      <c r="AC153" s="59"/>
      <c r="AD153" s="59"/>
      <c r="AE153" s="59"/>
      <c r="AF153" s="59"/>
      <c r="AG153" s="59"/>
      <c r="AH153" s="59"/>
      <c r="AI153" s="59"/>
      <c r="AJ153" s="59"/>
      <c r="AK153" s="59"/>
      <c r="AL153" s="59"/>
      <c r="AM153" s="59"/>
      <c r="AN153" s="59"/>
      <c r="AO153" s="59"/>
      <c r="AP153" s="59"/>
      <c r="AQ153" s="59"/>
      <c r="AR153" s="59"/>
      <c r="AS153" s="59"/>
      <c r="AT153" s="59"/>
      <c r="AU153" s="59"/>
      <c r="AV153" s="59"/>
      <c r="AW153" s="59"/>
      <c r="AX153" s="59"/>
      <c r="AY153" s="59"/>
      <c r="AZ153" s="59"/>
      <c r="BA153" s="59"/>
      <c r="CD153" s="5" t="e">
        <f t="shared" ca="1" si="41"/>
        <v>#REF!</v>
      </c>
      <c r="CE153" s="5" t="e">
        <f t="shared" ca="1" si="42"/>
        <v>#REF!</v>
      </c>
      <c r="CF153" s="5" t="e">
        <f t="shared" ca="1" si="40"/>
        <v>#REF!</v>
      </c>
      <c r="CG153" s="5"/>
    </row>
    <row r="154" spans="1:85" hidden="1" x14ac:dyDescent="0.25">
      <c r="A154" s="57"/>
      <c r="B154" s="57"/>
      <c r="C154" s="53"/>
      <c r="D154" s="54"/>
      <c r="E154" s="63"/>
      <c r="F154" s="59"/>
      <c r="G154" s="59"/>
      <c r="H154" s="59"/>
      <c r="I154" s="59"/>
      <c r="J154" s="59"/>
      <c r="K154" s="59"/>
      <c r="L154" s="59"/>
      <c r="M154" s="59"/>
      <c r="N154" s="59"/>
      <c r="O154" s="59"/>
      <c r="P154" s="59"/>
      <c r="Q154" s="59"/>
      <c r="R154" s="59"/>
      <c r="S154" s="59"/>
      <c r="T154" s="59"/>
      <c r="U154" s="59"/>
      <c r="V154" s="59"/>
      <c r="W154" s="59"/>
      <c r="X154" s="59"/>
      <c r="Y154" s="59"/>
      <c r="Z154" s="59"/>
      <c r="AA154" s="59"/>
      <c r="AB154" s="59"/>
      <c r="AC154" s="59"/>
      <c r="AD154" s="59"/>
      <c r="AE154" s="59"/>
      <c r="AF154" s="59"/>
      <c r="AG154" s="59"/>
      <c r="AH154" s="59"/>
      <c r="AI154" s="59"/>
      <c r="AJ154" s="59"/>
      <c r="AK154" s="59"/>
      <c r="AL154" s="59"/>
      <c r="AM154" s="59"/>
      <c r="AN154" s="59"/>
      <c r="AO154" s="59"/>
      <c r="AP154" s="59"/>
      <c r="AQ154" s="59"/>
      <c r="AR154" s="59"/>
      <c r="AS154" s="59"/>
      <c r="AT154" s="59"/>
      <c r="AU154" s="59"/>
      <c r="AV154" s="59"/>
      <c r="AW154" s="59"/>
      <c r="AX154" s="59"/>
      <c r="AY154" s="59"/>
      <c r="AZ154" s="59"/>
      <c r="BA154" s="59"/>
      <c r="CD154" s="5" t="e">
        <f t="shared" ca="1" si="41"/>
        <v>#REF!</v>
      </c>
      <c r="CE154" s="5" t="e">
        <f t="shared" ca="1" si="42"/>
        <v>#REF!</v>
      </c>
      <c r="CF154" s="5" t="e">
        <f t="shared" ca="1" si="40"/>
        <v>#REF!</v>
      </c>
    </row>
    <row r="155" spans="1:85" hidden="1" x14ac:dyDescent="0.25">
      <c r="A155" s="57"/>
      <c r="B155" s="57"/>
      <c r="C155" s="53"/>
      <c r="D155" s="54"/>
      <c r="E155" s="63"/>
      <c r="F155" s="59"/>
      <c r="G155" s="59"/>
      <c r="H155" s="59"/>
      <c r="I155" s="59"/>
      <c r="J155" s="59"/>
      <c r="K155" s="59"/>
      <c r="L155" s="59"/>
      <c r="M155" s="59"/>
      <c r="N155" s="59"/>
      <c r="O155" s="59"/>
      <c r="P155" s="59"/>
      <c r="Q155" s="59"/>
      <c r="R155" s="59"/>
      <c r="S155" s="59"/>
      <c r="T155" s="59"/>
      <c r="U155" s="59"/>
      <c r="V155" s="59"/>
      <c r="W155" s="59"/>
      <c r="X155" s="59"/>
      <c r="Y155" s="59"/>
      <c r="Z155" s="59"/>
      <c r="AA155" s="59"/>
      <c r="AB155" s="59"/>
      <c r="AC155" s="59"/>
      <c r="AD155" s="59"/>
      <c r="AE155" s="59"/>
      <c r="AF155" s="59"/>
      <c r="AG155" s="59"/>
      <c r="AH155" s="59"/>
      <c r="AI155" s="59"/>
      <c r="AJ155" s="59"/>
      <c r="AK155" s="59"/>
      <c r="AL155" s="59"/>
      <c r="AM155" s="59"/>
      <c r="AN155" s="59"/>
      <c r="AO155" s="59"/>
      <c r="AP155" s="59"/>
      <c r="AQ155" s="59"/>
      <c r="AR155" s="59"/>
      <c r="AS155" s="59"/>
      <c r="AT155" s="59"/>
      <c r="AU155" s="59"/>
      <c r="AV155" s="59"/>
      <c r="AW155" s="59"/>
      <c r="AX155" s="59"/>
      <c r="AY155" s="59"/>
      <c r="AZ155" s="59"/>
      <c r="BA155" s="59"/>
    </row>
    <row r="156" spans="1:85" hidden="1" x14ac:dyDescent="0.25">
      <c r="A156" s="57"/>
      <c r="B156" s="57"/>
      <c r="C156" s="53"/>
      <c r="D156" s="54"/>
      <c r="E156" s="63"/>
      <c r="F156" s="59"/>
      <c r="G156" s="59"/>
      <c r="H156" s="59"/>
      <c r="I156" s="59"/>
      <c r="J156" s="59"/>
      <c r="K156" s="59"/>
      <c r="L156" s="59"/>
      <c r="M156" s="59"/>
      <c r="N156" s="59"/>
      <c r="O156" s="59"/>
      <c r="P156" s="59"/>
      <c r="Q156" s="59"/>
      <c r="R156" s="59"/>
      <c r="S156" s="59"/>
      <c r="T156" s="59"/>
      <c r="U156" s="59"/>
      <c r="V156" s="59"/>
      <c r="W156" s="59"/>
      <c r="X156" s="59"/>
      <c r="Y156" s="59"/>
      <c r="Z156" s="59"/>
      <c r="AA156" s="59"/>
      <c r="AB156" s="59"/>
      <c r="AC156" s="59"/>
      <c r="AD156" s="59"/>
      <c r="AE156" s="59"/>
      <c r="AF156" s="59"/>
      <c r="AG156" s="59"/>
      <c r="AH156" s="59"/>
      <c r="AI156" s="59"/>
      <c r="AJ156" s="59"/>
      <c r="AK156" s="59"/>
      <c r="AL156" s="59"/>
      <c r="AM156" s="59"/>
      <c r="AN156" s="59"/>
      <c r="AO156" s="59"/>
      <c r="AP156" s="59"/>
      <c r="AQ156" s="59"/>
      <c r="AR156" s="59"/>
      <c r="AS156" s="59"/>
      <c r="AT156" s="59"/>
      <c r="AU156" s="59"/>
      <c r="AV156" s="59"/>
      <c r="AW156" s="59"/>
      <c r="AX156" s="59"/>
      <c r="AY156" s="59"/>
      <c r="AZ156" s="59"/>
      <c r="BA156" s="59"/>
    </row>
    <row r="157" spans="1:85" hidden="1" x14ac:dyDescent="0.25">
      <c r="A157" s="57"/>
      <c r="B157" s="57"/>
      <c r="C157" s="53"/>
      <c r="D157" s="54"/>
      <c r="E157" s="63"/>
      <c r="F157" s="59"/>
      <c r="G157" s="59"/>
      <c r="H157" s="59"/>
      <c r="I157" s="59"/>
      <c r="J157" s="59"/>
      <c r="K157" s="59"/>
      <c r="L157" s="59"/>
      <c r="M157" s="59"/>
      <c r="N157" s="59"/>
      <c r="O157" s="59"/>
      <c r="P157" s="59"/>
      <c r="Q157" s="59"/>
      <c r="R157" s="59"/>
      <c r="S157" s="59"/>
      <c r="T157" s="59"/>
      <c r="U157" s="59"/>
      <c r="V157" s="59"/>
      <c r="W157" s="59"/>
      <c r="X157" s="59"/>
      <c r="Y157" s="59"/>
      <c r="Z157" s="59"/>
      <c r="AA157" s="59"/>
      <c r="AB157" s="59"/>
      <c r="AC157" s="59"/>
      <c r="AD157" s="59"/>
      <c r="AE157" s="59"/>
      <c r="AF157" s="59"/>
      <c r="AG157" s="59"/>
      <c r="AH157" s="59"/>
      <c r="AI157" s="59"/>
      <c r="AJ157" s="59"/>
      <c r="AK157" s="59"/>
      <c r="AL157" s="59"/>
      <c r="AM157" s="59"/>
      <c r="AN157" s="59"/>
      <c r="AO157" s="59"/>
      <c r="AP157" s="59"/>
      <c r="AQ157" s="59"/>
      <c r="AR157" s="59"/>
      <c r="AS157" s="59"/>
      <c r="AT157" s="59"/>
      <c r="AU157" s="59"/>
      <c r="AV157" s="59"/>
      <c r="AW157" s="59"/>
      <c r="AX157" s="59"/>
      <c r="AY157" s="59"/>
      <c r="AZ157" s="59"/>
      <c r="BA157" s="59"/>
    </row>
    <row r="158" spans="1:85" hidden="1" x14ac:dyDescent="0.25">
      <c r="A158" s="57"/>
      <c r="B158" s="57"/>
      <c r="C158" s="53"/>
      <c r="D158" s="54"/>
      <c r="E158" s="63"/>
      <c r="F158" s="59"/>
      <c r="G158" s="59"/>
      <c r="H158" s="59"/>
      <c r="I158" s="59"/>
      <c r="J158" s="59"/>
      <c r="K158" s="59"/>
      <c r="L158" s="59"/>
      <c r="M158" s="59"/>
      <c r="N158" s="59"/>
      <c r="O158" s="59"/>
      <c r="P158" s="59"/>
      <c r="Q158" s="59"/>
      <c r="R158" s="59"/>
      <c r="S158" s="59"/>
      <c r="T158" s="59"/>
      <c r="U158" s="59"/>
      <c r="V158" s="59"/>
      <c r="W158" s="59"/>
      <c r="X158" s="59"/>
      <c r="Y158" s="59"/>
      <c r="Z158" s="59"/>
      <c r="AA158" s="59"/>
      <c r="AB158" s="59"/>
      <c r="AC158" s="59"/>
      <c r="AD158" s="59"/>
      <c r="AE158" s="59"/>
      <c r="AF158" s="59"/>
      <c r="AG158" s="59"/>
      <c r="AH158" s="59"/>
      <c r="AI158" s="59"/>
      <c r="AJ158" s="59"/>
      <c r="AK158" s="59"/>
      <c r="AL158" s="59"/>
      <c r="AM158" s="59"/>
      <c r="AN158" s="59"/>
      <c r="AO158" s="59"/>
      <c r="AP158" s="59"/>
      <c r="AQ158" s="59"/>
      <c r="AR158" s="59"/>
      <c r="AS158" s="59"/>
      <c r="AT158" s="59"/>
      <c r="AU158" s="59"/>
      <c r="AV158" s="59"/>
      <c r="AW158" s="59"/>
      <c r="AX158" s="59"/>
      <c r="AY158" s="59"/>
      <c r="AZ158" s="59"/>
      <c r="BA158" s="59"/>
    </row>
    <row r="159" spans="1:85" hidden="1" x14ac:dyDescent="0.25">
      <c r="A159" s="57"/>
      <c r="B159" s="57"/>
      <c r="C159" s="53"/>
      <c r="D159" s="54"/>
      <c r="E159" s="63"/>
      <c r="F159" s="59"/>
      <c r="G159" s="59"/>
      <c r="H159" s="59"/>
      <c r="I159" s="59"/>
      <c r="J159" s="59"/>
      <c r="K159" s="59"/>
      <c r="L159" s="59"/>
      <c r="M159" s="59"/>
      <c r="N159" s="59"/>
      <c r="O159" s="59"/>
      <c r="P159" s="59"/>
      <c r="Q159" s="59"/>
      <c r="R159" s="59"/>
      <c r="S159" s="59"/>
      <c r="T159" s="59"/>
      <c r="U159" s="59"/>
      <c r="V159" s="59"/>
      <c r="W159" s="59"/>
      <c r="X159" s="59"/>
      <c r="Y159" s="59"/>
      <c r="Z159" s="59"/>
      <c r="AA159" s="59"/>
      <c r="AB159" s="59"/>
      <c r="AC159" s="59"/>
      <c r="AD159" s="59"/>
      <c r="AE159" s="59"/>
      <c r="AF159" s="59"/>
      <c r="AG159" s="59"/>
      <c r="AH159" s="59"/>
      <c r="AI159" s="59"/>
      <c r="AJ159" s="59"/>
      <c r="AK159" s="59"/>
      <c r="AL159" s="59"/>
      <c r="AM159" s="59"/>
      <c r="AN159" s="59"/>
      <c r="AO159" s="59"/>
      <c r="AP159" s="59"/>
      <c r="AQ159" s="59"/>
      <c r="AR159" s="59"/>
      <c r="AS159" s="59"/>
      <c r="AT159" s="59"/>
      <c r="AU159" s="59"/>
      <c r="AV159" s="59"/>
      <c r="AW159" s="59"/>
      <c r="AX159" s="59"/>
      <c r="AY159" s="59"/>
      <c r="AZ159" s="59"/>
      <c r="BA159" s="59"/>
    </row>
    <row r="160" spans="1:85" hidden="1" x14ac:dyDescent="0.25">
      <c r="A160" s="57"/>
      <c r="B160" s="57"/>
      <c r="C160" s="53"/>
      <c r="D160" s="54"/>
      <c r="E160" s="63"/>
      <c r="F160" s="59"/>
      <c r="G160" s="59"/>
      <c r="H160" s="59"/>
      <c r="I160" s="59"/>
      <c r="J160" s="59"/>
      <c r="K160" s="59"/>
      <c r="L160" s="59"/>
      <c r="M160" s="59"/>
      <c r="N160" s="59"/>
      <c r="O160" s="59"/>
      <c r="P160" s="59"/>
      <c r="Q160" s="59"/>
      <c r="R160" s="59"/>
      <c r="S160" s="59"/>
      <c r="T160" s="59"/>
      <c r="U160" s="59"/>
      <c r="V160" s="59"/>
      <c r="W160" s="59"/>
      <c r="X160" s="59"/>
      <c r="Y160" s="59"/>
      <c r="Z160" s="59"/>
      <c r="AA160" s="59"/>
      <c r="AB160" s="59"/>
      <c r="AC160" s="59"/>
      <c r="AD160" s="59"/>
      <c r="AE160" s="59"/>
      <c r="AF160" s="59"/>
      <c r="AG160" s="59"/>
      <c r="AH160" s="59"/>
      <c r="AI160" s="59"/>
      <c r="AJ160" s="59"/>
      <c r="AK160" s="59"/>
      <c r="AL160" s="59"/>
      <c r="AM160" s="59"/>
      <c r="AN160" s="59"/>
      <c r="AO160" s="59"/>
      <c r="AP160" s="59"/>
      <c r="AQ160" s="59"/>
      <c r="AR160" s="59"/>
      <c r="AS160" s="59"/>
      <c r="AT160" s="59"/>
      <c r="AU160" s="59"/>
      <c r="AV160" s="59"/>
      <c r="AW160" s="59"/>
      <c r="AX160" s="59"/>
      <c r="AY160" s="59"/>
      <c r="AZ160" s="59"/>
      <c r="BA160" s="59"/>
    </row>
    <row r="161" spans="1:53" ht="408.6" customHeight="1" x14ac:dyDescent="0.25">
      <c r="A161" s="122" t="s">
        <v>292</v>
      </c>
      <c r="B161" s="57"/>
      <c r="C161" s="53"/>
      <c r="D161" s="54"/>
      <c r="E161" s="63"/>
      <c r="F161" s="121" t="str" cm="1">
        <f t="array" aca="1" ref="F161" ca="1">_xlfn.TEXTJOIN(CHAR(10),TRUE,_xlfn._xlws.FILTER($CF:$CF,($CC:$CC=1)*($BU:$BU=F$3),""))</f>
        <v>Amy - MigrosBank Säule 3a Depot - Bezug
Amy - SLM Säule 3a Konto - Einzahlung Maximalbetrag
Sheldon - Neues Säule 3a Gefäss I - Eröffnung neues Säule 3a Gefäss und Einzahlung Maximalbetrag</v>
      </c>
      <c r="G161" s="121" t="str" cm="1">
        <f t="array" aca="1" ref="G161" ca="1">_xlfn.TEXTJOIN(CHAR(10),TRUE,_xlfn._xlws.FILTER($CF:$CF,($CC:$CC=1)*($BU:$BU=G$3),""))</f>
        <v>Amy - SLM Säule 3a Konto - Einzahlung Maximalbetrag und Bezug
Sheldon - Neues Säule 3a Gefäss I - Einzahlung Maximalbetrag
Sheldon - PostFinance Säule 3a Depot II - Bezug</v>
      </c>
      <c r="H161" s="121" t="str" cm="1">
        <f t="array" aca="1" ref="H161" ca="1">_xlfn.TEXTJOIN(CHAR(10),TRUE,_xlfn._xlws.FILTER($CF:$CF,($CC:$CC=1)*($BU:$BU=H$3),""))</f>
        <v>Amy - Pictet Säule 3a Depot - Einzahlung Maximalbetrag
Sheldon - Neues Säule 3a Gefäss II - Eröffnung neues Säule 3a Gefäss und Einzahlung Maximalbetrag
Sheldon - PostFinance Säule 3a Depot I - Bezug</v>
      </c>
      <c r="I161" s="121" t="str" cm="1">
        <f t="array" aca="1" ref="I161" ca="1">_xlfn.TEXTJOIN(CHAR(10),TRUE,_xlfn._xlws.FILTER($CF:$CF,($CC:$CC=1)*($BU:$BU=I$3),""))</f>
        <v>Amy - MigrosBank Festhypo - Erneuerung Hyporthek
Amy - Pictet Säule 3a Depot - Einzahlung Maximalbetrag und Bezug
Sheldon - Neues Säule 3a Gefäss II - Einzahlung Maximalbetrag
Sheldon - Neues Säule 3a Gefäss I - Bezug</v>
      </c>
      <c r="J161" s="121" t="str" cm="1">
        <f t="array" aca="1" ref="J161" ca="1">_xlfn.TEXTJOIN(CHAR(10),TRUE,_xlfn._xlws.FILTER($CF:$CF,($CC:$CC=1)*($BU:$BU=J$3),""))</f>
        <v>Amy - MigrosBank SARON - Erneuerung Hyporthek
Amy - Pensionskasse McDonalds - Teilpensionierung 20%, 100% Kapitalbezug (ca. 249 TCHF)
Amy - Neues Säule 3a Gefäss - Einzahlung Maximalbetrag
Sheldon - Neues Säule 3a Gefäss II - Einzahlung Maximalbetrag</v>
      </c>
      <c r="K161" s="121" t="str" cm="1">
        <f t="array" aca="1" ref="K161" ca="1">_xlfn.TEXTJOIN(CHAR(10),TRUE,_xlfn._xlws.FILTER($CF:$CF,($CC:$CC=1)*($BU:$BU=K$3),""))</f>
        <v>Amy - MigrosBank Festhypo II - Erneuerung Hyporthek
Sheldon - PostFinance Festhypo - Erneuerung Hyporthek
Amy - Pensionskasse McDonalds - Pensionierung, Kapitalbezug 251 TCHF
Amy - Neues Säule 3a Gefäss - Einzahlung Maximalbetrag
Sheldon - Neues Säule 3a Gefäss III - Eröffnung neues Säule 3a Gefäss und Einzahlung Maximalbetrag</v>
      </c>
      <c r="L161" s="121" t="str" cm="1">
        <f t="array" aca="1" ref="L161" ca="1">_xlfn.TEXTJOIN(CHAR(10),TRUE,_xlfn._xlws.FILTER($CF:$CF,($CC:$CC=1)*($BU:$BU=L$3),""))</f>
        <v>Amy - Neues Säule 3a Gefäss - Einzahlung Maximalbetrag (20% Erwerbeinkommen
Sheldon - Pensionskasse Caltec - Pensionierung, 100% Rentenbezug
Sheldon - Neues Säule 3a Gefäss III - Bezug
Sheldon - Neues Säule 3a Gefäss II - Einzahlung Maximalbetrag
Sheldon - MigrosBank Säule 3a Konto - Bezug</v>
      </c>
      <c r="M161" s="121" t="str" cm="1">
        <f t="array" aca="1" ref="M161" ca="1">_xlfn.TEXTJOIN(CHAR(10),TRUE,_xlfn._xlws.FILTER($CF:$CF,($CC:$CC=1)*($BU:$BU=M$3),""))</f>
        <v>Amy - Neues Säule 3a Gefäss - Einzahlung Maximalbetrag (20% Erwerbseinkommen) und Bezug</v>
      </c>
      <c r="N161" s="121" t="str" cm="1">
        <f t="array" aca="1" ref="N161" ca="1">_xlfn.TEXTJOIN(CHAR(10),TRUE,_xlfn._xlws.FILTER($CF:$CF,($CC:$CC=1)*($BU:$BU=N$3),""))</f>
        <v>Sheldon - Neues Säule 3a Gefäss II - Bezug</v>
      </c>
      <c r="O161" s="121" t="str" cm="1">
        <f t="array" ref="O161">_xlfn.TEXTJOIN(CHAR(10),TRUE,_xlfn._xlws.FILTER($CF:$CF,($CC:$CC=1)*($BU:$BU=O$3),""))</f>
        <v/>
      </c>
      <c r="P161" s="121" t="str" cm="1">
        <f t="array" ref="P161">_xlfn.TEXTJOIN(CHAR(10),TRUE,_xlfn._xlws.FILTER($CF:$CF,($CC:$CC=1)*($BU:$BU=P$3),""))</f>
        <v/>
      </c>
      <c r="Q161" s="121" t="str" cm="1">
        <f t="array" ref="Q161">_xlfn.TEXTJOIN(CHAR(10),TRUE,_xlfn._xlws.FILTER($CF:$CF,($CC:$CC=1)*($BU:$BU=Q$3),""))</f>
        <v/>
      </c>
      <c r="R161" s="121" t="str" cm="1">
        <f t="array" ref="R161">_xlfn.TEXTJOIN(CHAR(10),TRUE,_xlfn._xlws.FILTER($CF:$CF,($CC:$CC=1)*($BU:$BU=R$3),""))</f>
        <v/>
      </c>
      <c r="S161" s="121" t="str" cm="1">
        <f t="array" ref="S161">_xlfn.TEXTJOIN(CHAR(10),TRUE,_xlfn._xlws.FILTER($CF:$CF,($CC:$CC=1)*($BU:$BU=S$3),""))</f>
        <v/>
      </c>
      <c r="T161" s="121" t="str" cm="1">
        <f t="array" ref="T161">_xlfn.TEXTJOIN(CHAR(10),TRUE,_xlfn._xlws.FILTER($CF:$CF,($CC:$CC=1)*($BU:$BU=T$3),""))</f>
        <v/>
      </c>
      <c r="U161" s="121" t="str" cm="1">
        <f t="array" ref="U161">_xlfn.TEXTJOIN(CHAR(10),TRUE,_xlfn._xlws.FILTER($CF:$CF,($CC:$CC=1)*($BU:$BU=U$3),""))</f>
        <v/>
      </c>
      <c r="V161" s="121" t="str" cm="1">
        <f t="array" ref="V161">_xlfn.TEXTJOIN(CHAR(10),TRUE,_xlfn._xlws.FILTER($CF:$CF,($CC:$CC=1)*($BU:$BU=V$3),""))</f>
        <v/>
      </c>
      <c r="W161" s="121" t="str" cm="1">
        <f t="array" ref="W161">_xlfn.TEXTJOIN(CHAR(10),TRUE,_xlfn._xlws.FILTER($CF:$CF,($CC:$CC=1)*($BU:$BU=W$3),""))</f>
        <v/>
      </c>
      <c r="X161" s="121" t="str" cm="1">
        <f t="array" ref="X161">_xlfn.TEXTJOIN(CHAR(10),TRUE,_xlfn._xlws.FILTER($CF:$CF,($CC:$CC=1)*($BU:$BU=X$3),""))</f>
        <v/>
      </c>
      <c r="Y161" s="121" t="str" cm="1">
        <f t="array" ref="Y161">_xlfn.TEXTJOIN(CHAR(10),TRUE,_xlfn._xlws.FILTER($CF:$CF,($CC:$CC=1)*($BU:$BU=Y$3),""))</f>
        <v/>
      </c>
      <c r="Z161" s="121" t="str" cm="1">
        <f t="array" ref="Z161">_xlfn.TEXTJOIN(CHAR(10),TRUE,_xlfn._xlws.FILTER($CF:$CF,($CC:$CC=1)*($BU:$BU=Z$3),""))</f>
        <v/>
      </c>
      <c r="AA161" s="121" t="str" cm="1">
        <f t="array" ref="AA161">_xlfn.TEXTJOIN(CHAR(10),TRUE,_xlfn._xlws.FILTER($CF:$CF,($CC:$CC=1)*($BU:$BU=AA$3),""))</f>
        <v/>
      </c>
      <c r="AB161" s="121" t="str" cm="1">
        <f t="array" ref="AB161">_xlfn.TEXTJOIN(CHAR(10),TRUE,_xlfn._xlws.FILTER($CF:$CF,($CC:$CC=1)*($BU:$BU=AB$3),""))</f>
        <v/>
      </c>
      <c r="AC161" s="121" t="str" cm="1">
        <f t="array" ref="AC161">_xlfn.TEXTJOIN(CHAR(10),TRUE,_xlfn._xlws.FILTER($CF:$CF,($CC:$CC=1)*($BU:$BU=AC$3),""))</f>
        <v/>
      </c>
      <c r="AD161" s="121" t="str" cm="1">
        <f t="array" ref="AD161">_xlfn.TEXTJOIN(CHAR(10),TRUE,_xlfn._xlws.FILTER($CF:$CF,($CC:$CC=1)*($BU:$BU=AD$3),""))</f>
        <v/>
      </c>
      <c r="AE161" s="121" t="str" cm="1">
        <f t="array" ref="AE161">_xlfn.TEXTJOIN(CHAR(10),TRUE,_xlfn._xlws.FILTER($CF:$CF,($CC:$CC=1)*($BU:$BU=AE$3),""))</f>
        <v/>
      </c>
      <c r="AF161" s="121" t="str" cm="1">
        <f t="array" ref="AF161">_xlfn.TEXTJOIN(CHAR(10),TRUE,_xlfn._xlws.FILTER($CF:$CF,($CC:$CC=1)*($BU:$BU=AF$3),""))</f>
        <v/>
      </c>
      <c r="AG161" s="121" t="str" cm="1">
        <f t="array" ref="AG161">_xlfn.TEXTJOIN(CHAR(10),TRUE,_xlfn._xlws.FILTER($CF:$CF,($CC:$CC=1)*($BU:$BU=AG$3),""))</f>
        <v/>
      </c>
      <c r="AH161" s="121" t="str" cm="1">
        <f t="array" ref="AH161">_xlfn.TEXTJOIN(CHAR(10),TRUE,_xlfn._xlws.FILTER($CF:$CF,($CC:$CC=1)*($BU:$BU=AH$3),""))</f>
        <v/>
      </c>
      <c r="AI161" s="121" t="str" cm="1">
        <f t="array" ref="AI161">_xlfn.TEXTJOIN(CHAR(10),TRUE,_xlfn._xlws.FILTER($CF:$CF,($CC:$CC=1)*($BU:$BU=AI$3),""))</f>
        <v/>
      </c>
      <c r="AJ161" s="121" t="str" cm="1">
        <f t="array" ref="AJ161">_xlfn.TEXTJOIN(CHAR(10),TRUE,_xlfn._xlws.FILTER($CF:$CF,($CC:$CC=1)*($BU:$BU=AJ$3),""))</f>
        <v/>
      </c>
      <c r="AK161" s="121" t="str" cm="1">
        <f t="array" ref="AK161">_xlfn.TEXTJOIN(CHAR(10),TRUE,_xlfn._xlws.FILTER($CF:$CF,($CC:$CC=1)*($BU:$BU=AK$3),""))</f>
        <v/>
      </c>
      <c r="AL161" s="121" t="str" cm="1">
        <f t="array" ref="AL161">_xlfn.TEXTJOIN(CHAR(10),TRUE,_xlfn._xlws.FILTER($CF:$CF,($CC:$CC=1)*($BU:$BU=AL$3),""))</f>
        <v/>
      </c>
      <c r="AM161" s="121" t="str" cm="1">
        <f t="array" ref="AM161">_xlfn.TEXTJOIN(CHAR(10),TRUE,_xlfn._xlws.FILTER($CF:$CF,($CC:$CC=1)*($BU:$BU=AM$3),""))</f>
        <v/>
      </c>
      <c r="AN161" s="121" t="str" cm="1">
        <f t="array" ref="AN161">_xlfn.TEXTJOIN(CHAR(10),TRUE,_xlfn._xlws.FILTER($CF:$CF,($CC:$CC=1)*($BU:$BU=AN$3),""))</f>
        <v/>
      </c>
      <c r="AO161" s="121" t="str" cm="1">
        <f t="array" ref="AO161">_xlfn.TEXTJOIN(CHAR(10),TRUE,_xlfn._xlws.FILTER($CF:$CF,($CC:$CC=1)*($BU:$BU=AO$3),""))</f>
        <v/>
      </c>
      <c r="AP161" s="121" t="str" cm="1">
        <f t="array" ref="AP161">_xlfn.TEXTJOIN(CHAR(10),TRUE,_xlfn._xlws.FILTER($CF:$CF,($CC:$CC=1)*($BU:$BU=AP$3),""))</f>
        <v/>
      </c>
      <c r="AQ161" s="121" t="str" cm="1">
        <f t="array" ref="AQ161">_xlfn.TEXTJOIN(CHAR(10),TRUE,_xlfn._xlws.FILTER($CF:$CF,($CC:$CC=1)*($BU:$BU=AQ$3),""))</f>
        <v/>
      </c>
      <c r="AR161" s="121" t="str" cm="1">
        <f t="array" ref="AR161">_xlfn.TEXTJOIN(CHAR(10),TRUE,_xlfn._xlws.FILTER($CF:$CF,($CC:$CC=1)*($BU:$BU=AR$3),""))</f>
        <v/>
      </c>
      <c r="AS161" s="121" t="str" cm="1">
        <f t="array" ref="AS161">_xlfn.TEXTJOIN(CHAR(10),TRUE,_xlfn._xlws.FILTER($CF:$CF,($CC:$CC=1)*($BU:$BU=AS$3),""))</f>
        <v/>
      </c>
      <c r="AT161" s="121" t="str" cm="1">
        <f t="array" ref="AT161">_xlfn.TEXTJOIN(CHAR(10),TRUE,_xlfn._xlws.FILTER($CF:$CF,($CC:$CC=1)*($BU:$BU=AT$3),""))</f>
        <v/>
      </c>
      <c r="AU161" s="121" t="str" cm="1">
        <f t="array" ref="AU161">_xlfn.TEXTJOIN(CHAR(10),TRUE,_xlfn._xlws.FILTER($CF:$CF,($CC:$CC=1)*($BU:$BU=AU$3),""))</f>
        <v/>
      </c>
      <c r="AV161" s="121" t="str" cm="1">
        <f t="array" ref="AV161">_xlfn.TEXTJOIN(CHAR(10),TRUE,_xlfn._xlws.FILTER($CF:$CF,($CC:$CC=1)*($BU:$BU=AV$3),""))</f>
        <v/>
      </c>
      <c r="AW161" s="121" t="str" cm="1">
        <f t="array" ref="AW161">_xlfn.TEXTJOIN(CHAR(10),TRUE,_xlfn._xlws.FILTER($CF:$CF,($CC:$CC=1)*($BU:$BU=AW$3),""))</f>
        <v/>
      </c>
      <c r="AX161" s="121" t="str" cm="1">
        <f t="array" ref="AX161">_xlfn.TEXTJOIN(CHAR(10),TRUE,_xlfn._xlws.FILTER($CF:$CF,($CC:$CC=1)*($BU:$BU=AX$3),""))</f>
        <v/>
      </c>
      <c r="AY161" s="121" t="str" cm="1">
        <f t="array" ref="AY161">_xlfn.TEXTJOIN(CHAR(10),TRUE,_xlfn._xlws.FILTER($CF:$CF,($CC:$CC=1)*($BU:$BU=AY$3),""))</f>
        <v/>
      </c>
      <c r="AZ161" s="121" t="str" cm="1">
        <f t="array" ref="AZ161">_xlfn.TEXTJOIN(CHAR(10),TRUE,_xlfn._xlws.FILTER($CF:$CF,($CC:$CC=1)*($BU:$BU=AZ$3),""))</f>
        <v/>
      </c>
      <c r="BA161" s="121" t="str" cm="1">
        <f t="array" ref="BA161">_xlfn.TEXTJOIN(CHAR(10),TRUE,_xlfn._xlws.FILTER($CF:$CF,($CC:$CC=1)*($BU:$BU=BA$3),""))</f>
        <v/>
      </c>
    </row>
    <row r="162" spans="1:53" hidden="1" x14ac:dyDescent="0.25">
      <c r="A162" s="34"/>
      <c r="B162" s="34"/>
      <c r="C162" s="34"/>
      <c r="D162" s="34"/>
      <c r="E162" s="34"/>
      <c r="F162" s="60"/>
      <c r="G162" s="60"/>
      <c r="H162" s="60"/>
      <c r="I162" s="60"/>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row>
    <row r="163" spans="1:53" hidden="1" x14ac:dyDescent="0.25">
      <c r="A163" s="34"/>
      <c r="B163" s="34"/>
      <c r="C163" s="34"/>
      <c r="D163" s="34"/>
      <c r="E163" s="34"/>
      <c r="F163" s="60"/>
      <c r="G163" s="60"/>
      <c r="H163" s="60"/>
      <c r="I163" s="60"/>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row>
    <row r="164" spans="1:53" hidden="1" x14ac:dyDescent="0.25">
      <c r="A164" s="34"/>
      <c r="B164" s="34"/>
      <c r="C164" s="34"/>
      <c r="D164" s="34"/>
      <c r="E164" s="34"/>
      <c r="F164" s="60"/>
      <c r="G164" s="60"/>
      <c r="H164" s="60"/>
      <c r="I164" s="60"/>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row>
    <row r="165" spans="1:53" hidden="1" x14ac:dyDescent="0.25">
      <c r="A165" s="34"/>
      <c r="B165" s="34"/>
      <c r="C165" s="34"/>
      <c r="D165" s="34"/>
      <c r="E165" s="34"/>
      <c r="F165" s="60"/>
      <c r="G165" s="60"/>
      <c r="H165" s="60"/>
      <c r="I165" s="60"/>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row>
    <row r="166" spans="1:53" hidden="1" x14ac:dyDescent="0.25">
      <c r="A166" s="34"/>
      <c r="B166" s="34"/>
      <c r="C166" s="34"/>
      <c r="D166" s="34"/>
      <c r="E166" s="34"/>
      <c r="F166" s="60"/>
      <c r="G166" s="60"/>
      <c r="H166" s="60"/>
      <c r="I166" s="60"/>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row>
    <row r="167" spans="1:53" hidden="1" x14ac:dyDescent="0.25">
      <c r="A167" s="34"/>
      <c r="B167" s="34"/>
      <c r="C167" s="34"/>
      <c r="D167" s="34"/>
      <c r="E167" s="34"/>
      <c r="F167" s="60"/>
      <c r="G167" s="60"/>
      <c r="H167" s="120"/>
      <c r="I167" s="60"/>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row>
    <row r="168" spans="1:53" hidden="1" x14ac:dyDescent="0.25">
      <c r="A168" s="34"/>
      <c r="B168" s="34"/>
      <c r="C168" s="34"/>
      <c r="D168" s="34"/>
      <c r="E168" s="34"/>
      <c r="F168" s="60"/>
      <c r="G168" s="60"/>
      <c r="H168" s="60"/>
      <c r="I168" s="60"/>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row>
    <row r="169" spans="1:53" hidden="1" x14ac:dyDescent="0.25">
      <c r="A169" s="34"/>
      <c r="B169" s="34"/>
      <c r="C169" s="34"/>
      <c r="D169" s="34"/>
      <c r="E169" s="34"/>
      <c r="F169" s="60"/>
      <c r="G169" s="60"/>
      <c r="H169" s="60"/>
      <c r="I169" s="60"/>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row>
    <row r="170" spans="1:53" hidden="1" x14ac:dyDescent="0.25">
      <c r="A170" s="34"/>
      <c r="B170" s="34"/>
      <c r="C170" s="34"/>
      <c r="D170" s="34"/>
      <c r="E170" s="34"/>
      <c r="F170" s="60"/>
      <c r="G170" s="60"/>
      <c r="H170" s="60"/>
      <c r="I170" s="60"/>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row>
  </sheetData>
  <autoFilter ref="BS1:CF154" xr:uid="{A53A02A3-DB92-4035-940B-504FA75FC4D1}"/>
  <conditionalFormatting sqref="F3:BA200">
    <cfRule type="expression" dxfId="1" priority="1">
      <formula>ISEVEN(COLUMN(F3))</formula>
    </cfRule>
  </conditionalFormatting>
  <pageMargins left="0.66122047244094495" right="0.23622047244094491" top="0.74803149606299213" bottom="0.74803149606299213" header="0.31496062992125984" footer="0.31496062992125984"/>
  <pageSetup scale="9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hideEmptyRows">
                <anchor moveWithCells="1" sizeWithCells="1">
                  <from>
                    <xdr:col>63</xdr:col>
                    <xdr:colOff>266700</xdr:colOff>
                    <xdr:row>0</xdr:row>
                    <xdr:rowOff>123825</xdr:rowOff>
                  </from>
                  <to>
                    <xdr:col>65</xdr:col>
                    <xdr:colOff>571500</xdr:colOff>
                    <xdr:row>1</xdr:row>
                    <xdr:rowOff>57150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8E5622-43CF-465F-A70F-13AEE7103673}">
  <sheetPr codeName="Tabelle18"/>
  <dimension ref="A1:CG170"/>
  <sheetViews>
    <sheetView showZeros="0" zoomScale="115" zoomScaleNormal="115" zoomScaleSheetLayoutView="106" workbookViewId="0">
      <pane ySplit="5" topLeftCell="A6" activePane="bottomLeft" state="frozen"/>
      <selection activeCell="B3" sqref="B3"/>
      <selection pane="bottomLeft" activeCell="B3" sqref="B3"/>
    </sheetView>
  </sheetViews>
  <sheetFormatPr baseColWidth="10" defaultRowHeight="15" outlineLevelCol="1" x14ac:dyDescent="0.25"/>
  <cols>
    <col min="1" max="1" width="26.140625" customWidth="1"/>
    <col min="2" max="2" width="17.7109375" hidden="1" customWidth="1" outlineLevel="1"/>
    <col min="3" max="3" width="7.7109375" bestFit="1" customWidth="1" collapsed="1"/>
    <col min="4" max="4" width="5.7109375" bestFit="1" customWidth="1"/>
    <col min="5" max="5" width="6.140625" bestFit="1" customWidth="1"/>
    <col min="6" max="8" width="6" style="44" bestFit="1" customWidth="1"/>
    <col min="9" max="10" width="7.7109375" style="44" bestFit="1" customWidth="1"/>
    <col min="11" max="12" width="9.5703125" style="44" bestFit="1" customWidth="1"/>
    <col min="13" max="19" width="3.7109375" style="44" bestFit="1" customWidth="1"/>
    <col min="20" max="28" width="3.7109375" style="44" hidden="1" customWidth="1" outlineLevel="1"/>
    <col min="29" max="29" width="3.7109375" style="44" bestFit="1" customWidth="1" collapsed="1"/>
    <col min="30" max="44" width="3.7109375" style="44" bestFit="1" customWidth="1"/>
    <col min="45" max="46" width="4.7109375" style="44" customWidth="1"/>
    <col min="47" max="53" width="4.7109375" style="44" hidden="1" customWidth="1" outlineLevel="1"/>
    <col min="54" max="54" width="11.42578125" collapsed="1"/>
    <col min="70" max="70" width="18.85546875" bestFit="1" customWidth="1"/>
    <col min="71" max="72" width="18.85546875" customWidth="1"/>
    <col min="76" max="76" width="20.28515625" bestFit="1" customWidth="1"/>
    <col min="77" max="77" width="17.5703125" style="12" bestFit="1" customWidth="1"/>
    <col min="78" max="78" width="10.7109375" bestFit="1" customWidth="1"/>
    <col min="79" max="79" width="20" bestFit="1" customWidth="1"/>
    <col min="80" max="80" width="58.85546875" bestFit="1" customWidth="1"/>
    <col min="81" max="81" width="17" bestFit="1" customWidth="1"/>
    <col min="83" max="83" width="29.7109375" bestFit="1" customWidth="1"/>
    <col min="84" max="85" width="29.7109375" customWidth="1"/>
  </cols>
  <sheetData>
    <row r="1" spans="1:85" s="5" customFormat="1" ht="30" customHeight="1" x14ac:dyDescent="0.25">
      <c r="A1" s="26" t="str">
        <f>BP1</f>
        <v>Kapitalbezug 500 TCHF von Alterskapital (und Einkauf)</v>
      </c>
      <c r="B1" s="26"/>
      <c r="F1" s="43"/>
      <c r="G1" s="43"/>
      <c r="H1" s="43"/>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O1" s="5" t="s">
        <v>94</v>
      </c>
      <c r="BP1" s="40" t="s">
        <v>319</v>
      </c>
      <c r="BR1"/>
      <c r="BS1" t="s">
        <v>81</v>
      </c>
      <c r="BT1" t="s">
        <v>80</v>
      </c>
      <c r="BU1" t="s">
        <v>79</v>
      </c>
      <c r="BV1" t="s">
        <v>75</v>
      </c>
      <c r="BW1" t="s">
        <v>76</v>
      </c>
      <c r="BX1" t="s">
        <v>77</v>
      </c>
      <c r="BY1" s="12" t="s">
        <v>78</v>
      </c>
      <c r="BZ1" t="s">
        <v>87</v>
      </c>
      <c r="CA1" t="s">
        <v>88</v>
      </c>
      <c r="CB1" s="5" t="s">
        <v>157</v>
      </c>
      <c r="CC1" s="5" t="s">
        <v>239</v>
      </c>
      <c r="CD1" s="5" t="s">
        <v>58</v>
      </c>
      <c r="CE1" s="5" t="s">
        <v>291</v>
      </c>
      <c r="CF1" s="5" t="s">
        <v>293</v>
      </c>
    </row>
    <row r="2" spans="1:85" s="5" customFormat="1" ht="15.75" customHeight="1" x14ac:dyDescent="0.25">
      <c r="A2" s="41" t="s">
        <v>73</v>
      </c>
      <c r="B2" s="41"/>
      <c r="C2" s="42"/>
      <c r="D2" s="42"/>
      <c r="E2" s="42"/>
      <c r="F2" s="43"/>
      <c r="G2" s="43"/>
      <c r="H2" s="43"/>
      <c r="I2" s="43"/>
      <c r="J2" s="43"/>
      <c r="K2" s="43"/>
      <c r="L2" s="43"/>
      <c r="M2" s="43"/>
      <c r="N2" s="43"/>
      <c r="O2" s="43"/>
      <c r="P2" s="43"/>
      <c r="Q2" s="43"/>
      <c r="R2" s="43"/>
      <c r="S2" s="43"/>
      <c r="T2" s="43"/>
      <c r="U2" s="43"/>
      <c r="V2" s="43"/>
      <c r="W2" s="43"/>
      <c r="X2" s="43"/>
      <c r="Y2" s="43"/>
      <c r="Z2" s="43"/>
      <c r="AA2" s="43"/>
      <c r="AB2" s="43"/>
      <c r="AC2" s="43"/>
      <c r="AD2" s="43"/>
      <c r="AE2" s="43"/>
      <c r="AF2" s="43"/>
      <c r="AG2" s="43"/>
      <c r="AH2" s="43"/>
      <c r="AI2" s="43"/>
      <c r="AJ2" s="43"/>
      <c r="AK2" s="43"/>
      <c r="AL2" s="43"/>
      <c r="AM2" s="43"/>
      <c r="AN2" s="43"/>
      <c r="AO2" s="43"/>
      <c r="AP2" s="43"/>
      <c r="AQ2" s="43"/>
      <c r="AR2" s="43"/>
      <c r="AS2" s="43"/>
      <c r="AT2" s="43"/>
      <c r="AU2" s="43"/>
      <c r="AV2" s="43"/>
      <c r="AW2" s="43"/>
      <c r="AX2" s="43"/>
      <c r="AY2" s="43"/>
      <c r="AZ2" s="43"/>
      <c r="BA2" s="43"/>
      <c r="BO2" t="s">
        <v>72</v>
      </c>
      <c r="BP2" s="1">
        <v>2024</v>
      </c>
      <c r="BS2" s="5">
        <f t="shared" ref="BS2:BS65" si="0">COUNTIF(BT:BT,BT2)-1</f>
        <v>0</v>
      </c>
      <c r="BT2" s="5" t="str">
        <f t="shared" ref="BT2:BT65" si="1">BU2&amp;BV2&amp;BW2</f>
        <v>2030E_Erwerb1</v>
      </c>
      <c r="BU2">
        <v>2030</v>
      </c>
      <c r="BV2" t="s">
        <v>74</v>
      </c>
      <c r="BW2">
        <v>1</v>
      </c>
      <c r="BX2">
        <v>2</v>
      </c>
      <c r="BY2" s="12">
        <v>0</v>
      </c>
      <c r="BZ2">
        <f>9/12</f>
        <v>0.75</v>
      </c>
      <c r="CA2"/>
      <c r="CD2" s="5" t="str">
        <f ca="1">INDEX(INDIRECT($BV2&amp;"[Zugehörigkeit Bezeichnung]"),MATCH($BW2,INDIRECT($BV2&amp;"[Id]"),0))</f>
        <v>Sheldon</v>
      </c>
      <c r="CE2" s="5" t="str">
        <f ca="1">INDEX(INDIRECT($BV2&amp;"[Titel]"),MATCH($BW2,INDIRECT($BV2&amp;"[Id]"),0))</f>
        <v>Einkommen aus Erwerbstätigkeit</v>
      </c>
      <c r="CF2" s="5" t="str">
        <f ca="1">_xlfn.TEXTJOIN(" - ",TRUE,CD2,CE2,CB2)</f>
        <v>Sheldon - Einkommen aus Erwerbstätigkeit</v>
      </c>
    </row>
    <row r="3" spans="1:85" ht="27.75" customHeight="1" x14ac:dyDescent="0.25">
      <c r="A3" s="47" t="s">
        <v>79</v>
      </c>
      <c r="B3" s="48"/>
      <c r="C3" s="49"/>
      <c r="D3" s="50"/>
      <c r="E3" s="51" t="s">
        <v>113</v>
      </c>
      <c r="F3" s="51">
        <f>BP2</f>
        <v>2024</v>
      </c>
      <c r="G3" s="51">
        <f>F3+1</f>
        <v>2025</v>
      </c>
      <c r="H3" s="51">
        <f t="shared" ref="H3:V3" si="2">G3+1</f>
        <v>2026</v>
      </c>
      <c r="I3" s="51">
        <f t="shared" si="2"/>
        <v>2027</v>
      </c>
      <c r="J3" s="51">
        <f t="shared" si="2"/>
        <v>2028</v>
      </c>
      <c r="K3" s="51">
        <f t="shared" si="2"/>
        <v>2029</v>
      </c>
      <c r="L3" s="51">
        <f t="shared" si="2"/>
        <v>2030</v>
      </c>
      <c r="M3" s="51">
        <f t="shared" si="2"/>
        <v>2031</v>
      </c>
      <c r="N3" s="51">
        <f t="shared" si="2"/>
        <v>2032</v>
      </c>
      <c r="O3" s="51">
        <f t="shared" si="2"/>
        <v>2033</v>
      </c>
      <c r="P3" s="51">
        <f t="shared" si="2"/>
        <v>2034</v>
      </c>
      <c r="Q3" s="51">
        <f t="shared" si="2"/>
        <v>2035</v>
      </c>
      <c r="R3" s="51">
        <f t="shared" si="2"/>
        <v>2036</v>
      </c>
      <c r="S3" s="51">
        <f t="shared" si="2"/>
        <v>2037</v>
      </c>
      <c r="T3" s="51">
        <f t="shared" si="2"/>
        <v>2038</v>
      </c>
      <c r="U3" s="51">
        <f t="shared" si="2"/>
        <v>2039</v>
      </c>
      <c r="V3" s="51">
        <f t="shared" si="2"/>
        <v>2040</v>
      </c>
      <c r="W3" s="51">
        <f>V3+1</f>
        <v>2041</v>
      </c>
      <c r="X3" s="51">
        <f t="shared" ref="X3:BA3" si="3">W3+1</f>
        <v>2042</v>
      </c>
      <c r="Y3" s="51">
        <f t="shared" si="3"/>
        <v>2043</v>
      </c>
      <c r="Z3" s="51">
        <f t="shared" si="3"/>
        <v>2044</v>
      </c>
      <c r="AA3" s="51">
        <f t="shared" si="3"/>
        <v>2045</v>
      </c>
      <c r="AB3" s="51">
        <f t="shared" si="3"/>
        <v>2046</v>
      </c>
      <c r="AC3" s="51">
        <f t="shared" si="3"/>
        <v>2047</v>
      </c>
      <c r="AD3" s="51">
        <f t="shared" si="3"/>
        <v>2048</v>
      </c>
      <c r="AE3" s="51">
        <f t="shared" si="3"/>
        <v>2049</v>
      </c>
      <c r="AF3" s="51">
        <f t="shared" si="3"/>
        <v>2050</v>
      </c>
      <c r="AG3" s="51">
        <f t="shared" si="3"/>
        <v>2051</v>
      </c>
      <c r="AH3" s="51">
        <f t="shared" si="3"/>
        <v>2052</v>
      </c>
      <c r="AI3" s="51">
        <f t="shared" si="3"/>
        <v>2053</v>
      </c>
      <c r="AJ3" s="51">
        <f t="shared" si="3"/>
        <v>2054</v>
      </c>
      <c r="AK3" s="51">
        <f t="shared" si="3"/>
        <v>2055</v>
      </c>
      <c r="AL3" s="51">
        <f t="shared" si="3"/>
        <v>2056</v>
      </c>
      <c r="AM3" s="51">
        <f t="shared" si="3"/>
        <v>2057</v>
      </c>
      <c r="AN3" s="51">
        <f t="shared" si="3"/>
        <v>2058</v>
      </c>
      <c r="AO3" s="51">
        <f t="shared" si="3"/>
        <v>2059</v>
      </c>
      <c r="AP3" s="51">
        <f t="shared" si="3"/>
        <v>2060</v>
      </c>
      <c r="AQ3" s="51">
        <f t="shared" si="3"/>
        <v>2061</v>
      </c>
      <c r="AR3" s="51">
        <f t="shared" si="3"/>
        <v>2062</v>
      </c>
      <c r="AS3" s="51">
        <f t="shared" si="3"/>
        <v>2063</v>
      </c>
      <c r="AT3" s="51">
        <f t="shared" si="3"/>
        <v>2064</v>
      </c>
      <c r="AU3" s="51">
        <f t="shared" si="3"/>
        <v>2065</v>
      </c>
      <c r="AV3" s="51">
        <f t="shared" si="3"/>
        <v>2066</v>
      </c>
      <c r="AW3" s="51">
        <f t="shared" si="3"/>
        <v>2067</v>
      </c>
      <c r="AX3" s="51">
        <f t="shared" si="3"/>
        <v>2068</v>
      </c>
      <c r="AY3" s="51">
        <f t="shared" si="3"/>
        <v>2069</v>
      </c>
      <c r="AZ3" s="51">
        <f t="shared" si="3"/>
        <v>2070</v>
      </c>
      <c r="BA3" s="51">
        <f t="shared" si="3"/>
        <v>2071</v>
      </c>
      <c r="BO3" s="5" t="s">
        <v>71</v>
      </c>
      <c r="BP3" s="40">
        <v>100000</v>
      </c>
      <c r="BS3" s="5">
        <f t="shared" si="0"/>
        <v>0</v>
      </c>
      <c r="BT3" s="5" t="str">
        <f t="shared" si="1"/>
        <v>2031E_Erwerb1</v>
      </c>
      <c r="BU3">
        <v>2031</v>
      </c>
      <c r="BV3" t="s">
        <v>74</v>
      </c>
      <c r="BW3">
        <v>1</v>
      </c>
      <c r="BX3">
        <v>1</v>
      </c>
      <c r="BY3" s="12">
        <v>0</v>
      </c>
      <c r="BZ3">
        <f>+(0.8*4/12+1*8/12)</f>
        <v>0.93333333333333335</v>
      </c>
      <c r="CD3" s="5" t="str">
        <f t="shared" ref="CD3:CD67" ca="1" si="4">INDEX(INDIRECT($BV3&amp;"[Zugehörigkeit Bezeichnung]"),MATCH($BW3,INDIRECT($BV3&amp;"[Id]"),0))</f>
        <v>Sheldon</v>
      </c>
      <c r="CE3" s="5" t="str">
        <f t="shared" ref="CE3:CE67" ca="1" si="5">INDEX(INDIRECT($BV3&amp;"[Titel]"),MATCH($BW3,INDIRECT($BV3&amp;"[Id]"),0))</f>
        <v>Einkommen aus Erwerbstätigkeit</v>
      </c>
      <c r="CF3" s="5" t="str">
        <f t="shared" ref="CF3:CF66" ca="1" si="6">_xlfn.TEXTJOIN(" - ",TRUE,CD3,CE3,CB3)</f>
        <v>Sheldon - Einkommen aus Erwerbstätigkeit</v>
      </c>
      <c r="CG3" s="5"/>
    </row>
    <row r="4" spans="1:85" x14ac:dyDescent="0.25">
      <c r="A4" s="52" t="str">
        <f>PD_Bez1</f>
        <v>Sheldon</v>
      </c>
      <c r="B4" s="52"/>
      <c r="C4" s="53"/>
      <c r="D4" s="54"/>
      <c r="E4" s="54"/>
      <c r="F4" s="55">
        <f t="shared" ref="F4:BA4" si="7">F3-PD_Geb1</f>
        <v>58</v>
      </c>
      <c r="G4" s="55">
        <f t="shared" si="7"/>
        <v>59</v>
      </c>
      <c r="H4" s="55">
        <f t="shared" si="7"/>
        <v>60</v>
      </c>
      <c r="I4" s="55">
        <f t="shared" si="7"/>
        <v>61</v>
      </c>
      <c r="J4" s="55">
        <f t="shared" si="7"/>
        <v>62</v>
      </c>
      <c r="K4" s="55">
        <f t="shared" si="7"/>
        <v>63</v>
      </c>
      <c r="L4" s="55">
        <f t="shared" si="7"/>
        <v>64</v>
      </c>
      <c r="M4" s="55">
        <f t="shared" si="7"/>
        <v>65</v>
      </c>
      <c r="N4" s="55">
        <f t="shared" si="7"/>
        <v>66</v>
      </c>
      <c r="O4" s="55">
        <f t="shared" si="7"/>
        <v>67</v>
      </c>
      <c r="P4" s="55">
        <f t="shared" si="7"/>
        <v>68</v>
      </c>
      <c r="Q4" s="55">
        <f t="shared" si="7"/>
        <v>69</v>
      </c>
      <c r="R4" s="55">
        <f t="shared" si="7"/>
        <v>70</v>
      </c>
      <c r="S4" s="55">
        <f t="shared" si="7"/>
        <v>71</v>
      </c>
      <c r="T4" s="55">
        <f t="shared" si="7"/>
        <v>72</v>
      </c>
      <c r="U4" s="55">
        <f t="shared" si="7"/>
        <v>73</v>
      </c>
      <c r="V4" s="55">
        <f t="shared" si="7"/>
        <v>74</v>
      </c>
      <c r="W4" s="55">
        <f t="shared" si="7"/>
        <v>75</v>
      </c>
      <c r="X4" s="55">
        <f t="shared" si="7"/>
        <v>76</v>
      </c>
      <c r="Y4" s="55">
        <f t="shared" si="7"/>
        <v>77</v>
      </c>
      <c r="Z4" s="55">
        <f t="shared" si="7"/>
        <v>78</v>
      </c>
      <c r="AA4" s="55">
        <f t="shared" si="7"/>
        <v>79</v>
      </c>
      <c r="AB4" s="55">
        <f t="shared" si="7"/>
        <v>80</v>
      </c>
      <c r="AC4" s="55">
        <f t="shared" si="7"/>
        <v>81</v>
      </c>
      <c r="AD4" s="55">
        <f t="shared" si="7"/>
        <v>82</v>
      </c>
      <c r="AE4" s="55">
        <f t="shared" si="7"/>
        <v>83</v>
      </c>
      <c r="AF4" s="55">
        <f t="shared" si="7"/>
        <v>84</v>
      </c>
      <c r="AG4" s="55">
        <f t="shared" si="7"/>
        <v>85</v>
      </c>
      <c r="AH4" s="55">
        <f t="shared" si="7"/>
        <v>86</v>
      </c>
      <c r="AI4" s="55">
        <f t="shared" si="7"/>
        <v>87</v>
      </c>
      <c r="AJ4" s="55">
        <f t="shared" si="7"/>
        <v>88</v>
      </c>
      <c r="AK4" s="55">
        <f t="shared" si="7"/>
        <v>89</v>
      </c>
      <c r="AL4" s="55">
        <f t="shared" si="7"/>
        <v>90</v>
      </c>
      <c r="AM4" s="55">
        <f t="shared" si="7"/>
        <v>91</v>
      </c>
      <c r="AN4" s="55">
        <f t="shared" si="7"/>
        <v>92</v>
      </c>
      <c r="AO4" s="55">
        <f t="shared" si="7"/>
        <v>93</v>
      </c>
      <c r="AP4" s="55">
        <f t="shared" si="7"/>
        <v>94</v>
      </c>
      <c r="AQ4" s="55">
        <f t="shared" si="7"/>
        <v>95</v>
      </c>
      <c r="AR4" s="55">
        <f t="shared" si="7"/>
        <v>96</v>
      </c>
      <c r="AS4" s="55">
        <f t="shared" si="7"/>
        <v>97</v>
      </c>
      <c r="AT4" s="55">
        <f t="shared" si="7"/>
        <v>98</v>
      </c>
      <c r="AU4" s="55">
        <f t="shared" si="7"/>
        <v>99</v>
      </c>
      <c r="AV4" s="55">
        <f t="shared" si="7"/>
        <v>100</v>
      </c>
      <c r="AW4" s="55">
        <f t="shared" si="7"/>
        <v>101</v>
      </c>
      <c r="AX4" s="55">
        <f t="shared" si="7"/>
        <v>102</v>
      </c>
      <c r="AY4" s="55">
        <f t="shared" si="7"/>
        <v>103</v>
      </c>
      <c r="AZ4" s="55">
        <f t="shared" si="7"/>
        <v>104</v>
      </c>
      <c r="BA4" s="55">
        <f t="shared" si="7"/>
        <v>105</v>
      </c>
      <c r="BB4" s="10"/>
      <c r="BC4" s="10"/>
      <c r="BD4" s="10"/>
      <c r="BE4" s="10"/>
      <c r="BF4" s="10"/>
      <c r="BG4" s="10"/>
      <c r="BH4" s="10"/>
      <c r="BI4" s="10"/>
      <c r="BJ4" s="10"/>
      <c r="BK4" s="10"/>
      <c r="BL4" s="10"/>
      <c r="BM4" s="10"/>
      <c r="BO4" t="s">
        <v>90</v>
      </c>
      <c r="BP4" s="1">
        <v>-15000</v>
      </c>
      <c r="BS4" s="5">
        <f t="shared" si="0"/>
        <v>0</v>
      </c>
      <c r="BT4" s="5" t="str">
        <f t="shared" si="1"/>
        <v>2028E_Erwerb2</v>
      </c>
      <c r="BU4">
        <v>2028</v>
      </c>
      <c r="BV4" t="s">
        <v>74</v>
      </c>
      <c r="BW4">
        <v>2</v>
      </c>
      <c r="BX4">
        <v>2</v>
      </c>
      <c r="BY4" s="12">
        <v>0</v>
      </c>
      <c r="BZ4">
        <f>+(0.8*4/12+1*8/12)</f>
        <v>0.93333333333333335</v>
      </c>
      <c r="CD4" s="5" t="str">
        <f t="shared" ca="1" si="4"/>
        <v>Amy</v>
      </c>
      <c r="CE4" s="5" t="str">
        <f t="shared" ca="1" si="5"/>
        <v>Einkommen aus Erwerbstätigkeit</v>
      </c>
      <c r="CF4" s="5" t="str">
        <f t="shared" ca="1" si="6"/>
        <v>Amy - Einkommen aus Erwerbstätigkeit</v>
      </c>
      <c r="CG4" s="5"/>
    </row>
    <row r="5" spans="1:85" x14ac:dyDescent="0.25">
      <c r="A5" s="52" t="str">
        <f>PD_Bez2</f>
        <v>Amy</v>
      </c>
      <c r="B5" s="52"/>
      <c r="C5" s="53"/>
      <c r="D5" s="54"/>
      <c r="E5" s="54"/>
      <c r="F5" s="55">
        <f t="shared" ref="F5:BA5" si="8">F3-PD_Geb2</f>
        <v>61</v>
      </c>
      <c r="G5" s="55">
        <f t="shared" si="8"/>
        <v>62</v>
      </c>
      <c r="H5" s="55">
        <f t="shared" si="8"/>
        <v>63</v>
      </c>
      <c r="I5" s="55">
        <f t="shared" si="8"/>
        <v>64</v>
      </c>
      <c r="J5" s="55">
        <f t="shared" si="8"/>
        <v>65</v>
      </c>
      <c r="K5" s="55">
        <f t="shared" si="8"/>
        <v>66</v>
      </c>
      <c r="L5" s="55">
        <f t="shared" si="8"/>
        <v>67</v>
      </c>
      <c r="M5" s="55">
        <f t="shared" si="8"/>
        <v>68</v>
      </c>
      <c r="N5" s="55">
        <f t="shared" si="8"/>
        <v>69</v>
      </c>
      <c r="O5" s="55">
        <f t="shared" si="8"/>
        <v>70</v>
      </c>
      <c r="P5" s="55">
        <f t="shared" si="8"/>
        <v>71</v>
      </c>
      <c r="Q5" s="55">
        <f t="shared" si="8"/>
        <v>72</v>
      </c>
      <c r="R5" s="55">
        <f t="shared" si="8"/>
        <v>73</v>
      </c>
      <c r="S5" s="55">
        <f t="shared" si="8"/>
        <v>74</v>
      </c>
      <c r="T5" s="55">
        <f t="shared" si="8"/>
        <v>75</v>
      </c>
      <c r="U5" s="55">
        <f t="shared" si="8"/>
        <v>76</v>
      </c>
      <c r="V5" s="55">
        <f t="shared" si="8"/>
        <v>77</v>
      </c>
      <c r="W5" s="55">
        <f t="shared" si="8"/>
        <v>78</v>
      </c>
      <c r="X5" s="55">
        <f t="shared" si="8"/>
        <v>79</v>
      </c>
      <c r="Y5" s="55">
        <f t="shared" si="8"/>
        <v>80</v>
      </c>
      <c r="Z5" s="55">
        <f t="shared" si="8"/>
        <v>81</v>
      </c>
      <c r="AA5" s="55">
        <f t="shared" si="8"/>
        <v>82</v>
      </c>
      <c r="AB5" s="55">
        <f t="shared" si="8"/>
        <v>83</v>
      </c>
      <c r="AC5" s="55">
        <f t="shared" si="8"/>
        <v>84</v>
      </c>
      <c r="AD5" s="55">
        <f t="shared" si="8"/>
        <v>85</v>
      </c>
      <c r="AE5" s="55">
        <f t="shared" si="8"/>
        <v>86</v>
      </c>
      <c r="AF5" s="55">
        <f t="shared" si="8"/>
        <v>87</v>
      </c>
      <c r="AG5" s="55">
        <f t="shared" si="8"/>
        <v>88</v>
      </c>
      <c r="AH5" s="55">
        <f t="shared" si="8"/>
        <v>89</v>
      </c>
      <c r="AI5" s="55">
        <f t="shared" si="8"/>
        <v>90</v>
      </c>
      <c r="AJ5" s="55">
        <f t="shared" si="8"/>
        <v>91</v>
      </c>
      <c r="AK5" s="55">
        <f t="shared" si="8"/>
        <v>92</v>
      </c>
      <c r="AL5" s="55">
        <f t="shared" si="8"/>
        <v>93</v>
      </c>
      <c r="AM5" s="55">
        <f t="shared" si="8"/>
        <v>94</v>
      </c>
      <c r="AN5" s="55">
        <f t="shared" si="8"/>
        <v>95</v>
      </c>
      <c r="AO5" s="55">
        <f t="shared" si="8"/>
        <v>96</v>
      </c>
      <c r="AP5" s="55">
        <f t="shared" si="8"/>
        <v>97</v>
      </c>
      <c r="AQ5" s="55">
        <f t="shared" si="8"/>
        <v>98</v>
      </c>
      <c r="AR5" s="55">
        <f t="shared" si="8"/>
        <v>99</v>
      </c>
      <c r="AS5" s="55">
        <f t="shared" si="8"/>
        <v>100</v>
      </c>
      <c r="AT5" s="55">
        <f t="shared" si="8"/>
        <v>101</v>
      </c>
      <c r="AU5" s="55">
        <f t="shared" si="8"/>
        <v>102</v>
      </c>
      <c r="AV5" s="55">
        <f t="shared" si="8"/>
        <v>103</v>
      </c>
      <c r="AW5" s="55">
        <f t="shared" si="8"/>
        <v>104</v>
      </c>
      <c r="AX5" s="55">
        <f t="shared" si="8"/>
        <v>105</v>
      </c>
      <c r="AY5" s="55">
        <f t="shared" si="8"/>
        <v>106</v>
      </c>
      <c r="AZ5" s="55">
        <f t="shared" si="8"/>
        <v>107</v>
      </c>
      <c r="BA5" s="55">
        <f t="shared" si="8"/>
        <v>108</v>
      </c>
      <c r="BB5" s="10"/>
      <c r="BC5" s="10"/>
      <c r="BD5" s="10"/>
      <c r="BE5" s="10"/>
      <c r="BF5" s="10"/>
      <c r="BG5" s="10"/>
      <c r="BH5" s="10"/>
      <c r="BI5" s="10"/>
      <c r="BJ5" s="10"/>
      <c r="BK5" s="10"/>
      <c r="BL5" s="10"/>
      <c r="BM5" s="10"/>
      <c r="BS5" s="5">
        <f t="shared" si="0"/>
        <v>0</v>
      </c>
      <c r="BT5" s="5" t="str">
        <f t="shared" si="1"/>
        <v>2029E_Erwerb2</v>
      </c>
      <c r="BU5">
        <v>2029</v>
      </c>
      <c r="BV5" t="s">
        <v>74</v>
      </c>
      <c r="BW5">
        <v>2</v>
      </c>
      <c r="BX5">
        <v>2</v>
      </c>
      <c r="BZ5">
        <f>7/12</f>
        <v>0.58333333333333337</v>
      </c>
      <c r="CD5" s="5" t="str">
        <f t="shared" ca="1" si="4"/>
        <v>Amy</v>
      </c>
      <c r="CE5" s="5" t="str">
        <f t="shared" ca="1" si="5"/>
        <v>Einkommen aus Erwerbstätigkeit</v>
      </c>
      <c r="CF5" s="5" t="str">
        <f t="shared" ca="1" si="6"/>
        <v>Amy - Einkommen aus Erwerbstätigkeit</v>
      </c>
      <c r="CG5" s="5"/>
    </row>
    <row r="6" spans="1:85" ht="27.75" customHeight="1" x14ac:dyDescent="0.25">
      <c r="A6" s="56" t="s">
        <v>4</v>
      </c>
      <c r="B6" s="57" t="s">
        <v>74</v>
      </c>
      <c r="C6" s="53"/>
      <c r="D6" s="54"/>
      <c r="E6" s="54"/>
      <c r="F6" s="58">
        <f ca="1">SUM(F7:F19)</f>
        <v>200000</v>
      </c>
      <c r="G6" s="58">
        <f t="shared" ref="G6:BA6" ca="1" si="9">SUM(G7:G19)</f>
        <v>200000</v>
      </c>
      <c r="H6" s="58">
        <f t="shared" ca="1" si="9"/>
        <v>200000</v>
      </c>
      <c r="I6" s="58">
        <f t="shared" ca="1" si="9"/>
        <v>200000</v>
      </c>
      <c r="J6" s="58">
        <f t="shared" ca="1" si="9"/>
        <v>192666.66666666669</v>
      </c>
      <c r="K6" s="58">
        <f t="shared" ca="1" si="9"/>
        <v>184256.80555555556</v>
      </c>
      <c r="L6" s="58">
        <f t="shared" ca="1" si="9"/>
        <v>157115</v>
      </c>
      <c r="M6" s="58">
        <f t="shared" ca="1" si="9"/>
        <v>86865</v>
      </c>
      <c r="N6" s="58">
        <f t="shared" ca="1" si="9"/>
        <v>76540</v>
      </c>
      <c r="O6" s="58">
        <f t="shared" ca="1" si="9"/>
        <v>87565</v>
      </c>
      <c r="P6" s="58">
        <f t="shared" ca="1" si="9"/>
        <v>87565</v>
      </c>
      <c r="Q6" s="58">
        <f t="shared" ca="1" si="9"/>
        <v>87565</v>
      </c>
      <c r="R6" s="58">
        <f t="shared" ca="1" si="9"/>
        <v>87565</v>
      </c>
      <c r="S6" s="58">
        <f t="shared" ca="1" si="9"/>
        <v>87565</v>
      </c>
      <c r="T6" s="58">
        <f t="shared" ca="1" si="9"/>
        <v>87565</v>
      </c>
      <c r="U6" s="58">
        <f t="shared" ca="1" si="9"/>
        <v>87565</v>
      </c>
      <c r="V6" s="58">
        <f t="shared" ca="1" si="9"/>
        <v>87565</v>
      </c>
      <c r="W6" s="58">
        <f t="shared" ca="1" si="9"/>
        <v>87565</v>
      </c>
      <c r="X6" s="58">
        <f t="shared" ca="1" si="9"/>
        <v>87565</v>
      </c>
      <c r="Y6" s="58">
        <f t="shared" ca="1" si="9"/>
        <v>87565</v>
      </c>
      <c r="Z6" s="58">
        <f t="shared" ca="1" si="9"/>
        <v>87565</v>
      </c>
      <c r="AA6" s="58">
        <f t="shared" ca="1" si="9"/>
        <v>87565</v>
      </c>
      <c r="AB6" s="58">
        <f t="shared" ca="1" si="9"/>
        <v>87565</v>
      </c>
      <c r="AC6" s="58">
        <f t="shared" ca="1" si="9"/>
        <v>87565</v>
      </c>
      <c r="AD6" s="58">
        <f t="shared" ca="1" si="9"/>
        <v>87565</v>
      </c>
      <c r="AE6" s="58">
        <f t="shared" ca="1" si="9"/>
        <v>87565</v>
      </c>
      <c r="AF6" s="58">
        <f t="shared" ca="1" si="9"/>
        <v>87565</v>
      </c>
      <c r="AG6" s="58">
        <f t="shared" ca="1" si="9"/>
        <v>87565</v>
      </c>
      <c r="AH6" s="58">
        <f t="shared" ca="1" si="9"/>
        <v>87565</v>
      </c>
      <c r="AI6" s="58">
        <f t="shared" ca="1" si="9"/>
        <v>87565</v>
      </c>
      <c r="AJ6" s="58">
        <f t="shared" ca="1" si="9"/>
        <v>87565</v>
      </c>
      <c r="AK6" s="58">
        <f t="shared" ca="1" si="9"/>
        <v>87565</v>
      </c>
      <c r="AL6" s="58">
        <f t="shared" ca="1" si="9"/>
        <v>87565</v>
      </c>
      <c r="AM6" s="58">
        <f t="shared" ca="1" si="9"/>
        <v>87565</v>
      </c>
      <c r="AN6" s="58">
        <f t="shared" ca="1" si="9"/>
        <v>87565</v>
      </c>
      <c r="AO6" s="58">
        <f t="shared" ca="1" si="9"/>
        <v>87565</v>
      </c>
      <c r="AP6" s="58">
        <f t="shared" ca="1" si="9"/>
        <v>87565</v>
      </c>
      <c r="AQ6" s="58">
        <f t="shared" ca="1" si="9"/>
        <v>87565</v>
      </c>
      <c r="AR6" s="58">
        <f t="shared" ca="1" si="9"/>
        <v>87565</v>
      </c>
      <c r="AS6" s="58">
        <f t="shared" ca="1" si="9"/>
        <v>87565</v>
      </c>
      <c r="AT6" s="58">
        <f t="shared" ca="1" si="9"/>
        <v>87565</v>
      </c>
      <c r="AU6" s="58">
        <f t="shared" ca="1" si="9"/>
        <v>87565</v>
      </c>
      <c r="AV6" s="58">
        <f t="shared" ca="1" si="9"/>
        <v>87565</v>
      </c>
      <c r="AW6" s="58">
        <f t="shared" ca="1" si="9"/>
        <v>87565</v>
      </c>
      <c r="AX6" s="58">
        <f t="shared" ca="1" si="9"/>
        <v>87565</v>
      </c>
      <c r="AY6" s="58">
        <f t="shared" ca="1" si="9"/>
        <v>87565</v>
      </c>
      <c r="AZ6" s="58">
        <f t="shared" ca="1" si="9"/>
        <v>87565</v>
      </c>
      <c r="BA6" s="58">
        <f t="shared" ca="1" si="9"/>
        <v>87565</v>
      </c>
      <c r="BS6" s="5">
        <f t="shared" si="0"/>
        <v>0</v>
      </c>
      <c r="BT6" s="5" t="str">
        <f t="shared" si="1"/>
        <v>2030E_Erwerb2</v>
      </c>
      <c r="BU6">
        <v>2030</v>
      </c>
      <c r="BV6" t="s">
        <v>74</v>
      </c>
      <c r="BW6">
        <v>2</v>
      </c>
      <c r="BX6">
        <v>1</v>
      </c>
      <c r="BY6" s="12">
        <v>0</v>
      </c>
      <c r="CD6" s="5" t="str">
        <f t="shared" ca="1" si="4"/>
        <v>Amy</v>
      </c>
      <c r="CE6" s="5" t="str">
        <f t="shared" ca="1" si="5"/>
        <v>Einkommen aus Erwerbstätigkeit</v>
      </c>
      <c r="CF6" s="5" t="str">
        <f t="shared" ca="1" si="6"/>
        <v>Amy - Einkommen aus Erwerbstätigkeit</v>
      </c>
      <c r="CG6" s="5"/>
    </row>
    <row r="7" spans="1:85" x14ac:dyDescent="0.25">
      <c r="A7" s="57" t="str" cm="1">
        <f t="array" aca="1" ref="A7:A14" ca="1">INDIRECT($B6&amp;"[Titel]")</f>
        <v>Einkommen aus Erwerbstätigkeit</v>
      </c>
      <c r="B7" s="57" cm="1">
        <f t="array" aca="1" ref="B7:B14" ca="1">INDIRECT($B6&amp;"[Id]")</f>
        <v>2</v>
      </c>
      <c r="C7" s="53" t="str" cm="1">
        <f t="array" aca="1" ref="C7:C14" ca="1">INDIRECT($B6&amp;"[Zugehörigkeit Bezeichnung]")</f>
        <v>Amy</v>
      </c>
      <c r="D7" s="54" cm="1">
        <f t="array" aca="1" ref="D7:D14" ca="1">INDIRECT($B6&amp;"[Rendite / Zins]")</f>
        <v>0</v>
      </c>
      <c r="E7" s="54"/>
      <c r="F7" s="59" cm="1">
        <f t="array" aca="1" ref="F7:F14" ca="1">INDIRECT($B6&amp;"[Betrag]")</f>
        <v>110000</v>
      </c>
      <c r="G7" s="59" cm="1">
        <f t="array" aca="1" ref="G7:G14" ca="1">_xlfn.SWITCH(IFERROR(VLOOKUP(G$3&amp;$B$6&amp;_xlfn.ANCHORARRAY($B7),$BT:$CA,5,0),0),
0,_xlfn.ANCHORARRAY(F7)*(1+_xlfn.ANCHORARRAY($D7))+SUMIF($BT:$BT,G$3&amp;$B$6&amp;_xlfn.ANCHORARRAY($B7),$CA:$CA),
1,VLOOKUP(G$3&amp;$B$6&amp;_xlfn.ANCHORARRAY($B7),$BT:$CA,6,0),
2,_xlfn.ANCHORARRAY(F7)*(1+_xlfn.ANCHORARRAY($D7))*VLOOKUP(G$3&amp;$B$6&amp;_xlfn.ANCHORARRAY($B7),$BT:$CA,7,0))</f>
        <v>110000</v>
      </c>
      <c r="H7" s="59" cm="1">
        <f t="array" aca="1" ref="H7:H14" ca="1">_xlfn.SWITCH(IFERROR(VLOOKUP(H$3&amp;$B$6&amp;_xlfn.ANCHORARRAY($B7),$BT:$CA,5,0),0),
0,_xlfn.ANCHORARRAY(G7)*(1+_xlfn.ANCHORARRAY($D7))+SUMIF($BT:$BT,H$3&amp;$B$6&amp;_xlfn.ANCHORARRAY($B7),$CA:$CA),
1,VLOOKUP(H$3&amp;$B$6&amp;_xlfn.ANCHORARRAY($B7),$BT:$CA,6,0),
2,_xlfn.ANCHORARRAY(G7)*(1+_xlfn.ANCHORARRAY($D7))*VLOOKUP(H$3&amp;$B$6&amp;_xlfn.ANCHORARRAY($B7),$BT:$CA,7,0))</f>
        <v>110000</v>
      </c>
      <c r="I7" s="59" cm="1">
        <f t="array" aca="1" ref="I7:I14" ca="1">_xlfn.SWITCH(IFERROR(VLOOKUP(I$3&amp;$B$6&amp;_xlfn.ANCHORARRAY($B7),$BT:$CA,5,0),0),
0,_xlfn.ANCHORARRAY(H7)*(1+_xlfn.ANCHORARRAY($D7))+SUMIF($BT:$BT,I$3&amp;$B$6&amp;_xlfn.ANCHORARRAY($B7),$CA:$CA),
1,VLOOKUP(I$3&amp;$B$6&amp;_xlfn.ANCHORARRAY($B7),$BT:$CA,6,0),
2,_xlfn.ANCHORARRAY(H7)*(1+_xlfn.ANCHORARRAY($D7))*VLOOKUP(I$3&amp;$B$6&amp;_xlfn.ANCHORARRAY($B7),$BT:$CA,7,0))</f>
        <v>110000</v>
      </c>
      <c r="J7" s="59" cm="1">
        <f t="array" aca="1" ref="J7:J14" ca="1">_xlfn.SWITCH(IFERROR(VLOOKUP(J$3&amp;$B$6&amp;_xlfn.ANCHORARRAY($B7),$BT:$CA,5,0),0),
0,_xlfn.ANCHORARRAY(I7)*(1+_xlfn.ANCHORARRAY($D7))+SUMIF($BT:$BT,J$3&amp;$B$6&amp;_xlfn.ANCHORARRAY($B7),$CA:$CA),
1,VLOOKUP(J$3&amp;$B$6&amp;_xlfn.ANCHORARRAY($B7),$BT:$CA,6,0),
2,_xlfn.ANCHORARRAY(I7)*(1+_xlfn.ANCHORARRAY($D7))*VLOOKUP(J$3&amp;$B$6&amp;_xlfn.ANCHORARRAY($B7),$BT:$CA,7,0))</f>
        <v>102666.66666666667</v>
      </c>
      <c r="K7" s="59" cm="1">
        <f t="array" aca="1" ref="K7:K14" ca="1">_xlfn.SWITCH(IFERROR(VLOOKUP(K$3&amp;$B$6&amp;_xlfn.ANCHORARRAY($B7),$BT:$CA,5,0),0),
0,_xlfn.ANCHORARRAY(J7)*(1+_xlfn.ANCHORARRAY($D7))+SUMIF($BT:$BT,K$3&amp;$B$6&amp;_xlfn.ANCHORARRAY($B7),$CA:$CA),
1,VLOOKUP(K$3&amp;$B$6&amp;_xlfn.ANCHORARRAY($B7),$BT:$CA,6,0),
2,_xlfn.ANCHORARRAY(J7)*(1+_xlfn.ANCHORARRAY($D7))*VLOOKUP(K$3&amp;$B$6&amp;_xlfn.ANCHORARRAY($B7),$BT:$CA,7,0))</f>
        <v>59888.888888888898</v>
      </c>
      <c r="L7" s="59" cm="1">
        <f t="array" aca="1" ref="L7:L14" ca="1">_xlfn.SWITCH(IFERROR(VLOOKUP(L$3&amp;$B$6&amp;_xlfn.ANCHORARRAY($B7),$BT:$CA,5,0),0),
0,_xlfn.ANCHORARRAY(K7)*(1+_xlfn.ANCHORARRAY($D7))+SUMIF($BT:$BT,L$3&amp;$B$6&amp;_xlfn.ANCHORARRAY($B7),$CA:$CA),
1,VLOOKUP(L$3&amp;$B$6&amp;_xlfn.ANCHORARRAY($B7),$BT:$CA,6,0),
2,_xlfn.ANCHORARRAY(K7)*(1+_xlfn.ANCHORARRAY($D7))*VLOOKUP(L$3&amp;$B$6&amp;_xlfn.ANCHORARRAY($B7),$BT:$CA,7,0))</f>
        <v>0</v>
      </c>
      <c r="M7" s="59" cm="1">
        <f t="array" aca="1" ref="M7:M14" ca="1">_xlfn.SWITCH(IFERROR(VLOOKUP(M$3&amp;$B$6&amp;_xlfn.ANCHORARRAY($B7),$BT:$CA,5,0),0),
0,_xlfn.ANCHORARRAY(L7)*(1+_xlfn.ANCHORARRAY($D7))+SUMIF($BT:$BT,M$3&amp;$B$6&amp;_xlfn.ANCHORARRAY($B7),$CA:$CA),
1,VLOOKUP(M$3&amp;$B$6&amp;_xlfn.ANCHORARRAY($B7),$BT:$CA,6,0),
2,_xlfn.ANCHORARRAY(L7)*(1+_xlfn.ANCHORARRAY($D7))*VLOOKUP(M$3&amp;$B$6&amp;_xlfn.ANCHORARRAY($B7),$BT:$CA,7,0))</f>
        <v>0</v>
      </c>
      <c r="N7" s="59" cm="1">
        <f t="array" aca="1" ref="N7:N14" ca="1">_xlfn.SWITCH(IFERROR(VLOOKUP(N$3&amp;$B$6&amp;_xlfn.ANCHORARRAY($B7),$BT:$CA,5,0),0),
0,_xlfn.ANCHORARRAY(M7)*(1+_xlfn.ANCHORARRAY($D7))+SUMIF($BT:$BT,N$3&amp;$B$6&amp;_xlfn.ANCHORARRAY($B7),$CA:$CA),
1,VLOOKUP(N$3&amp;$B$6&amp;_xlfn.ANCHORARRAY($B7),$BT:$CA,6,0),
2,_xlfn.ANCHORARRAY(M7)*(1+_xlfn.ANCHORARRAY($D7))*VLOOKUP(N$3&amp;$B$6&amp;_xlfn.ANCHORARRAY($B7),$BT:$CA,7,0))</f>
        <v>0</v>
      </c>
      <c r="O7" s="59" cm="1">
        <f t="array" aca="1" ref="O7:O14" ca="1">_xlfn.SWITCH(IFERROR(VLOOKUP(O$3&amp;$B$6&amp;_xlfn.ANCHORARRAY($B7),$BT:$CA,5,0),0),
0,_xlfn.ANCHORARRAY(N7)*(1+_xlfn.ANCHORARRAY($D7))+SUMIF($BT:$BT,O$3&amp;$B$6&amp;_xlfn.ANCHORARRAY($B7),$CA:$CA),
1,VLOOKUP(O$3&amp;$B$6&amp;_xlfn.ANCHORARRAY($B7),$BT:$CA,6,0),
2,_xlfn.ANCHORARRAY(N7)*(1+_xlfn.ANCHORARRAY($D7))*VLOOKUP(O$3&amp;$B$6&amp;_xlfn.ANCHORARRAY($B7),$BT:$CA,7,0))</f>
        <v>0</v>
      </c>
      <c r="P7" s="59" cm="1">
        <f t="array" aca="1" ref="P7:P14" ca="1">_xlfn.SWITCH(IFERROR(VLOOKUP(P$3&amp;$B$6&amp;_xlfn.ANCHORARRAY($B7),$BT:$CA,5,0),0),
0,_xlfn.ANCHORARRAY(O7)*(1+_xlfn.ANCHORARRAY($D7))+SUMIF($BT:$BT,P$3&amp;$B$6&amp;_xlfn.ANCHORARRAY($B7),$CA:$CA),
1,VLOOKUP(P$3&amp;$B$6&amp;_xlfn.ANCHORARRAY($B7),$BT:$CA,6,0),
2,_xlfn.ANCHORARRAY(O7)*(1+_xlfn.ANCHORARRAY($D7))*VLOOKUP(P$3&amp;$B$6&amp;_xlfn.ANCHORARRAY($B7),$BT:$CA,7,0))</f>
        <v>0</v>
      </c>
      <c r="Q7" s="59" cm="1">
        <f t="array" aca="1" ref="Q7:Q14" ca="1">_xlfn.SWITCH(IFERROR(VLOOKUP(Q$3&amp;$B$6&amp;_xlfn.ANCHORARRAY($B7),$BT:$CA,5,0),0),
0,_xlfn.ANCHORARRAY(P7)*(1+_xlfn.ANCHORARRAY($D7))+SUMIF($BT:$BT,Q$3&amp;$B$6&amp;_xlfn.ANCHORARRAY($B7),$CA:$CA),
1,VLOOKUP(Q$3&amp;$B$6&amp;_xlfn.ANCHORARRAY($B7),$BT:$CA,6,0),
2,_xlfn.ANCHORARRAY(P7)*(1+_xlfn.ANCHORARRAY($D7))*VLOOKUP(Q$3&amp;$B$6&amp;_xlfn.ANCHORARRAY($B7),$BT:$CA,7,0))</f>
        <v>0</v>
      </c>
      <c r="R7" s="59" cm="1">
        <f t="array" aca="1" ref="R7:R14" ca="1">_xlfn.SWITCH(IFERROR(VLOOKUP(R$3&amp;$B$6&amp;_xlfn.ANCHORARRAY($B7),$BT:$CA,5,0),0),
0,_xlfn.ANCHORARRAY(Q7)*(1+_xlfn.ANCHORARRAY($D7))+SUMIF($BT:$BT,R$3&amp;$B$6&amp;_xlfn.ANCHORARRAY($B7),$CA:$CA),
1,VLOOKUP(R$3&amp;$B$6&amp;_xlfn.ANCHORARRAY($B7),$BT:$CA,6,0),
2,_xlfn.ANCHORARRAY(Q7)*(1+_xlfn.ANCHORARRAY($D7))*VLOOKUP(R$3&amp;$B$6&amp;_xlfn.ANCHORARRAY($B7),$BT:$CA,7,0))</f>
        <v>0</v>
      </c>
      <c r="S7" s="59" cm="1">
        <f t="array" aca="1" ref="S7:S14" ca="1">_xlfn.SWITCH(IFERROR(VLOOKUP(S$3&amp;$B$6&amp;_xlfn.ANCHORARRAY($B7),$BT:$CA,5,0),0),
0,_xlfn.ANCHORARRAY(R7)*(1+_xlfn.ANCHORARRAY($D7))+SUMIF($BT:$BT,S$3&amp;$B$6&amp;_xlfn.ANCHORARRAY($B7),$CA:$CA),
1,VLOOKUP(S$3&amp;$B$6&amp;_xlfn.ANCHORARRAY($B7),$BT:$CA,6,0),
2,_xlfn.ANCHORARRAY(R7)*(1+_xlfn.ANCHORARRAY($D7))*VLOOKUP(S$3&amp;$B$6&amp;_xlfn.ANCHORARRAY($B7),$BT:$CA,7,0))</f>
        <v>0</v>
      </c>
      <c r="T7" s="59" cm="1">
        <f t="array" aca="1" ref="T7:T14" ca="1">_xlfn.SWITCH(IFERROR(VLOOKUP(T$3&amp;$B$6&amp;_xlfn.ANCHORARRAY($B7),$BT:$CA,5,0),0),
0,_xlfn.ANCHORARRAY(S7)*(1+_xlfn.ANCHORARRAY($D7))+SUMIF($BT:$BT,T$3&amp;$B$6&amp;_xlfn.ANCHORARRAY($B7),$CA:$CA),
1,VLOOKUP(T$3&amp;$B$6&amp;_xlfn.ANCHORARRAY($B7),$BT:$CA,6,0),
2,_xlfn.ANCHORARRAY(S7)*(1+_xlfn.ANCHORARRAY($D7))*VLOOKUP(T$3&amp;$B$6&amp;_xlfn.ANCHORARRAY($B7),$BT:$CA,7,0))</f>
        <v>0</v>
      </c>
      <c r="U7" s="59" cm="1">
        <f t="array" aca="1" ref="U7:U14" ca="1">_xlfn.SWITCH(IFERROR(VLOOKUP(U$3&amp;$B$6&amp;_xlfn.ANCHORARRAY($B7),$BT:$CA,5,0),0),
0,_xlfn.ANCHORARRAY(T7)*(1+_xlfn.ANCHORARRAY($D7))+SUMIF($BT:$BT,U$3&amp;$B$6&amp;_xlfn.ANCHORARRAY($B7),$CA:$CA),
1,VLOOKUP(U$3&amp;$B$6&amp;_xlfn.ANCHORARRAY($B7),$BT:$CA,6,0),
2,_xlfn.ANCHORARRAY(T7)*(1+_xlfn.ANCHORARRAY($D7))*VLOOKUP(U$3&amp;$B$6&amp;_xlfn.ANCHORARRAY($B7),$BT:$CA,7,0))</f>
        <v>0</v>
      </c>
      <c r="V7" s="59" cm="1">
        <f t="array" aca="1" ref="V7:V14" ca="1">_xlfn.SWITCH(IFERROR(VLOOKUP(V$3&amp;$B$6&amp;_xlfn.ANCHORARRAY($B7),$BT:$CA,5,0),0),
0,_xlfn.ANCHORARRAY(U7)*(1+_xlfn.ANCHORARRAY($D7))+SUMIF($BT:$BT,V$3&amp;$B$6&amp;_xlfn.ANCHORARRAY($B7),$CA:$CA),
1,VLOOKUP(V$3&amp;$B$6&amp;_xlfn.ANCHORARRAY($B7),$BT:$CA,6,0),
2,_xlfn.ANCHORARRAY(U7)*(1+_xlfn.ANCHORARRAY($D7))*VLOOKUP(V$3&amp;$B$6&amp;_xlfn.ANCHORARRAY($B7),$BT:$CA,7,0))</f>
        <v>0</v>
      </c>
      <c r="W7" s="59" cm="1">
        <f t="array" aca="1" ref="W7:W14" ca="1">_xlfn.SWITCH(IFERROR(VLOOKUP(W$3&amp;$B$6&amp;_xlfn.ANCHORARRAY($B7),$BT:$CA,5,0),0),
0,_xlfn.ANCHORARRAY(V7)*(1+_xlfn.ANCHORARRAY($D7))+SUMIF($BT:$BT,W$3&amp;$B$6&amp;_xlfn.ANCHORARRAY($B7),$CA:$CA),
1,VLOOKUP(W$3&amp;$B$6&amp;_xlfn.ANCHORARRAY($B7),$BT:$CA,6,0),
2,_xlfn.ANCHORARRAY(V7)*(1+_xlfn.ANCHORARRAY($D7))*VLOOKUP(W$3&amp;$B$6&amp;_xlfn.ANCHORARRAY($B7),$BT:$CA,7,0))</f>
        <v>0</v>
      </c>
      <c r="X7" s="59" cm="1">
        <f t="array" aca="1" ref="X7:X14" ca="1">_xlfn.SWITCH(IFERROR(VLOOKUP(X$3&amp;$B$6&amp;_xlfn.ANCHORARRAY($B7),$BT:$CA,5,0),0),
0,_xlfn.ANCHORARRAY(W7)*(1+_xlfn.ANCHORARRAY($D7))+SUMIF($BT:$BT,X$3&amp;$B$6&amp;_xlfn.ANCHORARRAY($B7),$CA:$CA),
1,VLOOKUP(X$3&amp;$B$6&amp;_xlfn.ANCHORARRAY($B7),$BT:$CA,6,0),
2,_xlfn.ANCHORARRAY(W7)*(1+_xlfn.ANCHORARRAY($D7))*VLOOKUP(X$3&amp;$B$6&amp;_xlfn.ANCHORARRAY($B7),$BT:$CA,7,0))</f>
        <v>0</v>
      </c>
      <c r="Y7" s="59" cm="1">
        <f t="array" aca="1" ref="Y7:Y14" ca="1">_xlfn.SWITCH(IFERROR(VLOOKUP(Y$3&amp;$B$6&amp;_xlfn.ANCHORARRAY($B7),$BT:$CA,5,0),0),
0,_xlfn.ANCHORARRAY(X7)*(1+_xlfn.ANCHORARRAY($D7))+SUMIF($BT:$BT,Y$3&amp;$B$6&amp;_xlfn.ANCHORARRAY($B7),$CA:$CA),
1,VLOOKUP(Y$3&amp;$B$6&amp;_xlfn.ANCHORARRAY($B7),$BT:$CA,6,0),
2,_xlfn.ANCHORARRAY(X7)*(1+_xlfn.ANCHORARRAY($D7))*VLOOKUP(Y$3&amp;$B$6&amp;_xlfn.ANCHORARRAY($B7),$BT:$CA,7,0))</f>
        <v>0</v>
      </c>
      <c r="Z7" s="59" cm="1">
        <f t="array" aca="1" ref="Z7:Z14" ca="1">_xlfn.SWITCH(IFERROR(VLOOKUP(Z$3&amp;$B$6&amp;_xlfn.ANCHORARRAY($B7),$BT:$CA,5,0),0),
0,_xlfn.ANCHORARRAY(Y7)*(1+_xlfn.ANCHORARRAY($D7))+SUMIF($BT:$BT,Z$3&amp;$B$6&amp;_xlfn.ANCHORARRAY($B7),$CA:$CA),
1,VLOOKUP(Z$3&amp;$B$6&amp;_xlfn.ANCHORARRAY($B7),$BT:$CA,6,0),
2,_xlfn.ANCHORARRAY(Y7)*(1+_xlfn.ANCHORARRAY($D7))*VLOOKUP(Z$3&amp;$B$6&amp;_xlfn.ANCHORARRAY($B7),$BT:$CA,7,0))</f>
        <v>0</v>
      </c>
      <c r="AA7" s="59" cm="1">
        <f t="array" aca="1" ref="AA7:AA14" ca="1">_xlfn.SWITCH(IFERROR(VLOOKUP(AA$3&amp;$B$6&amp;_xlfn.ANCHORARRAY($B7),$BT:$CA,5,0),0),
0,_xlfn.ANCHORARRAY(Z7)*(1+_xlfn.ANCHORARRAY($D7))+SUMIF($BT:$BT,AA$3&amp;$B$6&amp;_xlfn.ANCHORARRAY($B7),$CA:$CA),
1,VLOOKUP(AA$3&amp;$B$6&amp;_xlfn.ANCHORARRAY($B7),$BT:$CA,6,0),
2,_xlfn.ANCHORARRAY(Z7)*(1+_xlfn.ANCHORARRAY($D7))*VLOOKUP(AA$3&amp;$B$6&amp;_xlfn.ANCHORARRAY($B7),$BT:$CA,7,0))</f>
        <v>0</v>
      </c>
      <c r="AB7" s="59" cm="1">
        <f t="array" aca="1" ref="AB7:AB14" ca="1">_xlfn.SWITCH(IFERROR(VLOOKUP(AB$3&amp;$B$6&amp;_xlfn.ANCHORARRAY($B7),$BT:$CA,5,0),0),
0,_xlfn.ANCHORARRAY(AA7)*(1+_xlfn.ANCHORARRAY($D7))+SUMIF($BT:$BT,AB$3&amp;$B$6&amp;_xlfn.ANCHORARRAY($B7),$CA:$CA),
1,VLOOKUP(AB$3&amp;$B$6&amp;_xlfn.ANCHORARRAY($B7),$BT:$CA,6,0),
2,_xlfn.ANCHORARRAY(AA7)*(1+_xlfn.ANCHORARRAY($D7))*VLOOKUP(AB$3&amp;$B$6&amp;_xlfn.ANCHORARRAY($B7),$BT:$CA,7,0))</f>
        <v>0</v>
      </c>
      <c r="AC7" s="59" cm="1">
        <f t="array" aca="1" ref="AC7:AC14" ca="1">_xlfn.SWITCH(IFERROR(VLOOKUP(AC$3&amp;$B$6&amp;_xlfn.ANCHORARRAY($B7),$BT:$CA,5,0),0),
0,_xlfn.ANCHORARRAY(AB7)*(1+_xlfn.ANCHORARRAY($D7))+SUMIF($BT:$BT,AC$3&amp;$B$6&amp;_xlfn.ANCHORARRAY($B7),$CA:$CA),
1,VLOOKUP(AC$3&amp;$B$6&amp;_xlfn.ANCHORARRAY($B7),$BT:$CA,6,0),
2,_xlfn.ANCHORARRAY(AB7)*(1+_xlfn.ANCHORARRAY($D7))*VLOOKUP(AC$3&amp;$B$6&amp;_xlfn.ANCHORARRAY($B7),$BT:$CA,7,0))</f>
        <v>0</v>
      </c>
      <c r="AD7" s="59" cm="1">
        <f t="array" aca="1" ref="AD7:AD14" ca="1">_xlfn.SWITCH(IFERROR(VLOOKUP(AD$3&amp;$B$6&amp;_xlfn.ANCHORARRAY($B7),$BT:$CA,5,0),0),
0,_xlfn.ANCHORARRAY(AC7)*(1+_xlfn.ANCHORARRAY($D7))+SUMIF($BT:$BT,AD$3&amp;$B$6&amp;_xlfn.ANCHORARRAY($B7),$CA:$CA),
1,VLOOKUP(AD$3&amp;$B$6&amp;_xlfn.ANCHORARRAY($B7),$BT:$CA,6,0),
2,_xlfn.ANCHORARRAY(AC7)*(1+_xlfn.ANCHORARRAY($D7))*VLOOKUP(AD$3&amp;$B$6&amp;_xlfn.ANCHORARRAY($B7),$BT:$CA,7,0))</f>
        <v>0</v>
      </c>
      <c r="AE7" s="59" cm="1">
        <f t="array" aca="1" ref="AE7:AE14" ca="1">_xlfn.SWITCH(IFERROR(VLOOKUP(AE$3&amp;$B$6&amp;_xlfn.ANCHORARRAY($B7),$BT:$CA,5,0),0),
0,_xlfn.ANCHORARRAY(AD7)*(1+_xlfn.ANCHORARRAY($D7))+SUMIF($BT:$BT,AE$3&amp;$B$6&amp;_xlfn.ANCHORARRAY($B7),$CA:$CA),
1,VLOOKUP(AE$3&amp;$B$6&amp;_xlfn.ANCHORARRAY($B7),$BT:$CA,6,0),
2,_xlfn.ANCHORARRAY(AD7)*(1+_xlfn.ANCHORARRAY($D7))*VLOOKUP(AE$3&amp;$B$6&amp;_xlfn.ANCHORARRAY($B7),$BT:$CA,7,0))</f>
        <v>0</v>
      </c>
      <c r="AF7" s="59" cm="1">
        <f t="array" aca="1" ref="AF7:AF14" ca="1">_xlfn.SWITCH(IFERROR(VLOOKUP(AF$3&amp;$B$6&amp;_xlfn.ANCHORARRAY($B7),$BT:$CA,5,0),0),
0,_xlfn.ANCHORARRAY(AE7)*(1+_xlfn.ANCHORARRAY($D7))+SUMIF($BT:$BT,AF$3&amp;$B$6&amp;_xlfn.ANCHORARRAY($B7),$CA:$CA),
1,VLOOKUP(AF$3&amp;$B$6&amp;_xlfn.ANCHORARRAY($B7),$BT:$CA,6,0),
2,_xlfn.ANCHORARRAY(AE7)*(1+_xlfn.ANCHORARRAY($D7))*VLOOKUP(AF$3&amp;$B$6&amp;_xlfn.ANCHORARRAY($B7),$BT:$CA,7,0))</f>
        <v>0</v>
      </c>
      <c r="AG7" s="59" cm="1">
        <f t="array" aca="1" ref="AG7:AG14" ca="1">_xlfn.SWITCH(IFERROR(VLOOKUP(AG$3&amp;$B$6&amp;_xlfn.ANCHORARRAY($B7),$BT:$CA,5,0),0),
0,_xlfn.ANCHORARRAY(AF7)*(1+_xlfn.ANCHORARRAY($D7))+SUMIF($BT:$BT,AG$3&amp;$B$6&amp;_xlfn.ANCHORARRAY($B7),$CA:$CA),
1,VLOOKUP(AG$3&amp;$B$6&amp;_xlfn.ANCHORARRAY($B7),$BT:$CA,6,0),
2,_xlfn.ANCHORARRAY(AF7)*(1+_xlfn.ANCHORARRAY($D7))*VLOOKUP(AG$3&amp;$B$6&amp;_xlfn.ANCHORARRAY($B7),$BT:$CA,7,0))</f>
        <v>0</v>
      </c>
      <c r="AH7" s="59" cm="1">
        <f t="array" aca="1" ref="AH7:AH14" ca="1">_xlfn.SWITCH(IFERROR(VLOOKUP(AH$3&amp;$B$6&amp;_xlfn.ANCHORARRAY($B7),$BT:$CA,5,0),0),
0,_xlfn.ANCHORARRAY(AG7)*(1+_xlfn.ANCHORARRAY($D7))+SUMIF($BT:$BT,AH$3&amp;$B$6&amp;_xlfn.ANCHORARRAY($B7),$CA:$CA),
1,VLOOKUP(AH$3&amp;$B$6&amp;_xlfn.ANCHORARRAY($B7),$BT:$CA,6,0),
2,_xlfn.ANCHORARRAY(AG7)*(1+_xlfn.ANCHORARRAY($D7))*VLOOKUP(AH$3&amp;$B$6&amp;_xlfn.ANCHORARRAY($B7),$BT:$CA,7,0))</f>
        <v>0</v>
      </c>
      <c r="AI7" s="59" cm="1">
        <f t="array" aca="1" ref="AI7:AI14" ca="1">_xlfn.SWITCH(IFERROR(VLOOKUP(AI$3&amp;$B$6&amp;_xlfn.ANCHORARRAY($B7),$BT:$CA,5,0),0),
0,_xlfn.ANCHORARRAY(AH7)*(1+_xlfn.ANCHORARRAY($D7))+SUMIF($BT:$BT,AI$3&amp;$B$6&amp;_xlfn.ANCHORARRAY($B7),$CA:$CA),
1,VLOOKUP(AI$3&amp;$B$6&amp;_xlfn.ANCHORARRAY($B7),$BT:$CA,6,0),
2,_xlfn.ANCHORARRAY(AH7)*(1+_xlfn.ANCHORARRAY($D7))*VLOOKUP(AI$3&amp;$B$6&amp;_xlfn.ANCHORARRAY($B7),$BT:$CA,7,0))</f>
        <v>0</v>
      </c>
      <c r="AJ7" s="59" cm="1">
        <f t="array" aca="1" ref="AJ7:AJ14" ca="1">_xlfn.SWITCH(IFERROR(VLOOKUP(AJ$3&amp;$B$6&amp;_xlfn.ANCHORARRAY($B7),$BT:$CA,5,0),0),
0,_xlfn.ANCHORARRAY(AI7)*(1+_xlfn.ANCHORARRAY($D7))+SUMIF($BT:$BT,AJ$3&amp;$B$6&amp;_xlfn.ANCHORARRAY($B7),$CA:$CA),
1,VLOOKUP(AJ$3&amp;$B$6&amp;_xlfn.ANCHORARRAY($B7),$BT:$CA,6,0),
2,_xlfn.ANCHORARRAY(AI7)*(1+_xlfn.ANCHORARRAY($D7))*VLOOKUP(AJ$3&amp;$B$6&amp;_xlfn.ANCHORARRAY($B7),$BT:$CA,7,0))</f>
        <v>0</v>
      </c>
      <c r="AK7" s="59" cm="1">
        <f t="array" aca="1" ref="AK7:AK14" ca="1">_xlfn.SWITCH(IFERROR(VLOOKUP(AK$3&amp;$B$6&amp;_xlfn.ANCHORARRAY($B7),$BT:$CA,5,0),0),
0,_xlfn.ANCHORARRAY(AJ7)*(1+_xlfn.ANCHORARRAY($D7))+SUMIF($BT:$BT,AK$3&amp;$B$6&amp;_xlfn.ANCHORARRAY($B7),$CA:$CA),
1,VLOOKUP(AK$3&amp;$B$6&amp;_xlfn.ANCHORARRAY($B7),$BT:$CA,6,0),
2,_xlfn.ANCHORARRAY(AJ7)*(1+_xlfn.ANCHORARRAY($D7))*VLOOKUP(AK$3&amp;$B$6&amp;_xlfn.ANCHORARRAY($B7),$BT:$CA,7,0))</f>
        <v>0</v>
      </c>
      <c r="AL7" s="59" cm="1">
        <f t="array" aca="1" ref="AL7:AL14" ca="1">_xlfn.SWITCH(IFERROR(VLOOKUP(AL$3&amp;$B$6&amp;_xlfn.ANCHORARRAY($B7),$BT:$CA,5,0),0),
0,_xlfn.ANCHORARRAY(AK7)*(1+_xlfn.ANCHORARRAY($D7))+SUMIF($BT:$BT,AL$3&amp;$B$6&amp;_xlfn.ANCHORARRAY($B7),$CA:$CA),
1,VLOOKUP(AL$3&amp;$B$6&amp;_xlfn.ANCHORARRAY($B7),$BT:$CA,6,0),
2,_xlfn.ANCHORARRAY(AK7)*(1+_xlfn.ANCHORARRAY($D7))*VLOOKUP(AL$3&amp;$B$6&amp;_xlfn.ANCHORARRAY($B7),$BT:$CA,7,0))</f>
        <v>0</v>
      </c>
      <c r="AM7" s="59" cm="1">
        <f t="array" aca="1" ref="AM7:AM14" ca="1">_xlfn.SWITCH(IFERROR(VLOOKUP(AM$3&amp;$B$6&amp;_xlfn.ANCHORARRAY($B7),$BT:$CA,5,0),0),
0,_xlfn.ANCHORARRAY(AL7)*(1+_xlfn.ANCHORARRAY($D7))+SUMIF($BT:$BT,AM$3&amp;$B$6&amp;_xlfn.ANCHORARRAY($B7),$CA:$CA),
1,VLOOKUP(AM$3&amp;$B$6&amp;_xlfn.ANCHORARRAY($B7),$BT:$CA,6,0),
2,_xlfn.ANCHORARRAY(AL7)*(1+_xlfn.ANCHORARRAY($D7))*VLOOKUP(AM$3&amp;$B$6&amp;_xlfn.ANCHORARRAY($B7),$BT:$CA,7,0))</f>
        <v>0</v>
      </c>
      <c r="AN7" s="59" cm="1">
        <f t="array" aca="1" ref="AN7:AN14" ca="1">_xlfn.SWITCH(IFERROR(VLOOKUP(AN$3&amp;$B$6&amp;_xlfn.ANCHORARRAY($B7),$BT:$CA,5,0),0),
0,_xlfn.ANCHORARRAY(AM7)*(1+_xlfn.ANCHORARRAY($D7))+SUMIF($BT:$BT,AN$3&amp;$B$6&amp;_xlfn.ANCHORARRAY($B7),$CA:$CA),
1,VLOOKUP(AN$3&amp;$B$6&amp;_xlfn.ANCHORARRAY($B7),$BT:$CA,6,0),
2,_xlfn.ANCHORARRAY(AM7)*(1+_xlfn.ANCHORARRAY($D7))*VLOOKUP(AN$3&amp;$B$6&amp;_xlfn.ANCHORARRAY($B7),$BT:$CA,7,0))</f>
        <v>0</v>
      </c>
      <c r="AO7" s="59" cm="1">
        <f t="array" aca="1" ref="AO7:AO14" ca="1">_xlfn.SWITCH(IFERROR(VLOOKUP(AO$3&amp;$B$6&amp;_xlfn.ANCHORARRAY($B7),$BT:$CA,5,0),0),
0,_xlfn.ANCHORARRAY(AN7)*(1+_xlfn.ANCHORARRAY($D7))+SUMIF($BT:$BT,AO$3&amp;$B$6&amp;_xlfn.ANCHORARRAY($B7),$CA:$CA),
1,VLOOKUP(AO$3&amp;$B$6&amp;_xlfn.ANCHORARRAY($B7),$BT:$CA,6,0),
2,_xlfn.ANCHORARRAY(AN7)*(1+_xlfn.ANCHORARRAY($D7))*VLOOKUP(AO$3&amp;$B$6&amp;_xlfn.ANCHORARRAY($B7),$BT:$CA,7,0))</f>
        <v>0</v>
      </c>
      <c r="AP7" s="59" cm="1">
        <f t="array" aca="1" ref="AP7:AP14" ca="1">_xlfn.SWITCH(IFERROR(VLOOKUP(AP$3&amp;$B$6&amp;_xlfn.ANCHORARRAY($B7),$BT:$CA,5,0),0),
0,_xlfn.ANCHORARRAY(AO7)*(1+_xlfn.ANCHORARRAY($D7))+SUMIF($BT:$BT,AP$3&amp;$B$6&amp;_xlfn.ANCHORARRAY($B7),$CA:$CA),
1,VLOOKUP(AP$3&amp;$B$6&amp;_xlfn.ANCHORARRAY($B7),$BT:$CA,6,0),
2,_xlfn.ANCHORARRAY(AO7)*(1+_xlfn.ANCHORARRAY($D7))*VLOOKUP(AP$3&amp;$B$6&amp;_xlfn.ANCHORARRAY($B7),$BT:$CA,7,0))</f>
        <v>0</v>
      </c>
      <c r="AQ7" s="59" cm="1">
        <f t="array" aca="1" ref="AQ7:AQ14" ca="1">_xlfn.SWITCH(IFERROR(VLOOKUP(AQ$3&amp;$B$6&amp;_xlfn.ANCHORARRAY($B7),$BT:$CA,5,0),0),
0,_xlfn.ANCHORARRAY(AP7)*(1+_xlfn.ANCHORARRAY($D7))+SUMIF($BT:$BT,AQ$3&amp;$B$6&amp;_xlfn.ANCHORARRAY($B7),$CA:$CA),
1,VLOOKUP(AQ$3&amp;$B$6&amp;_xlfn.ANCHORARRAY($B7),$BT:$CA,6,0),
2,_xlfn.ANCHORARRAY(AP7)*(1+_xlfn.ANCHORARRAY($D7))*VLOOKUP(AQ$3&amp;$B$6&amp;_xlfn.ANCHORARRAY($B7),$BT:$CA,7,0))</f>
        <v>0</v>
      </c>
      <c r="AR7" s="59" cm="1">
        <f t="array" aca="1" ref="AR7:AR14" ca="1">_xlfn.SWITCH(IFERROR(VLOOKUP(AR$3&amp;$B$6&amp;_xlfn.ANCHORARRAY($B7),$BT:$CA,5,0),0),
0,_xlfn.ANCHORARRAY(AQ7)*(1+_xlfn.ANCHORARRAY($D7))+SUMIF($BT:$BT,AR$3&amp;$B$6&amp;_xlfn.ANCHORARRAY($B7),$CA:$CA),
1,VLOOKUP(AR$3&amp;$B$6&amp;_xlfn.ANCHORARRAY($B7),$BT:$CA,6,0),
2,_xlfn.ANCHORARRAY(AQ7)*(1+_xlfn.ANCHORARRAY($D7))*VLOOKUP(AR$3&amp;$B$6&amp;_xlfn.ANCHORARRAY($B7),$BT:$CA,7,0))</f>
        <v>0</v>
      </c>
      <c r="AS7" s="59" cm="1">
        <f t="array" aca="1" ref="AS7:AS14" ca="1">_xlfn.SWITCH(IFERROR(VLOOKUP(AS$3&amp;$B$6&amp;_xlfn.ANCHORARRAY($B7),$BT:$CA,5,0),0),
0,_xlfn.ANCHORARRAY(AR7)*(1+_xlfn.ANCHORARRAY($D7))+SUMIF($BT:$BT,AS$3&amp;$B$6&amp;_xlfn.ANCHORARRAY($B7),$CA:$CA),
1,VLOOKUP(AS$3&amp;$B$6&amp;_xlfn.ANCHORARRAY($B7),$BT:$CA,6,0),
2,_xlfn.ANCHORARRAY(AR7)*(1+_xlfn.ANCHORARRAY($D7))*VLOOKUP(AS$3&amp;$B$6&amp;_xlfn.ANCHORARRAY($B7),$BT:$CA,7,0))</f>
        <v>0</v>
      </c>
      <c r="AT7" s="59" cm="1">
        <f t="array" aca="1" ref="AT7:AT14" ca="1">_xlfn.SWITCH(IFERROR(VLOOKUP(AT$3&amp;$B$6&amp;_xlfn.ANCHORARRAY($B7),$BT:$CA,5,0),0),
0,_xlfn.ANCHORARRAY(AS7)*(1+_xlfn.ANCHORARRAY($D7))+SUMIF($BT:$BT,AT$3&amp;$B$6&amp;_xlfn.ANCHORARRAY($B7),$CA:$CA),
1,VLOOKUP(AT$3&amp;$B$6&amp;_xlfn.ANCHORARRAY($B7),$BT:$CA,6,0),
2,_xlfn.ANCHORARRAY(AS7)*(1+_xlfn.ANCHORARRAY($D7))*VLOOKUP(AT$3&amp;$B$6&amp;_xlfn.ANCHORARRAY($B7),$BT:$CA,7,0))</f>
        <v>0</v>
      </c>
      <c r="AU7" s="59" cm="1">
        <f t="array" aca="1" ref="AU7:AU14" ca="1">_xlfn.SWITCH(IFERROR(VLOOKUP(AU$3&amp;$B$6&amp;_xlfn.ANCHORARRAY($B7),$BT:$CA,5,0),0),
0,_xlfn.ANCHORARRAY(AT7)*(1+_xlfn.ANCHORARRAY($D7))+SUMIF($BT:$BT,AU$3&amp;$B$6&amp;_xlfn.ANCHORARRAY($B7),$CA:$CA),
1,VLOOKUP(AU$3&amp;$B$6&amp;_xlfn.ANCHORARRAY($B7),$BT:$CA,6,0),
2,_xlfn.ANCHORARRAY(AT7)*(1+_xlfn.ANCHORARRAY($D7))*VLOOKUP(AU$3&amp;$B$6&amp;_xlfn.ANCHORARRAY($B7),$BT:$CA,7,0))</f>
        <v>0</v>
      </c>
      <c r="AV7" s="59" cm="1">
        <f t="array" aca="1" ref="AV7:AV14" ca="1">_xlfn.SWITCH(IFERROR(VLOOKUP(AV$3&amp;$B$6&amp;_xlfn.ANCHORARRAY($B7),$BT:$CA,5,0),0),
0,_xlfn.ANCHORARRAY(AU7)*(1+_xlfn.ANCHORARRAY($D7))+SUMIF($BT:$BT,AV$3&amp;$B$6&amp;_xlfn.ANCHORARRAY($B7),$CA:$CA),
1,VLOOKUP(AV$3&amp;$B$6&amp;_xlfn.ANCHORARRAY($B7),$BT:$CA,6,0),
2,_xlfn.ANCHORARRAY(AU7)*(1+_xlfn.ANCHORARRAY($D7))*VLOOKUP(AV$3&amp;$B$6&amp;_xlfn.ANCHORARRAY($B7),$BT:$CA,7,0))</f>
        <v>0</v>
      </c>
      <c r="AW7" s="59" cm="1">
        <f t="array" aca="1" ref="AW7:AW14" ca="1">_xlfn.SWITCH(IFERROR(VLOOKUP(AW$3&amp;$B$6&amp;_xlfn.ANCHORARRAY($B7),$BT:$CA,5,0),0),
0,_xlfn.ANCHORARRAY(AV7)*(1+_xlfn.ANCHORARRAY($D7))+SUMIF($BT:$BT,AW$3&amp;$B$6&amp;_xlfn.ANCHORARRAY($B7),$CA:$CA),
1,VLOOKUP(AW$3&amp;$B$6&amp;_xlfn.ANCHORARRAY($B7),$BT:$CA,6,0),
2,_xlfn.ANCHORARRAY(AV7)*(1+_xlfn.ANCHORARRAY($D7))*VLOOKUP(AW$3&amp;$B$6&amp;_xlfn.ANCHORARRAY($B7),$BT:$CA,7,0))</f>
        <v>0</v>
      </c>
      <c r="AX7" s="59" cm="1">
        <f t="array" aca="1" ref="AX7:AX14" ca="1">_xlfn.SWITCH(IFERROR(VLOOKUP(AX$3&amp;$B$6&amp;_xlfn.ANCHORARRAY($B7),$BT:$CA,5,0),0),
0,_xlfn.ANCHORARRAY(AW7)*(1+_xlfn.ANCHORARRAY($D7))+SUMIF($BT:$BT,AX$3&amp;$B$6&amp;_xlfn.ANCHORARRAY($B7),$CA:$CA),
1,VLOOKUP(AX$3&amp;$B$6&amp;_xlfn.ANCHORARRAY($B7),$BT:$CA,6,0),
2,_xlfn.ANCHORARRAY(AW7)*(1+_xlfn.ANCHORARRAY($D7))*VLOOKUP(AX$3&amp;$B$6&amp;_xlfn.ANCHORARRAY($B7),$BT:$CA,7,0))</f>
        <v>0</v>
      </c>
      <c r="AY7" s="59" cm="1">
        <f t="array" aca="1" ref="AY7:AY14" ca="1">_xlfn.SWITCH(IFERROR(VLOOKUP(AY$3&amp;$B$6&amp;_xlfn.ANCHORARRAY($B7),$BT:$CA,5,0),0),
0,_xlfn.ANCHORARRAY(AX7)*(1+_xlfn.ANCHORARRAY($D7))+SUMIF($BT:$BT,AY$3&amp;$B$6&amp;_xlfn.ANCHORARRAY($B7),$CA:$CA),
1,VLOOKUP(AY$3&amp;$B$6&amp;_xlfn.ANCHORARRAY($B7),$BT:$CA,6,0),
2,_xlfn.ANCHORARRAY(AX7)*(1+_xlfn.ANCHORARRAY($D7))*VLOOKUP(AY$3&amp;$B$6&amp;_xlfn.ANCHORARRAY($B7),$BT:$CA,7,0))</f>
        <v>0</v>
      </c>
      <c r="AZ7" s="59" cm="1">
        <f t="array" aca="1" ref="AZ7:AZ14" ca="1">_xlfn.SWITCH(IFERROR(VLOOKUP(AZ$3&amp;$B$6&amp;_xlfn.ANCHORARRAY($B7),$BT:$CA,5,0),0),
0,_xlfn.ANCHORARRAY(AY7)*(1+_xlfn.ANCHORARRAY($D7))+SUMIF($BT:$BT,AZ$3&amp;$B$6&amp;_xlfn.ANCHORARRAY($B7),$CA:$CA),
1,VLOOKUP(AZ$3&amp;$B$6&amp;_xlfn.ANCHORARRAY($B7),$BT:$CA,6,0),
2,_xlfn.ANCHORARRAY(AY7)*(1+_xlfn.ANCHORARRAY($D7))*VLOOKUP(AZ$3&amp;$B$6&amp;_xlfn.ANCHORARRAY($B7),$BT:$CA,7,0))</f>
        <v>0</v>
      </c>
      <c r="BA7" s="59" cm="1">
        <f t="array" aca="1" ref="BA7:BA14" ca="1">_xlfn.SWITCH(IFERROR(VLOOKUP(BA$3&amp;$B$6&amp;_xlfn.ANCHORARRAY($B7),$BT:$CA,5,0),0),
0,_xlfn.ANCHORARRAY(AZ7)*(1+_xlfn.ANCHORARRAY($D7))+SUMIF($BT:$BT,BA$3&amp;$B$6&amp;_xlfn.ANCHORARRAY($B7),$CA:$CA),
1,VLOOKUP(BA$3&amp;$B$6&amp;_xlfn.ANCHORARRAY($B7),$BT:$CA,6,0),
2,_xlfn.ANCHORARRAY(AZ7)*(1+_xlfn.ANCHORARRAY($D7))*VLOOKUP(BA$3&amp;$B$6&amp;_xlfn.ANCHORARRAY($B7),$BT:$CA,7,0))</f>
        <v>0</v>
      </c>
      <c r="BS7" s="5">
        <f t="shared" si="0"/>
        <v>0</v>
      </c>
      <c r="BT7" s="5" t="str">
        <f t="shared" si="1"/>
        <v>2029E_Erwerb3</v>
      </c>
      <c r="BU7">
        <v>2029</v>
      </c>
      <c r="BV7" t="s">
        <v>74</v>
      </c>
      <c r="BW7">
        <v>3</v>
      </c>
      <c r="BX7">
        <v>1</v>
      </c>
      <c r="BY7" s="12">
        <f>140000*0.2*0.5</f>
        <v>14000</v>
      </c>
      <c r="CD7" s="5" t="str">
        <f t="shared" ca="1" si="4"/>
        <v>Amy</v>
      </c>
      <c r="CE7" s="5" t="str">
        <f t="shared" ca="1" si="5"/>
        <v>Einkommen aus Selbstständigkeit</v>
      </c>
      <c r="CF7" s="5" t="str">
        <f t="shared" ca="1" si="6"/>
        <v>Amy - Einkommen aus Selbstständigkeit</v>
      </c>
      <c r="CG7" s="5"/>
    </row>
    <row r="8" spans="1:85" x14ac:dyDescent="0.25">
      <c r="A8" s="57" t="str">
        <f ca="1"/>
        <v>Einkommen aus Selbstständigkeit</v>
      </c>
      <c r="B8" s="57">
        <f ca="1"/>
        <v>3</v>
      </c>
      <c r="C8" s="53" t="str">
        <f ca="1"/>
        <v>Amy</v>
      </c>
      <c r="D8" s="54">
        <f ca="1"/>
        <v>0</v>
      </c>
      <c r="E8" s="54"/>
      <c r="F8" s="59">
        <f ca="1"/>
        <v>0</v>
      </c>
      <c r="G8" s="59">
        <f ca="1"/>
        <v>0</v>
      </c>
      <c r="H8" s="59">
        <f ca="1"/>
        <v>0</v>
      </c>
      <c r="I8" s="59">
        <f ca="1"/>
        <v>0</v>
      </c>
      <c r="J8" s="59">
        <f ca="1"/>
        <v>0</v>
      </c>
      <c r="K8" s="59">
        <f ca="1"/>
        <v>14000</v>
      </c>
      <c r="L8" s="59">
        <f ca="1"/>
        <v>28000</v>
      </c>
      <c r="M8" s="59">
        <f ca="1"/>
        <v>14000</v>
      </c>
      <c r="N8" s="59">
        <f ca="1"/>
        <v>0</v>
      </c>
      <c r="O8" s="59">
        <f ca="1"/>
        <v>0</v>
      </c>
      <c r="P8" s="59">
        <f ca="1"/>
        <v>0</v>
      </c>
      <c r="Q8" s="59">
        <f ca="1"/>
        <v>0</v>
      </c>
      <c r="R8" s="59">
        <f ca="1"/>
        <v>0</v>
      </c>
      <c r="S8" s="59">
        <f ca="1"/>
        <v>0</v>
      </c>
      <c r="T8" s="59">
        <f ca="1"/>
        <v>0</v>
      </c>
      <c r="U8" s="59">
        <f ca="1"/>
        <v>0</v>
      </c>
      <c r="V8" s="59">
        <f ca="1"/>
        <v>0</v>
      </c>
      <c r="W8" s="59">
        <f ca="1"/>
        <v>0</v>
      </c>
      <c r="X8" s="59">
        <f ca="1"/>
        <v>0</v>
      </c>
      <c r="Y8" s="59">
        <f ca="1"/>
        <v>0</v>
      </c>
      <c r="Z8" s="59">
        <f ca="1"/>
        <v>0</v>
      </c>
      <c r="AA8" s="59">
        <f ca="1"/>
        <v>0</v>
      </c>
      <c r="AB8" s="59">
        <f ca="1"/>
        <v>0</v>
      </c>
      <c r="AC8" s="59">
        <f ca="1"/>
        <v>0</v>
      </c>
      <c r="AD8" s="59">
        <f ca="1"/>
        <v>0</v>
      </c>
      <c r="AE8" s="59">
        <f ca="1"/>
        <v>0</v>
      </c>
      <c r="AF8" s="59">
        <f ca="1"/>
        <v>0</v>
      </c>
      <c r="AG8" s="59">
        <f ca="1"/>
        <v>0</v>
      </c>
      <c r="AH8" s="59">
        <f ca="1"/>
        <v>0</v>
      </c>
      <c r="AI8" s="59">
        <f ca="1"/>
        <v>0</v>
      </c>
      <c r="AJ8" s="59">
        <f ca="1"/>
        <v>0</v>
      </c>
      <c r="AK8" s="59">
        <f ca="1"/>
        <v>0</v>
      </c>
      <c r="AL8" s="59">
        <f ca="1"/>
        <v>0</v>
      </c>
      <c r="AM8" s="59">
        <f ca="1"/>
        <v>0</v>
      </c>
      <c r="AN8" s="59">
        <f ca="1"/>
        <v>0</v>
      </c>
      <c r="AO8" s="59">
        <f ca="1"/>
        <v>0</v>
      </c>
      <c r="AP8" s="59">
        <f ca="1"/>
        <v>0</v>
      </c>
      <c r="AQ8" s="59">
        <f ca="1"/>
        <v>0</v>
      </c>
      <c r="AR8" s="59">
        <f ca="1"/>
        <v>0</v>
      </c>
      <c r="AS8" s="59">
        <f ca="1"/>
        <v>0</v>
      </c>
      <c r="AT8" s="59">
        <f ca="1"/>
        <v>0</v>
      </c>
      <c r="AU8" s="59">
        <f ca="1"/>
        <v>0</v>
      </c>
      <c r="AV8" s="59">
        <f ca="1"/>
        <v>0</v>
      </c>
      <c r="AW8" s="59">
        <f ca="1"/>
        <v>0</v>
      </c>
      <c r="AX8" s="59">
        <f ca="1"/>
        <v>0</v>
      </c>
      <c r="AY8" s="59">
        <f ca="1"/>
        <v>0</v>
      </c>
      <c r="AZ8" s="59">
        <f ca="1"/>
        <v>0</v>
      </c>
      <c r="BA8" s="59">
        <f ca="1"/>
        <v>0</v>
      </c>
      <c r="BS8" s="5">
        <f t="shared" si="0"/>
        <v>0</v>
      </c>
      <c r="BT8" s="5" t="str">
        <f t="shared" si="1"/>
        <v>2030E_Erwerb3</v>
      </c>
      <c r="BU8">
        <v>2030</v>
      </c>
      <c r="BV8" t="s">
        <v>74</v>
      </c>
      <c r="BW8">
        <v>3</v>
      </c>
      <c r="BX8">
        <v>1</v>
      </c>
      <c r="BY8" s="12">
        <f>140000*0.2</f>
        <v>28000</v>
      </c>
      <c r="CD8" s="5" t="str">
        <f t="shared" ca="1" si="4"/>
        <v>Amy</v>
      </c>
      <c r="CE8" s="5" t="str">
        <f t="shared" ca="1" si="5"/>
        <v>Einkommen aus Selbstständigkeit</v>
      </c>
      <c r="CF8" s="5" t="str">
        <f t="shared" ca="1" si="6"/>
        <v>Amy - Einkommen aus Selbstständigkeit</v>
      </c>
      <c r="CG8" s="5"/>
    </row>
    <row r="9" spans="1:85" x14ac:dyDescent="0.25">
      <c r="A9" s="57" t="str">
        <f ca="1"/>
        <v>Mietertrag New York</v>
      </c>
      <c r="B9" s="57">
        <f ca="1"/>
        <v>4</v>
      </c>
      <c r="C9" s="53" t="str">
        <f ca="1"/>
        <v>Amy</v>
      </c>
      <c r="D9" s="54">
        <f ca="1"/>
        <v>0</v>
      </c>
      <c r="E9" s="54"/>
      <c r="F9" s="59">
        <f ca="1"/>
        <v>15000</v>
      </c>
      <c r="G9" s="59">
        <f ca="1"/>
        <v>15000</v>
      </c>
      <c r="H9" s="59">
        <f ca="1"/>
        <v>15000</v>
      </c>
      <c r="I9" s="59">
        <f ca="1"/>
        <v>15000</v>
      </c>
      <c r="J9" s="59">
        <f ca="1"/>
        <v>15000</v>
      </c>
      <c r="K9" s="59">
        <f ca="1"/>
        <v>15000</v>
      </c>
      <c r="L9" s="59">
        <f ca="1"/>
        <v>15000</v>
      </c>
      <c r="M9" s="59">
        <f ca="1"/>
        <v>15000</v>
      </c>
      <c r="N9" s="59">
        <f ca="1"/>
        <v>15000</v>
      </c>
      <c r="O9" s="59">
        <f ca="1"/>
        <v>15000</v>
      </c>
      <c r="P9" s="59">
        <f ca="1"/>
        <v>15000</v>
      </c>
      <c r="Q9" s="59">
        <f ca="1"/>
        <v>15000</v>
      </c>
      <c r="R9" s="59">
        <f ca="1"/>
        <v>15000</v>
      </c>
      <c r="S9" s="59">
        <f ca="1"/>
        <v>15000</v>
      </c>
      <c r="T9" s="59">
        <f ca="1"/>
        <v>15000</v>
      </c>
      <c r="U9" s="59">
        <f ca="1"/>
        <v>15000</v>
      </c>
      <c r="V9" s="59">
        <f ca="1"/>
        <v>15000</v>
      </c>
      <c r="W9" s="59">
        <f ca="1"/>
        <v>15000</v>
      </c>
      <c r="X9" s="59">
        <f ca="1"/>
        <v>15000</v>
      </c>
      <c r="Y9" s="59">
        <f ca="1"/>
        <v>15000</v>
      </c>
      <c r="Z9" s="59">
        <f ca="1"/>
        <v>15000</v>
      </c>
      <c r="AA9" s="59">
        <f ca="1"/>
        <v>15000</v>
      </c>
      <c r="AB9" s="59">
        <f ca="1"/>
        <v>15000</v>
      </c>
      <c r="AC9" s="59">
        <f ca="1"/>
        <v>15000</v>
      </c>
      <c r="AD9" s="59">
        <f ca="1"/>
        <v>15000</v>
      </c>
      <c r="AE9" s="59">
        <f ca="1"/>
        <v>15000</v>
      </c>
      <c r="AF9" s="59">
        <f ca="1"/>
        <v>15000</v>
      </c>
      <c r="AG9" s="59">
        <f ca="1"/>
        <v>15000</v>
      </c>
      <c r="AH9" s="59">
        <f ca="1"/>
        <v>15000</v>
      </c>
      <c r="AI9" s="59">
        <f ca="1"/>
        <v>15000</v>
      </c>
      <c r="AJ9" s="59">
        <f ca="1"/>
        <v>15000</v>
      </c>
      <c r="AK9" s="59">
        <f ca="1"/>
        <v>15000</v>
      </c>
      <c r="AL9" s="59">
        <f ca="1"/>
        <v>15000</v>
      </c>
      <c r="AM9" s="59">
        <f ca="1"/>
        <v>15000</v>
      </c>
      <c r="AN9" s="59">
        <f ca="1"/>
        <v>15000</v>
      </c>
      <c r="AO9" s="59">
        <f ca="1"/>
        <v>15000</v>
      </c>
      <c r="AP9" s="59">
        <f ca="1"/>
        <v>15000</v>
      </c>
      <c r="AQ9" s="59">
        <f ca="1"/>
        <v>15000</v>
      </c>
      <c r="AR9" s="59">
        <f ca="1"/>
        <v>15000</v>
      </c>
      <c r="AS9" s="59">
        <f ca="1"/>
        <v>15000</v>
      </c>
      <c r="AT9" s="59">
        <f ca="1"/>
        <v>15000</v>
      </c>
      <c r="AU9" s="59">
        <f ca="1"/>
        <v>15000</v>
      </c>
      <c r="AV9" s="59">
        <f ca="1"/>
        <v>15000</v>
      </c>
      <c r="AW9" s="59">
        <f ca="1"/>
        <v>15000</v>
      </c>
      <c r="AX9" s="59">
        <f ca="1"/>
        <v>15000</v>
      </c>
      <c r="AY9" s="59">
        <f ca="1"/>
        <v>15000</v>
      </c>
      <c r="AZ9" s="59">
        <f ca="1"/>
        <v>15000</v>
      </c>
      <c r="BA9" s="59">
        <f ca="1"/>
        <v>15000</v>
      </c>
      <c r="BS9" s="5">
        <f t="shared" si="0"/>
        <v>0</v>
      </c>
      <c r="BT9" s="5" t="str">
        <f t="shared" si="1"/>
        <v>2031E_Erwerb3</v>
      </c>
      <c r="BU9">
        <v>2031</v>
      </c>
      <c r="BV9" t="s">
        <v>74</v>
      </c>
      <c r="BW9">
        <v>3</v>
      </c>
      <c r="BX9">
        <v>1</v>
      </c>
      <c r="BY9" s="12">
        <v>14000</v>
      </c>
      <c r="CD9" s="5" t="str">
        <f t="shared" ca="1" si="4"/>
        <v>Amy</v>
      </c>
      <c r="CE9" s="5" t="str">
        <f t="shared" ca="1" si="5"/>
        <v>Einkommen aus Selbstständigkeit</v>
      </c>
      <c r="CF9" s="5" t="str">
        <f t="shared" ca="1" si="6"/>
        <v>Amy - Einkommen aus Selbstständigkeit</v>
      </c>
      <c r="CG9" s="5"/>
    </row>
    <row r="10" spans="1:85" x14ac:dyDescent="0.25">
      <c r="A10" s="57" t="str">
        <f ca="1"/>
        <v>Rente aus Pensionskasse</v>
      </c>
      <c r="B10" s="57">
        <f ca="1"/>
        <v>5</v>
      </c>
      <c r="C10" s="53" t="str">
        <f ca="1"/>
        <v>Amy</v>
      </c>
      <c r="D10" s="54">
        <f ca="1"/>
        <v>0</v>
      </c>
      <c r="E10" s="54"/>
      <c r="F10" s="59">
        <f ca="1"/>
        <v>0</v>
      </c>
      <c r="G10" s="59">
        <f ca="1"/>
        <v>0</v>
      </c>
      <c r="H10" s="59">
        <f ca="1"/>
        <v>0</v>
      </c>
      <c r="I10" s="59">
        <f ca="1"/>
        <v>0</v>
      </c>
      <c r="J10" s="59">
        <f ca="1"/>
        <v>0</v>
      </c>
      <c r="K10" s="59">
        <f ca="1"/>
        <v>10567.916666666668</v>
      </c>
      <c r="L10" s="59">
        <f ca="1"/>
        <v>25363</v>
      </c>
      <c r="M10" s="59">
        <f ca="1"/>
        <v>25363</v>
      </c>
      <c r="N10" s="59">
        <f ca="1"/>
        <v>25363</v>
      </c>
      <c r="O10" s="59">
        <f ca="1"/>
        <v>25363</v>
      </c>
      <c r="P10" s="59">
        <f ca="1"/>
        <v>25363</v>
      </c>
      <c r="Q10" s="59">
        <f ca="1"/>
        <v>25363</v>
      </c>
      <c r="R10" s="59">
        <f ca="1"/>
        <v>25363</v>
      </c>
      <c r="S10" s="59">
        <f ca="1"/>
        <v>25363</v>
      </c>
      <c r="T10" s="59">
        <f ca="1"/>
        <v>25363</v>
      </c>
      <c r="U10" s="59">
        <f ca="1"/>
        <v>25363</v>
      </c>
      <c r="V10" s="59">
        <f ca="1"/>
        <v>25363</v>
      </c>
      <c r="W10" s="59">
        <f ca="1"/>
        <v>25363</v>
      </c>
      <c r="X10" s="59">
        <f ca="1"/>
        <v>25363</v>
      </c>
      <c r="Y10" s="59">
        <f ca="1"/>
        <v>25363</v>
      </c>
      <c r="Z10" s="59">
        <f ca="1"/>
        <v>25363</v>
      </c>
      <c r="AA10" s="59">
        <f ca="1"/>
        <v>25363</v>
      </c>
      <c r="AB10" s="59">
        <f ca="1"/>
        <v>25363</v>
      </c>
      <c r="AC10" s="59">
        <f ca="1"/>
        <v>25363</v>
      </c>
      <c r="AD10" s="59">
        <f ca="1"/>
        <v>25363</v>
      </c>
      <c r="AE10" s="59">
        <f ca="1"/>
        <v>25363</v>
      </c>
      <c r="AF10" s="59">
        <f ca="1"/>
        <v>25363</v>
      </c>
      <c r="AG10" s="59">
        <f ca="1"/>
        <v>25363</v>
      </c>
      <c r="AH10" s="59">
        <f ca="1"/>
        <v>25363</v>
      </c>
      <c r="AI10" s="59">
        <f ca="1"/>
        <v>25363</v>
      </c>
      <c r="AJ10" s="59">
        <f ca="1"/>
        <v>25363</v>
      </c>
      <c r="AK10" s="59">
        <f ca="1"/>
        <v>25363</v>
      </c>
      <c r="AL10" s="59">
        <f ca="1"/>
        <v>25363</v>
      </c>
      <c r="AM10" s="59">
        <f ca="1"/>
        <v>25363</v>
      </c>
      <c r="AN10" s="59">
        <f ca="1"/>
        <v>25363</v>
      </c>
      <c r="AO10" s="59">
        <f ca="1"/>
        <v>25363</v>
      </c>
      <c r="AP10" s="59">
        <f ca="1"/>
        <v>25363</v>
      </c>
      <c r="AQ10" s="59">
        <f ca="1"/>
        <v>25363</v>
      </c>
      <c r="AR10" s="59">
        <f ca="1"/>
        <v>25363</v>
      </c>
      <c r="AS10" s="59">
        <f ca="1"/>
        <v>25363</v>
      </c>
      <c r="AT10" s="59">
        <f ca="1"/>
        <v>25363</v>
      </c>
      <c r="AU10" s="59">
        <f ca="1"/>
        <v>25363</v>
      </c>
      <c r="AV10" s="59">
        <f ca="1"/>
        <v>25363</v>
      </c>
      <c r="AW10" s="59">
        <f ca="1"/>
        <v>25363</v>
      </c>
      <c r="AX10" s="59">
        <f ca="1"/>
        <v>25363</v>
      </c>
      <c r="AY10" s="59">
        <f ca="1"/>
        <v>25363</v>
      </c>
      <c r="AZ10" s="59">
        <f ca="1"/>
        <v>25363</v>
      </c>
      <c r="BA10" s="59">
        <f ca="1"/>
        <v>25363</v>
      </c>
      <c r="BS10" s="5">
        <f t="shared" si="0"/>
        <v>0</v>
      </c>
      <c r="BT10" s="5" t="str">
        <f t="shared" si="1"/>
        <v>2032E_Erwerb3</v>
      </c>
      <c r="BU10">
        <v>2032</v>
      </c>
      <c r="BV10" t="s">
        <v>74</v>
      </c>
      <c r="BW10">
        <v>3</v>
      </c>
      <c r="BX10">
        <v>1</v>
      </c>
      <c r="BY10" s="12">
        <v>0</v>
      </c>
      <c r="CD10" s="5" t="str">
        <f t="shared" ca="1" si="4"/>
        <v>Amy</v>
      </c>
      <c r="CE10" s="5" t="str">
        <f t="shared" ca="1" si="5"/>
        <v>Einkommen aus Selbstständigkeit</v>
      </c>
      <c r="CF10" s="5" t="str">
        <f t="shared" ca="1" si="6"/>
        <v>Amy - Einkommen aus Selbstständigkeit</v>
      </c>
      <c r="CG10" s="5"/>
    </row>
    <row r="11" spans="1:85" x14ac:dyDescent="0.25">
      <c r="A11" s="57" t="str">
        <f ca="1"/>
        <v>AHV-Einzelrente</v>
      </c>
      <c r="B11" s="57">
        <f ca="1"/>
        <v>6</v>
      </c>
      <c r="C11" s="53" t="str">
        <f ca="1"/>
        <v>Amy</v>
      </c>
      <c r="D11" s="54">
        <f ca="1"/>
        <v>0</v>
      </c>
      <c r="E11" s="54"/>
      <c r="F11" s="59">
        <f ca="1"/>
        <v>0</v>
      </c>
      <c r="G11" s="59">
        <f ca="1"/>
        <v>0</v>
      </c>
      <c r="H11" s="59">
        <f ca="1"/>
        <v>0</v>
      </c>
      <c r="I11" s="59">
        <f ca="1"/>
        <v>0</v>
      </c>
      <c r="J11" s="59">
        <f ca="1"/>
        <v>0</v>
      </c>
      <c r="K11" s="59">
        <f ca="1"/>
        <v>9800</v>
      </c>
      <c r="L11" s="59">
        <f ca="1"/>
        <v>29400</v>
      </c>
      <c r="M11" s="59">
        <f ca="1"/>
        <v>29400</v>
      </c>
      <c r="N11" s="59">
        <f ca="1"/>
        <v>22050</v>
      </c>
      <c r="O11" s="59">
        <f ca="1"/>
        <v>0</v>
      </c>
      <c r="P11" s="59">
        <f ca="1"/>
        <v>0</v>
      </c>
      <c r="Q11" s="59">
        <f ca="1"/>
        <v>0</v>
      </c>
      <c r="R11" s="59">
        <f ca="1"/>
        <v>0</v>
      </c>
      <c r="S11" s="59">
        <f ca="1"/>
        <v>0</v>
      </c>
      <c r="T11" s="59">
        <f ca="1"/>
        <v>0</v>
      </c>
      <c r="U11" s="59">
        <f ca="1"/>
        <v>0</v>
      </c>
      <c r="V11" s="59">
        <f ca="1"/>
        <v>0</v>
      </c>
      <c r="W11" s="59">
        <f ca="1"/>
        <v>0</v>
      </c>
      <c r="X11" s="59">
        <f ca="1"/>
        <v>0</v>
      </c>
      <c r="Y11" s="59">
        <f ca="1"/>
        <v>0</v>
      </c>
      <c r="Z11" s="59">
        <f ca="1"/>
        <v>0</v>
      </c>
      <c r="AA11" s="59">
        <f ca="1"/>
        <v>0</v>
      </c>
      <c r="AB11" s="59">
        <f ca="1"/>
        <v>0</v>
      </c>
      <c r="AC11" s="59">
        <f ca="1"/>
        <v>0</v>
      </c>
      <c r="AD11" s="59">
        <f ca="1"/>
        <v>0</v>
      </c>
      <c r="AE11" s="59">
        <f ca="1"/>
        <v>0</v>
      </c>
      <c r="AF11" s="59">
        <f ca="1"/>
        <v>0</v>
      </c>
      <c r="AG11" s="59">
        <f ca="1"/>
        <v>0</v>
      </c>
      <c r="AH11" s="59">
        <f ca="1"/>
        <v>0</v>
      </c>
      <c r="AI11" s="59">
        <f ca="1"/>
        <v>0</v>
      </c>
      <c r="AJ11" s="59">
        <f ca="1"/>
        <v>0</v>
      </c>
      <c r="AK11" s="59">
        <f ca="1"/>
        <v>0</v>
      </c>
      <c r="AL11" s="59">
        <f ca="1"/>
        <v>0</v>
      </c>
      <c r="AM11" s="59">
        <f ca="1"/>
        <v>0</v>
      </c>
      <c r="AN11" s="59">
        <f ca="1"/>
        <v>0</v>
      </c>
      <c r="AO11" s="59">
        <f ca="1"/>
        <v>0</v>
      </c>
      <c r="AP11" s="59">
        <f ca="1"/>
        <v>0</v>
      </c>
      <c r="AQ11" s="59">
        <f ca="1"/>
        <v>0</v>
      </c>
      <c r="AR11" s="59">
        <f ca="1"/>
        <v>0</v>
      </c>
      <c r="AS11" s="59">
        <f ca="1"/>
        <v>0</v>
      </c>
      <c r="AT11" s="59">
        <f ca="1"/>
        <v>0</v>
      </c>
      <c r="AU11" s="59">
        <f ca="1"/>
        <v>0</v>
      </c>
      <c r="AV11" s="59">
        <f ca="1"/>
        <v>0</v>
      </c>
      <c r="AW11" s="59">
        <f ca="1"/>
        <v>0</v>
      </c>
      <c r="AX11" s="59">
        <f ca="1"/>
        <v>0</v>
      </c>
      <c r="AY11" s="59">
        <f ca="1"/>
        <v>0</v>
      </c>
      <c r="AZ11" s="59">
        <f ca="1"/>
        <v>0</v>
      </c>
      <c r="BA11" s="59">
        <f ca="1"/>
        <v>0</v>
      </c>
      <c r="BS11" s="5">
        <f t="shared" si="0"/>
        <v>0</v>
      </c>
      <c r="BT11" s="5" t="str">
        <f t="shared" si="1"/>
        <v>2028A_Allg2</v>
      </c>
      <c r="BU11">
        <v>2028</v>
      </c>
      <c r="BV11" t="s">
        <v>85</v>
      </c>
      <c r="BW11">
        <v>2</v>
      </c>
      <c r="BX11">
        <v>1</v>
      </c>
      <c r="BY11" s="12">
        <v>0</v>
      </c>
      <c r="CD11" s="5" t="e">
        <f t="shared" ca="1" si="4"/>
        <v>#N/A</v>
      </c>
      <c r="CE11" s="5" t="e">
        <f t="shared" ca="1" si="5"/>
        <v>#N/A</v>
      </c>
      <c r="CF11" s="5" t="e">
        <f t="shared" ca="1" si="6"/>
        <v>#N/A</v>
      </c>
      <c r="CG11" s="5"/>
    </row>
    <row r="12" spans="1:85" x14ac:dyDescent="0.25">
      <c r="A12" s="57" t="str">
        <f ca="1"/>
        <v>Einkommen aus Erwerbstätigkeit</v>
      </c>
      <c r="B12" s="57">
        <f ca="1"/>
        <v>1</v>
      </c>
      <c r="C12" s="53" t="str">
        <f ca="1"/>
        <v>Sheldon</v>
      </c>
      <c r="D12" s="54">
        <f ca="1"/>
        <v>0</v>
      </c>
      <c r="E12" s="54"/>
      <c r="F12" s="59">
        <f ca="1"/>
        <v>75000</v>
      </c>
      <c r="G12" s="59">
        <f ca="1"/>
        <v>75000</v>
      </c>
      <c r="H12" s="59">
        <f ca="1"/>
        <v>75000</v>
      </c>
      <c r="I12" s="59">
        <f ca="1"/>
        <v>75000</v>
      </c>
      <c r="J12" s="59">
        <f ca="1"/>
        <v>75000</v>
      </c>
      <c r="K12" s="59">
        <f ca="1"/>
        <v>75000</v>
      </c>
      <c r="L12" s="59">
        <f ca="1"/>
        <v>56250</v>
      </c>
      <c r="M12" s="59">
        <f ca="1"/>
        <v>0</v>
      </c>
      <c r="N12" s="59">
        <f ca="1"/>
        <v>0</v>
      </c>
      <c r="O12" s="59">
        <f ca="1"/>
        <v>0</v>
      </c>
      <c r="P12" s="59">
        <f ca="1"/>
        <v>0</v>
      </c>
      <c r="Q12" s="59">
        <f ca="1"/>
        <v>0</v>
      </c>
      <c r="R12" s="59">
        <f ca="1"/>
        <v>0</v>
      </c>
      <c r="S12" s="59">
        <f ca="1"/>
        <v>0</v>
      </c>
      <c r="T12" s="59">
        <f ca="1"/>
        <v>0</v>
      </c>
      <c r="U12" s="59">
        <f ca="1"/>
        <v>0</v>
      </c>
      <c r="V12" s="59">
        <f ca="1"/>
        <v>0</v>
      </c>
      <c r="W12" s="59">
        <f ca="1"/>
        <v>0</v>
      </c>
      <c r="X12" s="59">
        <f ca="1"/>
        <v>0</v>
      </c>
      <c r="Y12" s="59">
        <f ca="1"/>
        <v>0</v>
      </c>
      <c r="Z12" s="59">
        <f ca="1"/>
        <v>0</v>
      </c>
      <c r="AA12" s="59">
        <f ca="1"/>
        <v>0</v>
      </c>
      <c r="AB12" s="59">
        <f ca="1"/>
        <v>0</v>
      </c>
      <c r="AC12" s="59">
        <f ca="1"/>
        <v>0</v>
      </c>
      <c r="AD12" s="59">
        <f ca="1"/>
        <v>0</v>
      </c>
      <c r="AE12" s="59">
        <f ca="1"/>
        <v>0</v>
      </c>
      <c r="AF12" s="59">
        <f ca="1"/>
        <v>0</v>
      </c>
      <c r="AG12" s="59">
        <f ca="1"/>
        <v>0</v>
      </c>
      <c r="AH12" s="59">
        <f ca="1"/>
        <v>0</v>
      </c>
      <c r="AI12" s="59">
        <f ca="1"/>
        <v>0</v>
      </c>
      <c r="AJ12" s="59">
        <f ca="1"/>
        <v>0</v>
      </c>
      <c r="AK12" s="59">
        <f ca="1"/>
        <v>0</v>
      </c>
      <c r="AL12" s="59">
        <f ca="1"/>
        <v>0</v>
      </c>
      <c r="AM12" s="59">
        <f ca="1"/>
        <v>0</v>
      </c>
      <c r="AN12" s="59">
        <f ca="1"/>
        <v>0</v>
      </c>
      <c r="AO12" s="59">
        <f ca="1"/>
        <v>0</v>
      </c>
      <c r="AP12" s="59">
        <f ca="1"/>
        <v>0</v>
      </c>
      <c r="AQ12" s="59">
        <f ca="1"/>
        <v>0</v>
      </c>
      <c r="AR12" s="59">
        <f ca="1"/>
        <v>0</v>
      </c>
      <c r="AS12" s="59">
        <f ca="1"/>
        <v>0</v>
      </c>
      <c r="AT12" s="59">
        <f ca="1"/>
        <v>0</v>
      </c>
      <c r="AU12" s="59">
        <f ca="1"/>
        <v>0</v>
      </c>
      <c r="AV12" s="59">
        <f ca="1"/>
        <v>0</v>
      </c>
      <c r="AW12" s="59">
        <f ca="1"/>
        <v>0</v>
      </c>
      <c r="AX12" s="59">
        <f ca="1"/>
        <v>0</v>
      </c>
      <c r="AY12" s="59">
        <f ca="1"/>
        <v>0</v>
      </c>
      <c r="AZ12" s="59">
        <f ca="1"/>
        <v>0</v>
      </c>
      <c r="BA12" s="59">
        <f ca="1"/>
        <v>0</v>
      </c>
      <c r="BS12" s="5">
        <f t="shared" si="0"/>
        <v>0</v>
      </c>
      <c r="BT12" s="5" t="str">
        <f t="shared" si="1"/>
        <v>2025A_Allg3</v>
      </c>
      <c r="BU12">
        <v>2025</v>
      </c>
      <c r="BV12" t="s">
        <v>85</v>
      </c>
      <c r="BW12">
        <v>3</v>
      </c>
      <c r="BX12">
        <v>1</v>
      </c>
      <c r="BY12" s="12">
        <v>0</v>
      </c>
      <c r="CD12" s="5" t="e">
        <f t="shared" ca="1" si="4"/>
        <v>#N/A</v>
      </c>
      <c r="CE12" s="5" t="e">
        <f t="shared" ca="1" si="5"/>
        <v>#N/A</v>
      </c>
      <c r="CF12" s="5" t="e">
        <f t="shared" ca="1" si="6"/>
        <v>#N/A</v>
      </c>
      <c r="CG12" s="5"/>
    </row>
    <row r="13" spans="1:85" x14ac:dyDescent="0.25">
      <c r="A13" s="57" t="str">
        <f ca="1"/>
        <v>Rente aus Pensionskasse</v>
      </c>
      <c r="B13" s="57">
        <f ca="1"/>
        <v>8</v>
      </c>
      <c r="C13" s="53" t="str">
        <f ca="1"/>
        <v>Sheldon</v>
      </c>
      <c r="D13" s="54">
        <f ca="1"/>
        <v>0</v>
      </c>
      <c r="E13" s="54"/>
      <c r="F13" s="59">
        <f ca="1"/>
        <v>0</v>
      </c>
      <c r="G13" s="59">
        <f ca="1"/>
        <v>0</v>
      </c>
      <c r="H13" s="59">
        <f ca="1"/>
        <v>0</v>
      </c>
      <c r="I13" s="59">
        <f ca="1"/>
        <v>0</v>
      </c>
      <c r="J13" s="59">
        <f ca="1"/>
        <v>0</v>
      </c>
      <c r="K13" s="59">
        <f ca="1"/>
        <v>0</v>
      </c>
      <c r="L13" s="59">
        <f ca="1"/>
        <v>3102</v>
      </c>
      <c r="M13" s="59">
        <f ca="1"/>
        <v>3102</v>
      </c>
      <c r="N13" s="59">
        <f ca="1"/>
        <v>3102</v>
      </c>
      <c r="O13" s="59">
        <f ca="1"/>
        <v>3102</v>
      </c>
      <c r="P13" s="59">
        <f ca="1"/>
        <v>3102</v>
      </c>
      <c r="Q13" s="59">
        <f ca="1"/>
        <v>3102</v>
      </c>
      <c r="R13" s="59">
        <f ca="1"/>
        <v>3102</v>
      </c>
      <c r="S13" s="59">
        <f ca="1"/>
        <v>3102</v>
      </c>
      <c r="T13" s="59">
        <f ca="1"/>
        <v>3102</v>
      </c>
      <c r="U13" s="59">
        <f ca="1"/>
        <v>3102</v>
      </c>
      <c r="V13" s="59">
        <f ca="1"/>
        <v>3102</v>
      </c>
      <c r="W13" s="59">
        <f ca="1"/>
        <v>3102</v>
      </c>
      <c r="X13" s="59">
        <f ca="1"/>
        <v>3102</v>
      </c>
      <c r="Y13" s="59">
        <f ca="1"/>
        <v>3102</v>
      </c>
      <c r="Z13" s="59">
        <f ca="1"/>
        <v>3102</v>
      </c>
      <c r="AA13" s="59">
        <f ca="1"/>
        <v>3102</v>
      </c>
      <c r="AB13" s="59">
        <f ca="1"/>
        <v>3102</v>
      </c>
      <c r="AC13" s="59">
        <f ca="1"/>
        <v>3102</v>
      </c>
      <c r="AD13" s="59">
        <f ca="1"/>
        <v>3102</v>
      </c>
      <c r="AE13" s="59">
        <f ca="1"/>
        <v>3102</v>
      </c>
      <c r="AF13" s="59">
        <f ca="1"/>
        <v>3102</v>
      </c>
      <c r="AG13" s="59">
        <f ca="1"/>
        <v>3102</v>
      </c>
      <c r="AH13" s="59">
        <f ca="1"/>
        <v>3102</v>
      </c>
      <c r="AI13" s="59">
        <f ca="1"/>
        <v>3102</v>
      </c>
      <c r="AJ13" s="59">
        <f ca="1"/>
        <v>3102</v>
      </c>
      <c r="AK13" s="59">
        <f ca="1"/>
        <v>3102</v>
      </c>
      <c r="AL13" s="59">
        <f ca="1"/>
        <v>3102</v>
      </c>
      <c r="AM13" s="59">
        <f ca="1"/>
        <v>3102</v>
      </c>
      <c r="AN13" s="59">
        <f ca="1"/>
        <v>3102</v>
      </c>
      <c r="AO13" s="59">
        <f ca="1"/>
        <v>3102</v>
      </c>
      <c r="AP13" s="59">
        <f ca="1"/>
        <v>3102</v>
      </c>
      <c r="AQ13" s="59">
        <f ca="1"/>
        <v>3102</v>
      </c>
      <c r="AR13" s="59">
        <f ca="1"/>
        <v>3102</v>
      </c>
      <c r="AS13" s="59">
        <f ca="1"/>
        <v>3102</v>
      </c>
      <c r="AT13" s="59">
        <f ca="1"/>
        <v>3102</v>
      </c>
      <c r="AU13" s="59">
        <f ca="1"/>
        <v>3102</v>
      </c>
      <c r="AV13" s="59">
        <f ca="1"/>
        <v>3102</v>
      </c>
      <c r="AW13" s="59">
        <f ca="1"/>
        <v>3102</v>
      </c>
      <c r="AX13" s="59">
        <f ca="1"/>
        <v>3102</v>
      </c>
      <c r="AY13" s="59">
        <f ca="1"/>
        <v>3102</v>
      </c>
      <c r="AZ13" s="59">
        <f ca="1"/>
        <v>3102</v>
      </c>
      <c r="BA13" s="59">
        <f ca="1"/>
        <v>3102</v>
      </c>
      <c r="BS13" s="5">
        <f t="shared" si="0"/>
        <v>0</v>
      </c>
      <c r="BT13" s="5" t="str">
        <f t="shared" si="1"/>
        <v>2029A_Allg4</v>
      </c>
      <c r="BU13">
        <v>2029</v>
      </c>
      <c r="BV13" t="s">
        <v>85</v>
      </c>
      <c r="BW13">
        <v>4</v>
      </c>
      <c r="BX13">
        <v>2</v>
      </c>
      <c r="BZ13">
        <f>8/12</f>
        <v>0.66666666666666663</v>
      </c>
      <c r="CD13" s="5" t="str">
        <f t="shared" ca="1" si="4"/>
        <v>Amy</v>
      </c>
      <c r="CE13" s="5" t="str">
        <f t="shared" ca="1" si="5"/>
        <v>Unterhaltskosten Leonard</v>
      </c>
      <c r="CF13" s="5" t="str">
        <f t="shared" ca="1" si="6"/>
        <v>Amy - Unterhaltskosten Leonard</v>
      </c>
      <c r="CG13" s="5"/>
    </row>
    <row r="14" spans="1:85" x14ac:dyDescent="0.25">
      <c r="A14" s="57" t="str">
        <f ca="1"/>
        <v>AHV-Ehepaarrente</v>
      </c>
      <c r="B14" s="57">
        <f ca="1"/>
        <v>7</v>
      </c>
      <c r="C14" s="53" t="str">
        <f ca="1"/>
        <v>-</v>
      </c>
      <c r="D14" s="54">
        <f ca="1"/>
        <v>0</v>
      </c>
      <c r="E14" s="54"/>
      <c r="F14" s="59">
        <f ca="1"/>
        <v>0</v>
      </c>
      <c r="G14" s="59">
        <f ca="1"/>
        <v>0</v>
      </c>
      <c r="H14" s="59">
        <f ca="1"/>
        <v>0</v>
      </c>
      <c r="I14" s="59">
        <f ca="1"/>
        <v>0</v>
      </c>
      <c r="J14" s="59">
        <f ca="1"/>
        <v>0</v>
      </c>
      <c r="K14" s="59">
        <f ca="1"/>
        <v>0</v>
      </c>
      <c r="L14" s="59">
        <f ca="1"/>
        <v>0</v>
      </c>
      <c r="M14" s="59">
        <f ca="1"/>
        <v>0</v>
      </c>
      <c r="N14" s="59">
        <f ca="1"/>
        <v>11025</v>
      </c>
      <c r="O14" s="59">
        <f ca="1"/>
        <v>44100</v>
      </c>
      <c r="P14" s="59">
        <f ca="1"/>
        <v>44100</v>
      </c>
      <c r="Q14" s="59">
        <f ca="1"/>
        <v>44100</v>
      </c>
      <c r="R14" s="59">
        <f ca="1"/>
        <v>44100</v>
      </c>
      <c r="S14" s="59">
        <f ca="1"/>
        <v>44100</v>
      </c>
      <c r="T14" s="59">
        <f ca="1"/>
        <v>44100</v>
      </c>
      <c r="U14" s="59">
        <f ca="1"/>
        <v>44100</v>
      </c>
      <c r="V14" s="59">
        <f ca="1"/>
        <v>44100</v>
      </c>
      <c r="W14" s="59">
        <f ca="1"/>
        <v>44100</v>
      </c>
      <c r="X14" s="59">
        <f ca="1"/>
        <v>44100</v>
      </c>
      <c r="Y14" s="59">
        <f ca="1"/>
        <v>44100</v>
      </c>
      <c r="Z14" s="59">
        <f ca="1"/>
        <v>44100</v>
      </c>
      <c r="AA14" s="59">
        <f ca="1"/>
        <v>44100</v>
      </c>
      <c r="AB14" s="59">
        <f ca="1"/>
        <v>44100</v>
      </c>
      <c r="AC14" s="59">
        <f ca="1"/>
        <v>44100</v>
      </c>
      <c r="AD14" s="59">
        <f ca="1"/>
        <v>44100</v>
      </c>
      <c r="AE14" s="59">
        <f ca="1"/>
        <v>44100</v>
      </c>
      <c r="AF14" s="59">
        <f ca="1"/>
        <v>44100</v>
      </c>
      <c r="AG14" s="59">
        <f ca="1"/>
        <v>44100</v>
      </c>
      <c r="AH14" s="59">
        <f ca="1"/>
        <v>44100</v>
      </c>
      <c r="AI14" s="59">
        <f ca="1"/>
        <v>44100</v>
      </c>
      <c r="AJ14" s="59">
        <f ca="1"/>
        <v>44100</v>
      </c>
      <c r="AK14" s="59">
        <f ca="1"/>
        <v>44100</v>
      </c>
      <c r="AL14" s="59">
        <f ca="1"/>
        <v>44100</v>
      </c>
      <c r="AM14" s="59">
        <f ca="1"/>
        <v>44100</v>
      </c>
      <c r="AN14" s="59">
        <f ca="1"/>
        <v>44100</v>
      </c>
      <c r="AO14" s="59">
        <f ca="1"/>
        <v>44100</v>
      </c>
      <c r="AP14" s="59">
        <f ca="1"/>
        <v>44100</v>
      </c>
      <c r="AQ14" s="59">
        <f ca="1"/>
        <v>44100</v>
      </c>
      <c r="AR14" s="59">
        <f ca="1"/>
        <v>44100</v>
      </c>
      <c r="AS14" s="59">
        <f ca="1"/>
        <v>44100</v>
      </c>
      <c r="AT14" s="59">
        <f ca="1"/>
        <v>44100</v>
      </c>
      <c r="AU14" s="59">
        <f ca="1"/>
        <v>44100</v>
      </c>
      <c r="AV14" s="59">
        <f ca="1"/>
        <v>44100</v>
      </c>
      <c r="AW14" s="59">
        <f ca="1"/>
        <v>44100</v>
      </c>
      <c r="AX14" s="59">
        <f ca="1"/>
        <v>44100</v>
      </c>
      <c r="AY14" s="59">
        <f ca="1"/>
        <v>44100</v>
      </c>
      <c r="AZ14" s="59">
        <f ca="1"/>
        <v>44100</v>
      </c>
      <c r="BA14" s="59">
        <f ca="1"/>
        <v>44100</v>
      </c>
      <c r="BS14" s="5">
        <f t="shared" si="0"/>
        <v>0</v>
      </c>
      <c r="BT14" s="5" t="str">
        <f t="shared" si="1"/>
        <v>2030A_Allg4</v>
      </c>
      <c r="BU14">
        <v>2030</v>
      </c>
      <c r="BV14" t="s">
        <v>85</v>
      </c>
      <c r="BW14">
        <v>4</v>
      </c>
      <c r="BX14">
        <v>1</v>
      </c>
      <c r="BY14" s="12">
        <v>0</v>
      </c>
      <c r="CD14" s="5" t="str">
        <f t="shared" ca="1" si="4"/>
        <v>Amy</v>
      </c>
      <c r="CE14" s="5" t="str">
        <f t="shared" ca="1" si="5"/>
        <v>Unterhaltskosten Leonard</v>
      </c>
      <c r="CF14" s="5" t="str">
        <f t="shared" ca="1" si="6"/>
        <v>Amy - Unterhaltskosten Leonard</v>
      </c>
      <c r="CG14" s="5"/>
    </row>
    <row r="15" spans="1:85" hidden="1" x14ac:dyDescent="0.25">
      <c r="A15" s="57"/>
      <c r="B15" s="57"/>
      <c r="C15" s="53"/>
      <c r="D15" s="54"/>
      <c r="E15" s="54"/>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S15" s="5">
        <f t="shared" si="0"/>
        <v>0</v>
      </c>
      <c r="BT15" s="5" t="str">
        <f t="shared" si="1"/>
        <v>2028V_Hypo1</v>
      </c>
      <c r="BU15">
        <v>2028</v>
      </c>
      <c r="BV15" t="s">
        <v>99</v>
      </c>
      <c r="BW15">
        <v>1</v>
      </c>
      <c r="BX15">
        <v>1</v>
      </c>
      <c r="BY15" s="12">
        <v>0</v>
      </c>
      <c r="CB15" t="s">
        <v>294</v>
      </c>
      <c r="CC15">
        <v>1</v>
      </c>
      <c r="CD15" s="5" t="str">
        <f t="shared" ca="1" si="4"/>
        <v>Amy</v>
      </c>
      <c r="CE15" s="5" t="str">
        <f t="shared" ca="1" si="5"/>
        <v>MigrosBank SARON</v>
      </c>
      <c r="CF15" s="5" t="str">
        <f t="shared" ca="1" si="6"/>
        <v>Amy - MigrosBank SARON - Erneuerung Hyporthek</v>
      </c>
      <c r="CG15" s="5"/>
    </row>
    <row r="16" spans="1:85" hidden="1" x14ac:dyDescent="0.25">
      <c r="A16" s="57"/>
      <c r="B16" s="57"/>
      <c r="C16" s="53"/>
      <c r="D16" s="54"/>
      <c r="E16" s="54"/>
      <c r="F16" s="59"/>
      <c r="G16" s="59"/>
      <c r="H16" s="59"/>
      <c r="I16" s="59"/>
      <c r="J16" s="59"/>
      <c r="K16" s="59"/>
      <c r="L16" s="59"/>
      <c r="M16" s="59"/>
      <c r="N16" s="59"/>
      <c r="O16" s="59"/>
      <c r="P16" s="59"/>
      <c r="Q16" s="59"/>
      <c r="R16" s="59"/>
      <c r="S16" s="59"/>
      <c r="T16" s="59"/>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S16" s="5">
        <f t="shared" si="0"/>
        <v>0</v>
      </c>
      <c r="BT16" s="5" t="str">
        <f t="shared" si="1"/>
        <v>2028V_Hypo5</v>
      </c>
      <c r="BU16">
        <v>2028</v>
      </c>
      <c r="BV16" t="s">
        <v>99</v>
      </c>
      <c r="BW16">
        <v>5</v>
      </c>
      <c r="BX16">
        <v>0</v>
      </c>
      <c r="CA16">
        <v>-180000</v>
      </c>
      <c r="CB16" t="s">
        <v>235</v>
      </c>
      <c r="CD16" s="5" t="str">
        <f t="shared" ca="1" si="4"/>
        <v>-</v>
      </c>
      <c r="CE16" s="5" t="str">
        <f t="shared" ca="1" si="5"/>
        <v>Nachfolgehypothek</v>
      </c>
      <c r="CF16" s="5" t="str">
        <f t="shared" ca="1" si="6"/>
        <v>- - Nachfolgehypothek - Erneuerung MigrosBank SARON</v>
      </c>
      <c r="CG16" s="5"/>
    </row>
    <row r="17" spans="1:85" hidden="1" x14ac:dyDescent="0.25">
      <c r="A17" s="57"/>
      <c r="B17" s="57"/>
      <c r="C17" s="53"/>
      <c r="D17" s="54"/>
      <c r="E17" s="54"/>
      <c r="F17" s="59"/>
      <c r="G17" s="59"/>
      <c r="H17" s="59"/>
      <c r="I17" s="59"/>
      <c r="J17" s="59"/>
      <c r="K17" s="59"/>
      <c r="L17" s="59"/>
      <c r="M17" s="59"/>
      <c r="N17" s="59"/>
      <c r="O17" s="59"/>
      <c r="P17" s="59"/>
      <c r="Q17" s="59"/>
      <c r="R17" s="59"/>
      <c r="S17" s="59"/>
      <c r="T17" s="59"/>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c r="BS17" s="5">
        <f t="shared" si="0"/>
        <v>0</v>
      </c>
      <c r="BT17" s="5" t="str">
        <f t="shared" si="1"/>
        <v>2027V_Hypo2</v>
      </c>
      <c r="BU17">
        <v>2027</v>
      </c>
      <c r="BV17" t="s">
        <v>99</v>
      </c>
      <c r="BW17">
        <v>2</v>
      </c>
      <c r="BX17">
        <v>1</v>
      </c>
      <c r="BY17" s="12">
        <v>0</v>
      </c>
      <c r="CB17" t="s">
        <v>294</v>
      </c>
      <c r="CC17">
        <v>1</v>
      </c>
      <c r="CD17" s="5" t="str">
        <f t="shared" ca="1" si="4"/>
        <v>Amy</v>
      </c>
      <c r="CE17" s="5" t="str">
        <f t="shared" ca="1" si="5"/>
        <v>MigrosBank Festhypo</v>
      </c>
      <c r="CF17" s="5" t="str">
        <f t="shared" ca="1" si="6"/>
        <v>Amy - MigrosBank Festhypo - Erneuerung Hyporthek</v>
      </c>
      <c r="CG17" s="5"/>
    </row>
    <row r="18" spans="1:85" hidden="1" x14ac:dyDescent="0.25">
      <c r="A18" s="34"/>
      <c r="B18" s="34"/>
      <c r="C18" s="34"/>
      <c r="D18" s="34"/>
      <c r="E18" s="34"/>
      <c r="F18" s="60"/>
      <c r="G18" s="60"/>
      <c r="H18" s="60"/>
      <c r="I18" s="60"/>
      <c r="J18" s="60"/>
      <c r="K18" s="60"/>
      <c r="L18" s="60"/>
      <c r="M18" s="60"/>
      <c r="N18" s="60"/>
      <c r="O18" s="60"/>
      <c r="P18" s="60"/>
      <c r="Q18" s="60"/>
      <c r="R18" s="60"/>
      <c r="S18" s="60"/>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S18" s="5">
        <f t="shared" si="0"/>
        <v>0</v>
      </c>
      <c r="BT18" s="5" t="str">
        <f t="shared" si="1"/>
        <v>2027V_Hypo5</v>
      </c>
      <c r="BU18">
        <v>2027</v>
      </c>
      <c r="BV18" t="s">
        <v>99</v>
      </c>
      <c r="BW18">
        <v>5</v>
      </c>
      <c r="BX18">
        <v>0</v>
      </c>
      <c r="CA18">
        <v>-200000</v>
      </c>
      <c r="CB18" t="s">
        <v>237</v>
      </c>
      <c r="CD18" s="5" t="str">
        <f t="shared" ca="1" si="4"/>
        <v>-</v>
      </c>
      <c r="CE18" s="5" t="str">
        <f t="shared" ca="1" si="5"/>
        <v>Nachfolgehypothek</v>
      </c>
      <c r="CF18" s="5" t="str">
        <f t="shared" ca="1" si="6"/>
        <v>- - Nachfolgehypothek - Erneuerung MigrosBank FestI</v>
      </c>
      <c r="CG18" s="5"/>
    </row>
    <row r="19" spans="1:85" hidden="1" x14ac:dyDescent="0.25">
      <c r="A19" s="57"/>
      <c r="B19" s="57"/>
      <c r="C19" s="53"/>
      <c r="D19" s="54"/>
      <c r="E19" s="54"/>
      <c r="F19" s="59"/>
      <c r="G19" s="59"/>
      <c r="H19" s="59"/>
      <c r="I19" s="59"/>
      <c r="J19" s="59"/>
      <c r="K19" s="59"/>
      <c r="L19" s="59"/>
      <c r="M19" s="59"/>
      <c r="N19" s="59"/>
      <c r="O19" s="59"/>
      <c r="P19" s="59"/>
      <c r="Q19" s="59"/>
      <c r="R19" s="59"/>
      <c r="S19" s="59"/>
      <c r="T19" s="59"/>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c r="AU19" s="59"/>
      <c r="AV19" s="59"/>
      <c r="AW19" s="59"/>
      <c r="AX19" s="59"/>
      <c r="AY19" s="59"/>
      <c r="AZ19" s="59"/>
      <c r="BA19" s="59"/>
      <c r="BS19" s="5">
        <f t="shared" si="0"/>
        <v>0</v>
      </c>
      <c r="BT19" s="5" t="str">
        <f t="shared" si="1"/>
        <v>2029V_Hypo3</v>
      </c>
      <c r="BU19">
        <v>2029</v>
      </c>
      <c r="BV19" t="s">
        <v>99</v>
      </c>
      <c r="BW19">
        <v>3</v>
      </c>
      <c r="BX19">
        <v>1</v>
      </c>
      <c r="BY19" s="12">
        <v>0</v>
      </c>
      <c r="CB19" t="s">
        <v>294</v>
      </c>
      <c r="CC19">
        <v>1</v>
      </c>
      <c r="CD19" s="5" t="str">
        <f t="shared" ca="1" si="4"/>
        <v>Amy</v>
      </c>
      <c r="CE19" s="5" t="str">
        <f t="shared" ca="1" si="5"/>
        <v>MigrosBank Festhypo II</v>
      </c>
      <c r="CF19" s="5" t="str">
        <f t="shared" ca="1" si="6"/>
        <v>Amy - MigrosBank Festhypo II - Erneuerung Hyporthek</v>
      </c>
      <c r="CG19" s="5"/>
    </row>
    <row r="20" spans="1:85" ht="27.75" customHeight="1" x14ac:dyDescent="0.25">
      <c r="A20" s="56" t="s">
        <v>84</v>
      </c>
      <c r="B20" s="57" t="s">
        <v>85</v>
      </c>
      <c r="C20" s="53"/>
      <c r="D20" s="54"/>
      <c r="E20" s="54"/>
      <c r="F20" s="58">
        <f ca="1">SUM(F21:F38)</f>
        <v>-140120</v>
      </c>
      <c r="G20" s="58">
        <f t="shared" ref="G20:BA20" ca="1" si="10">SUM(G21:G38)</f>
        <v>-160079.24838406133</v>
      </c>
      <c r="H20" s="58">
        <f t="shared" ca="1" si="10"/>
        <v>-161906.04463335837</v>
      </c>
      <c r="I20" s="58">
        <f t="shared" ca="1" si="10"/>
        <v>-165524.6674728847</v>
      </c>
      <c r="J20" s="58">
        <f t="shared" ca="1" si="10"/>
        <v>-166825.09103607514</v>
      </c>
      <c r="K20" s="58">
        <f t="shared" ca="1" si="10"/>
        <v>-180459.28579941057</v>
      </c>
      <c r="L20" s="58">
        <f t="shared" ca="1" si="10"/>
        <v>-210833.29514014936</v>
      </c>
      <c r="M20" s="58">
        <f t="shared" ca="1" si="10"/>
        <v>-154888.32412171329</v>
      </c>
      <c r="N20" s="58">
        <f t="shared" ca="1" si="10"/>
        <v>-135588.47143518509</v>
      </c>
      <c r="O20" s="58">
        <f t="shared" ca="1" si="10"/>
        <v>-134993.76309663989</v>
      </c>
      <c r="P20" s="58">
        <f t="shared" ca="1" si="10"/>
        <v>-138312.68205362689</v>
      </c>
      <c r="Q20" s="58">
        <f t="shared" ca="1" si="10"/>
        <v>-139619.4626866763</v>
      </c>
      <c r="R20" s="58">
        <f t="shared" ca="1" si="10"/>
        <v>-140928.01130815787</v>
      </c>
      <c r="S20" s="58">
        <f t="shared" ca="1" si="10"/>
        <v>-142241.99486994697</v>
      </c>
      <c r="T20" s="58">
        <f t="shared" ca="1" si="10"/>
        <v>-143555.59572935829</v>
      </c>
      <c r="U20" s="58">
        <f t="shared" ca="1" si="10"/>
        <v>-144874.61816763546</v>
      </c>
      <c r="V20" s="58">
        <f t="shared" ca="1" si="10"/>
        <v>-146197.85830047075</v>
      </c>
      <c r="W20" s="58">
        <f t="shared" ca="1" si="10"/>
        <v>-147519.94651957136</v>
      </c>
      <c r="X20" s="58">
        <f t="shared" ca="1" si="10"/>
        <v>-148851.70768155379</v>
      </c>
      <c r="Y20" s="58">
        <f t="shared" ca="1" si="10"/>
        <v>-150181.7187704113</v>
      </c>
      <c r="Z20" s="58">
        <f t="shared" ca="1" si="10"/>
        <v>-151509.71962421911</v>
      </c>
      <c r="AA20" s="58">
        <f t="shared" ca="1" si="10"/>
        <v>-152846.44024330855</v>
      </c>
      <c r="AB20" s="58">
        <f t="shared" ca="1" si="10"/>
        <v>-154180.50041445432</v>
      </c>
      <c r="AC20" s="58">
        <f t="shared" ca="1" si="10"/>
        <v>-155519.37016735648</v>
      </c>
      <c r="AD20" s="58">
        <f t="shared" ca="1" si="10"/>
        <v>-156868.84196621482</v>
      </c>
      <c r="AE20" s="58">
        <f t="shared" ca="1" si="10"/>
        <v>-158215.62854085906</v>
      </c>
      <c r="AF20" s="58">
        <f t="shared" ca="1" si="10"/>
        <v>-159558.54985064338</v>
      </c>
      <c r="AG20" s="58">
        <f t="shared" ca="1" si="10"/>
        <v>-160903.60298515478</v>
      </c>
      <c r="AH20" s="58">
        <f t="shared" ca="1" si="10"/>
        <v>-162249.94793709711</v>
      </c>
      <c r="AI20" s="58">
        <f t="shared" ca="1" si="10"/>
        <v>-163591.44951688184</v>
      </c>
      <c r="AJ20" s="58">
        <f t="shared" ca="1" si="10"/>
        <v>-164933.52337194982</v>
      </c>
      <c r="AK20" s="58">
        <f t="shared" ca="1" si="10"/>
        <v>-166275.74319154612</v>
      </c>
      <c r="AL20" s="58">
        <f t="shared" ca="1" si="10"/>
        <v>-167612.0609575506</v>
      </c>
      <c r="AM20" s="58">
        <f t="shared" ca="1" si="10"/>
        <v>-168941.34201386341</v>
      </c>
      <c r="AN20" s="58">
        <f t="shared" ca="1" si="10"/>
        <v>-170269.26364257029</v>
      </c>
      <c r="AO20" s="58">
        <f t="shared" ca="1" si="10"/>
        <v>-171614.1934305309</v>
      </c>
      <c r="AP20" s="58">
        <f t="shared" ca="1" si="10"/>
        <v>-172956.26410745614</v>
      </c>
      <c r="AQ20" s="58">
        <f t="shared" ca="1" si="10"/>
        <v>-174314.22993702063</v>
      </c>
      <c r="AR20" s="58">
        <f t="shared" ca="1" si="10"/>
        <v>-175705.97538995836</v>
      </c>
      <c r="AS20" s="58">
        <f t="shared" ca="1" si="10"/>
        <v>-177096.26296786449</v>
      </c>
      <c r="AT20" s="58">
        <f t="shared" ca="1" si="10"/>
        <v>-178477.82741224801</v>
      </c>
      <c r="AU20" s="58">
        <f t="shared" ca="1" si="10"/>
        <v>-179862.44634990889</v>
      </c>
      <c r="AV20" s="58">
        <f t="shared" ca="1" si="10"/>
        <v>-181251.673803716</v>
      </c>
      <c r="AW20" s="58">
        <f t="shared" ca="1" si="10"/>
        <v>-182708.23952492166</v>
      </c>
      <c r="AX20" s="58">
        <f t="shared" ca="1" si="10"/>
        <v>-184164.40729852705</v>
      </c>
      <c r="AY20" s="58">
        <f t="shared" ca="1" si="10"/>
        <v>-185638.12827965408</v>
      </c>
      <c r="AZ20" s="58">
        <f t="shared" ca="1" si="10"/>
        <v>-187033.7777666465</v>
      </c>
      <c r="BA20" s="58">
        <f t="shared" ca="1" si="10"/>
        <v>-188866.59475528769</v>
      </c>
      <c r="BS20" s="5">
        <f t="shared" si="0"/>
        <v>1</v>
      </c>
      <c r="BT20" s="5" t="str">
        <f t="shared" si="1"/>
        <v>2029V_Hypo5</v>
      </c>
      <c r="BU20">
        <v>2029</v>
      </c>
      <c r="BV20" t="s">
        <v>99</v>
      </c>
      <c r="BW20">
        <v>5</v>
      </c>
      <c r="BX20">
        <v>0</v>
      </c>
      <c r="CA20">
        <v>-200000</v>
      </c>
      <c r="CB20" t="s">
        <v>236</v>
      </c>
      <c r="CD20" s="5" t="str">
        <f t="shared" ca="1" si="4"/>
        <v>-</v>
      </c>
      <c r="CE20" s="5" t="str">
        <f t="shared" ca="1" si="5"/>
        <v>Nachfolgehypothek</v>
      </c>
      <c r="CF20" s="5" t="str">
        <f t="shared" ca="1" si="6"/>
        <v>- - Nachfolgehypothek - Erneuerung MigrosBank FestII</v>
      </c>
      <c r="CG20" s="5"/>
    </row>
    <row r="21" spans="1:85" x14ac:dyDescent="0.25">
      <c r="A21" s="57" t="str" cm="1">
        <f t="array" aca="1" ref="A21:A25" ca="1">INDIRECT($B20&amp;"[Titel]")</f>
        <v>Unterhaltskosten Leonard</v>
      </c>
      <c r="B21" s="57" cm="1">
        <f t="array" aca="1" ref="B21:B25" ca="1">INDIRECT($B20&amp;"[Id]")</f>
        <v>4</v>
      </c>
      <c r="C21" s="53" t="str" cm="1">
        <f t="array" aca="1" ref="C21:C25" ca="1">INDIRECT($B20&amp;"[Zugehörigkeit Bezeichnung]")</f>
        <v>Amy</v>
      </c>
      <c r="D21" s="54" cm="1">
        <f t="array" aca="1" ref="D21:D25" ca="1">INDIRECT($B20&amp;"[Rendite / Zins]")</f>
        <v>0</v>
      </c>
      <c r="E21" s="54"/>
      <c r="F21" s="59" cm="1">
        <f t="array" aca="1" ref="F21:F25" ca="1">INDIRECT($B20&amp;"[Betrag]")</f>
        <v>-12000</v>
      </c>
      <c r="G21" s="59" cm="1">
        <f t="array" aca="1" ref="G21:G25" ca="1">_xlfn.SWITCH(IFERROR(VLOOKUP(G$3&amp;$B$20&amp;_xlfn.ANCHORARRAY($B21),$BT:$CA,5,0),0),
0,_xlfn.ANCHORARRAY(F21)*(1+_xlfn.ANCHORARRAY($D21))+SUMIF($BT:$BT,G$3&amp;$B$20&amp;_xlfn.ANCHORARRAY($B21),$CA:$CA),
1,VLOOKUP(G$3&amp;$B$20&amp;_xlfn.ANCHORARRAY($B21),$BT:$CA,6,0),
2,_xlfn.ANCHORARRAY(F21)*(1+_xlfn.ANCHORARRAY($D21))*VLOOKUP(G$3&amp;$B$20&amp;_xlfn.ANCHORARRAY($B21),$BT:$CA,7,0))</f>
        <v>-12000</v>
      </c>
      <c r="H21" s="59" cm="1">
        <f t="array" aca="1" ref="H21:H25" ca="1">_xlfn.SWITCH(IFERROR(VLOOKUP(H$3&amp;$B$20&amp;_xlfn.ANCHORARRAY($B21),$BT:$CA,5,0),0),
0,_xlfn.ANCHORARRAY(G21)*(1+_xlfn.ANCHORARRAY($D21))+SUMIF($BT:$BT,H$3&amp;$B$20&amp;_xlfn.ANCHORARRAY($B21),$CA:$CA),
1,VLOOKUP(H$3&amp;$B$20&amp;_xlfn.ANCHORARRAY($B21),$BT:$CA,6,0),
2,_xlfn.ANCHORARRAY(G21)*(1+_xlfn.ANCHORARRAY($D21))*VLOOKUP(H$3&amp;$B$20&amp;_xlfn.ANCHORARRAY($B21),$BT:$CA,7,0))</f>
        <v>-12000</v>
      </c>
      <c r="I21" s="59" cm="1">
        <f t="array" aca="1" ref="I21:I25" ca="1">_xlfn.SWITCH(IFERROR(VLOOKUP(I$3&amp;$B$20&amp;_xlfn.ANCHORARRAY($B21),$BT:$CA,5,0),0),
0,_xlfn.ANCHORARRAY(H21)*(1+_xlfn.ANCHORARRAY($D21))+SUMIF($BT:$BT,I$3&amp;$B$20&amp;_xlfn.ANCHORARRAY($B21),$CA:$CA),
1,VLOOKUP(I$3&amp;$B$20&amp;_xlfn.ANCHORARRAY($B21),$BT:$CA,6,0),
2,_xlfn.ANCHORARRAY(H21)*(1+_xlfn.ANCHORARRAY($D21))*VLOOKUP(I$3&amp;$B$20&amp;_xlfn.ANCHORARRAY($B21),$BT:$CA,7,0))</f>
        <v>-12000</v>
      </c>
      <c r="J21" s="59" cm="1">
        <f t="array" aca="1" ref="J21:J25" ca="1">_xlfn.SWITCH(IFERROR(VLOOKUP(J$3&amp;$B$20&amp;_xlfn.ANCHORARRAY($B21),$BT:$CA,5,0),0),
0,_xlfn.ANCHORARRAY(I21)*(1+_xlfn.ANCHORARRAY($D21))+SUMIF($BT:$BT,J$3&amp;$B$20&amp;_xlfn.ANCHORARRAY($B21),$CA:$CA),
1,VLOOKUP(J$3&amp;$B$20&amp;_xlfn.ANCHORARRAY($B21),$BT:$CA,6,0),
2,_xlfn.ANCHORARRAY(I21)*(1+_xlfn.ANCHORARRAY($D21))*VLOOKUP(J$3&amp;$B$20&amp;_xlfn.ANCHORARRAY($B21),$BT:$CA,7,0))</f>
        <v>-12000</v>
      </c>
      <c r="K21" s="59" cm="1">
        <f t="array" aca="1" ref="K21:K25" ca="1">_xlfn.SWITCH(IFERROR(VLOOKUP(K$3&amp;$B$20&amp;_xlfn.ANCHORARRAY($B21),$BT:$CA,5,0),0),
0,_xlfn.ANCHORARRAY(J21)*(1+_xlfn.ANCHORARRAY($D21))+SUMIF($BT:$BT,K$3&amp;$B$20&amp;_xlfn.ANCHORARRAY($B21),$CA:$CA),
1,VLOOKUP(K$3&amp;$B$20&amp;_xlfn.ANCHORARRAY($B21),$BT:$CA,6,0),
2,_xlfn.ANCHORARRAY(J21)*(1+_xlfn.ANCHORARRAY($D21))*VLOOKUP(K$3&amp;$B$20&amp;_xlfn.ANCHORARRAY($B21),$BT:$CA,7,0))</f>
        <v>-8000</v>
      </c>
      <c r="L21" s="59" cm="1">
        <f t="array" aca="1" ref="L21:L25" ca="1">_xlfn.SWITCH(IFERROR(VLOOKUP(L$3&amp;$B$20&amp;_xlfn.ANCHORARRAY($B21),$BT:$CA,5,0),0),
0,_xlfn.ANCHORARRAY(K21)*(1+_xlfn.ANCHORARRAY($D21))+SUMIF($BT:$BT,L$3&amp;$B$20&amp;_xlfn.ANCHORARRAY($B21),$CA:$CA),
1,VLOOKUP(L$3&amp;$B$20&amp;_xlfn.ANCHORARRAY($B21),$BT:$CA,6,0),
2,_xlfn.ANCHORARRAY(K21)*(1+_xlfn.ANCHORARRAY($D21))*VLOOKUP(L$3&amp;$B$20&amp;_xlfn.ANCHORARRAY($B21),$BT:$CA,7,0))</f>
        <v>0</v>
      </c>
      <c r="M21" s="59" cm="1">
        <f t="array" aca="1" ref="M21:M25" ca="1">_xlfn.SWITCH(IFERROR(VLOOKUP(M$3&amp;$B$20&amp;_xlfn.ANCHORARRAY($B21),$BT:$CA,5,0),0),
0,_xlfn.ANCHORARRAY(L21)*(1+_xlfn.ANCHORARRAY($D21))+SUMIF($BT:$BT,M$3&amp;$B$20&amp;_xlfn.ANCHORARRAY($B21),$CA:$CA),
1,VLOOKUP(M$3&amp;$B$20&amp;_xlfn.ANCHORARRAY($B21),$BT:$CA,6,0),
2,_xlfn.ANCHORARRAY(L21)*(1+_xlfn.ANCHORARRAY($D21))*VLOOKUP(M$3&amp;$B$20&amp;_xlfn.ANCHORARRAY($B21),$BT:$CA,7,0))</f>
        <v>0</v>
      </c>
      <c r="N21" s="59" cm="1">
        <f t="array" aca="1" ref="N21:N25" ca="1">_xlfn.SWITCH(IFERROR(VLOOKUP(N$3&amp;$B$20&amp;_xlfn.ANCHORARRAY($B21),$BT:$CA,5,0),0),
0,_xlfn.ANCHORARRAY(M21)*(1+_xlfn.ANCHORARRAY($D21))+SUMIF($BT:$BT,N$3&amp;$B$20&amp;_xlfn.ANCHORARRAY($B21),$CA:$CA),
1,VLOOKUP(N$3&amp;$B$20&amp;_xlfn.ANCHORARRAY($B21),$BT:$CA,6,0),
2,_xlfn.ANCHORARRAY(M21)*(1+_xlfn.ANCHORARRAY($D21))*VLOOKUP(N$3&amp;$B$20&amp;_xlfn.ANCHORARRAY($B21),$BT:$CA,7,0))</f>
        <v>0</v>
      </c>
      <c r="O21" s="59" cm="1">
        <f t="array" aca="1" ref="O21:O25" ca="1">_xlfn.SWITCH(IFERROR(VLOOKUP(O$3&amp;$B$20&amp;_xlfn.ANCHORARRAY($B21),$BT:$CA,5,0),0),
0,_xlfn.ANCHORARRAY(N21)*(1+_xlfn.ANCHORARRAY($D21))+SUMIF($BT:$BT,O$3&amp;$B$20&amp;_xlfn.ANCHORARRAY($B21),$CA:$CA),
1,VLOOKUP(O$3&amp;$B$20&amp;_xlfn.ANCHORARRAY($B21),$BT:$CA,6,0),
2,_xlfn.ANCHORARRAY(N21)*(1+_xlfn.ANCHORARRAY($D21))*VLOOKUP(O$3&amp;$B$20&amp;_xlfn.ANCHORARRAY($B21),$BT:$CA,7,0))</f>
        <v>0</v>
      </c>
      <c r="P21" s="59" cm="1">
        <f t="array" aca="1" ref="P21:P25" ca="1">_xlfn.SWITCH(IFERROR(VLOOKUP(P$3&amp;$B$20&amp;_xlfn.ANCHORARRAY($B21),$BT:$CA,5,0),0),
0,_xlfn.ANCHORARRAY(O21)*(1+_xlfn.ANCHORARRAY($D21))+SUMIF($BT:$BT,P$3&amp;$B$20&amp;_xlfn.ANCHORARRAY($B21),$CA:$CA),
1,VLOOKUP(P$3&amp;$B$20&amp;_xlfn.ANCHORARRAY($B21),$BT:$CA,6,0),
2,_xlfn.ANCHORARRAY(O21)*(1+_xlfn.ANCHORARRAY($D21))*VLOOKUP(P$3&amp;$B$20&amp;_xlfn.ANCHORARRAY($B21),$BT:$CA,7,0))</f>
        <v>0</v>
      </c>
      <c r="Q21" s="59" cm="1">
        <f t="array" aca="1" ref="Q21:Q25" ca="1">_xlfn.SWITCH(IFERROR(VLOOKUP(Q$3&amp;$B$20&amp;_xlfn.ANCHORARRAY($B21),$BT:$CA,5,0),0),
0,_xlfn.ANCHORARRAY(P21)*(1+_xlfn.ANCHORARRAY($D21))+SUMIF($BT:$BT,Q$3&amp;$B$20&amp;_xlfn.ANCHORARRAY($B21),$CA:$CA),
1,VLOOKUP(Q$3&amp;$B$20&amp;_xlfn.ANCHORARRAY($B21),$BT:$CA,6,0),
2,_xlfn.ANCHORARRAY(P21)*(1+_xlfn.ANCHORARRAY($D21))*VLOOKUP(Q$3&amp;$B$20&amp;_xlfn.ANCHORARRAY($B21),$BT:$CA,7,0))</f>
        <v>0</v>
      </c>
      <c r="R21" s="59" cm="1">
        <f t="array" aca="1" ref="R21:R25" ca="1">_xlfn.SWITCH(IFERROR(VLOOKUP(R$3&amp;$B$20&amp;_xlfn.ANCHORARRAY($B21),$BT:$CA,5,0),0),
0,_xlfn.ANCHORARRAY(Q21)*(1+_xlfn.ANCHORARRAY($D21))+SUMIF($BT:$BT,R$3&amp;$B$20&amp;_xlfn.ANCHORARRAY($B21),$CA:$CA),
1,VLOOKUP(R$3&amp;$B$20&amp;_xlfn.ANCHORARRAY($B21),$BT:$CA,6,0),
2,_xlfn.ANCHORARRAY(Q21)*(1+_xlfn.ANCHORARRAY($D21))*VLOOKUP(R$3&amp;$B$20&amp;_xlfn.ANCHORARRAY($B21),$BT:$CA,7,0))</f>
        <v>0</v>
      </c>
      <c r="S21" s="59" cm="1">
        <f t="array" aca="1" ref="S21:S25" ca="1">_xlfn.SWITCH(IFERROR(VLOOKUP(S$3&amp;$B$20&amp;_xlfn.ANCHORARRAY($B21),$BT:$CA,5,0),0),
0,_xlfn.ANCHORARRAY(R21)*(1+_xlfn.ANCHORARRAY($D21))+SUMIF($BT:$BT,S$3&amp;$B$20&amp;_xlfn.ANCHORARRAY($B21),$CA:$CA),
1,VLOOKUP(S$3&amp;$B$20&amp;_xlfn.ANCHORARRAY($B21),$BT:$CA,6,0),
2,_xlfn.ANCHORARRAY(R21)*(1+_xlfn.ANCHORARRAY($D21))*VLOOKUP(S$3&amp;$B$20&amp;_xlfn.ANCHORARRAY($B21),$BT:$CA,7,0))</f>
        <v>0</v>
      </c>
      <c r="T21" s="59" cm="1">
        <f t="array" aca="1" ref="T21:T25" ca="1">_xlfn.SWITCH(IFERROR(VLOOKUP(T$3&amp;$B$20&amp;_xlfn.ANCHORARRAY($B21),$BT:$CA,5,0),0),
0,_xlfn.ANCHORARRAY(S21)*(1+_xlfn.ANCHORARRAY($D21))+SUMIF($BT:$BT,T$3&amp;$B$20&amp;_xlfn.ANCHORARRAY($B21),$CA:$CA),
1,VLOOKUP(T$3&amp;$B$20&amp;_xlfn.ANCHORARRAY($B21),$BT:$CA,6,0),
2,_xlfn.ANCHORARRAY(S21)*(1+_xlfn.ANCHORARRAY($D21))*VLOOKUP(T$3&amp;$B$20&amp;_xlfn.ANCHORARRAY($B21),$BT:$CA,7,0))</f>
        <v>0</v>
      </c>
      <c r="U21" s="59" cm="1">
        <f t="array" aca="1" ref="U21:U25" ca="1">_xlfn.SWITCH(IFERROR(VLOOKUP(U$3&amp;$B$20&amp;_xlfn.ANCHORARRAY($B21),$BT:$CA,5,0),0),
0,_xlfn.ANCHORARRAY(T21)*(1+_xlfn.ANCHORARRAY($D21))+SUMIF($BT:$BT,U$3&amp;$B$20&amp;_xlfn.ANCHORARRAY($B21),$CA:$CA),
1,VLOOKUP(U$3&amp;$B$20&amp;_xlfn.ANCHORARRAY($B21),$BT:$CA,6,0),
2,_xlfn.ANCHORARRAY(T21)*(1+_xlfn.ANCHORARRAY($D21))*VLOOKUP(U$3&amp;$B$20&amp;_xlfn.ANCHORARRAY($B21),$BT:$CA,7,0))</f>
        <v>0</v>
      </c>
      <c r="V21" s="59" cm="1">
        <f t="array" aca="1" ref="V21:V25" ca="1">_xlfn.SWITCH(IFERROR(VLOOKUP(V$3&amp;$B$20&amp;_xlfn.ANCHORARRAY($B21),$BT:$CA,5,0),0),
0,_xlfn.ANCHORARRAY(U21)*(1+_xlfn.ANCHORARRAY($D21))+SUMIF($BT:$BT,V$3&amp;$B$20&amp;_xlfn.ANCHORARRAY($B21),$CA:$CA),
1,VLOOKUP(V$3&amp;$B$20&amp;_xlfn.ANCHORARRAY($B21),$BT:$CA,6,0),
2,_xlfn.ANCHORARRAY(U21)*(1+_xlfn.ANCHORARRAY($D21))*VLOOKUP(V$3&amp;$B$20&amp;_xlfn.ANCHORARRAY($B21),$BT:$CA,7,0))</f>
        <v>0</v>
      </c>
      <c r="W21" s="59" cm="1">
        <f t="array" aca="1" ref="W21:W25" ca="1">_xlfn.SWITCH(IFERROR(VLOOKUP(W$3&amp;$B$20&amp;_xlfn.ANCHORARRAY($B21),$BT:$CA,5,0),0),
0,_xlfn.ANCHORARRAY(V21)*(1+_xlfn.ANCHORARRAY($D21))+SUMIF($BT:$BT,W$3&amp;$B$20&amp;_xlfn.ANCHORARRAY($B21),$CA:$CA),
1,VLOOKUP(W$3&amp;$B$20&amp;_xlfn.ANCHORARRAY($B21),$BT:$CA,6,0),
2,_xlfn.ANCHORARRAY(V21)*(1+_xlfn.ANCHORARRAY($D21))*VLOOKUP(W$3&amp;$B$20&amp;_xlfn.ANCHORARRAY($B21),$BT:$CA,7,0))</f>
        <v>0</v>
      </c>
      <c r="X21" s="59" cm="1">
        <f t="array" aca="1" ref="X21:X25" ca="1">_xlfn.SWITCH(IFERROR(VLOOKUP(X$3&amp;$B$20&amp;_xlfn.ANCHORARRAY($B21),$BT:$CA,5,0),0),
0,_xlfn.ANCHORARRAY(W21)*(1+_xlfn.ANCHORARRAY($D21))+SUMIF($BT:$BT,X$3&amp;$B$20&amp;_xlfn.ANCHORARRAY($B21),$CA:$CA),
1,VLOOKUP(X$3&amp;$B$20&amp;_xlfn.ANCHORARRAY($B21),$BT:$CA,6,0),
2,_xlfn.ANCHORARRAY(W21)*(1+_xlfn.ANCHORARRAY($D21))*VLOOKUP(X$3&amp;$B$20&amp;_xlfn.ANCHORARRAY($B21),$BT:$CA,7,0))</f>
        <v>0</v>
      </c>
      <c r="Y21" s="59" cm="1">
        <f t="array" aca="1" ref="Y21:Y25" ca="1">_xlfn.SWITCH(IFERROR(VLOOKUP(Y$3&amp;$B$20&amp;_xlfn.ANCHORARRAY($B21),$BT:$CA,5,0),0),
0,_xlfn.ANCHORARRAY(X21)*(1+_xlfn.ANCHORARRAY($D21))+SUMIF($BT:$BT,Y$3&amp;$B$20&amp;_xlfn.ANCHORARRAY($B21),$CA:$CA),
1,VLOOKUP(Y$3&amp;$B$20&amp;_xlfn.ANCHORARRAY($B21),$BT:$CA,6,0),
2,_xlfn.ANCHORARRAY(X21)*(1+_xlfn.ANCHORARRAY($D21))*VLOOKUP(Y$3&amp;$B$20&amp;_xlfn.ANCHORARRAY($B21),$BT:$CA,7,0))</f>
        <v>0</v>
      </c>
      <c r="Z21" s="59" cm="1">
        <f t="array" aca="1" ref="Z21:Z25" ca="1">_xlfn.SWITCH(IFERROR(VLOOKUP(Z$3&amp;$B$20&amp;_xlfn.ANCHORARRAY($B21),$BT:$CA,5,0),0),
0,_xlfn.ANCHORARRAY(Y21)*(1+_xlfn.ANCHORARRAY($D21))+SUMIF($BT:$BT,Z$3&amp;$B$20&amp;_xlfn.ANCHORARRAY($B21),$CA:$CA),
1,VLOOKUP(Z$3&amp;$B$20&amp;_xlfn.ANCHORARRAY($B21),$BT:$CA,6,0),
2,_xlfn.ANCHORARRAY(Y21)*(1+_xlfn.ANCHORARRAY($D21))*VLOOKUP(Z$3&amp;$B$20&amp;_xlfn.ANCHORARRAY($B21),$BT:$CA,7,0))</f>
        <v>0</v>
      </c>
      <c r="AA21" s="59" cm="1">
        <f t="array" aca="1" ref="AA21:AA25" ca="1">_xlfn.SWITCH(IFERROR(VLOOKUP(AA$3&amp;$B$20&amp;_xlfn.ANCHORARRAY($B21),$BT:$CA,5,0),0),
0,_xlfn.ANCHORARRAY(Z21)*(1+_xlfn.ANCHORARRAY($D21))+SUMIF($BT:$BT,AA$3&amp;$B$20&amp;_xlfn.ANCHORARRAY($B21),$CA:$CA),
1,VLOOKUP(AA$3&amp;$B$20&amp;_xlfn.ANCHORARRAY($B21),$BT:$CA,6,0),
2,_xlfn.ANCHORARRAY(Z21)*(1+_xlfn.ANCHORARRAY($D21))*VLOOKUP(AA$3&amp;$B$20&amp;_xlfn.ANCHORARRAY($B21),$BT:$CA,7,0))</f>
        <v>0</v>
      </c>
      <c r="AB21" s="59" cm="1">
        <f t="array" aca="1" ref="AB21:AB25" ca="1">_xlfn.SWITCH(IFERROR(VLOOKUP(AB$3&amp;$B$20&amp;_xlfn.ANCHORARRAY($B21),$BT:$CA,5,0),0),
0,_xlfn.ANCHORARRAY(AA21)*(1+_xlfn.ANCHORARRAY($D21))+SUMIF($BT:$BT,AB$3&amp;$B$20&amp;_xlfn.ANCHORARRAY($B21),$CA:$CA),
1,VLOOKUP(AB$3&amp;$B$20&amp;_xlfn.ANCHORARRAY($B21),$BT:$CA,6,0),
2,_xlfn.ANCHORARRAY(AA21)*(1+_xlfn.ANCHORARRAY($D21))*VLOOKUP(AB$3&amp;$B$20&amp;_xlfn.ANCHORARRAY($B21),$BT:$CA,7,0))</f>
        <v>0</v>
      </c>
      <c r="AC21" s="59" cm="1">
        <f t="array" aca="1" ref="AC21:AC25" ca="1">_xlfn.SWITCH(IFERROR(VLOOKUP(AC$3&amp;$B$20&amp;_xlfn.ANCHORARRAY($B21),$BT:$CA,5,0),0),
0,_xlfn.ANCHORARRAY(AB21)*(1+_xlfn.ANCHORARRAY($D21))+SUMIF($BT:$BT,AC$3&amp;$B$20&amp;_xlfn.ANCHORARRAY($B21),$CA:$CA),
1,VLOOKUP(AC$3&amp;$B$20&amp;_xlfn.ANCHORARRAY($B21),$BT:$CA,6,0),
2,_xlfn.ANCHORARRAY(AB21)*(1+_xlfn.ANCHORARRAY($D21))*VLOOKUP(AC$3&amp;$B$20&amp;_xlfn.ANCHORARRAY($B21),$BT:$CA,7,0))</f>
        <v>0</v>
      </c>
      <c r="AD21" s="59" cm="1">
        <f t="array" aca="1" ref="AD21:AD25" ca="1">_xlfn.SWITCH(IFERROR(VLOOKUP(AD$3&amp;$B$20&amp;_xlfn.ANCHORARRAY($B21),$BT:$CA,5,0),0),
0,_xlfn.ANCHORARRAY(AC21)*(1+_xlfn.ANCHORARRAY($D21))+SUMIF($BT:$BT,AD$3&amp;$B$20&amp;_xlfn.ANCHORARRAY($B21),$CA:$CA),
1,VLOOKUP(AD$3&amp;$B$20&amp;_xlfn.ANCHORARRAY($B21),$BT:$CA,6,0),
2,_xlfn.ANCHORARRAY(AC21)*(1+_xlfn.ANCHORARRAY($D21))*VLOOKUP(AD$3&amp;$B$20&amp;_xlfn.ANCHORARRAY($B21),$BT:$CA,7,0))</f>
        <v>0</v>
      </c>
      <c r="AE21" s="59" cm="1">
        <f t="array" aca="1" ref="AE21:AE25" ca="1">_xlfn.SWITCH(IFERROR(VLOOKUP(AE$3&amp;$B$20&amp;_xlfn.ANCHORARRAY($B21),$BT:$CA,5,0),0),
0,_xlfn.ANCHORARRAY(AD21)*(1+_xlfn.ANCHORARRAY($D21))+SUMIF($BT:$BT,AE$3&amp;$B$20&amp;_xlfn.ANCHORARRAY($B21),$CA:$CA),
1,VLOOKUP(AE$3&amp;$B$20&amp;_xlfn.ANCHORARRAY($B21),$BT:$CA,6,0),
2,_xlfn.ANCHORARRAY(AD21)*(1+_xlfn.ANCHORARRAY($D21))*VLOOKUP(AE$3&amp;$B$20&amp;_xlfn.ANCHORARRAY($B21),$BT:$CA,7,0))</f>
        <v>0</v>
      </c>
      <c r="AF21" s="59" cm="1">
        <f t="array" aca="1" ref="AF21:AF25" ca="1">_xlfn.SWITCH(IFERROR(VLOOKUP(AF$3&amp;$B$20&amp;_xlfn.ANCHORARRAY($B21),$BT:$CA,5,0),0),
0,_xlfn.ANCHORARRAY(AE21)*(1+_xlfn.ANCHORARRAY($D21))+SUMIF($BT:$BT,AF$3&amp;$B$20&amp;_xlfn.ANCHORARRAY($B21),$CA:$CA),
1,VLOOKUP(AF$3&amp;$B$20&amp;_xlfn.ANCHORARRAY($B21),$BT:$CA,6,0),
2,_xlfn.ANCHORARRAY(AE21)*(1+_xlfn.ANCHORARRAY($D21))*VLOOKUP(AF$3&amp;$B$20&amp;_xlfn.ANCHORARRAY($B21),$BT:$CA,7,0))</f>
        <v>0</v>
      </c>
      <c r="AG21" s="59" cm="1">
        <f t="array" aca="1" ref="AG21:AG25" ca="1">_xlfn.SWITCH(IFERROR(VLOOKUP(AG$3&amp;$B$20&amp;_xlfn.ANCHORARRAY($B21),$BT:$CA,5,0),0),
0,_xlfn.ANCHORARRAY(AF21)*(1+_xlfn.ANCHORARRAY($D21))+SUMIF($BT:$BT,AG$3&amp;$B$20&amp;_xlfn.ANCHORARRAY($B21),$CA:$CA),
1,VLOOKUP(AG$3&amp;$B$20&amp;_xlfn.ANCHORARRAY($B21),$BT:$CA,6,0),
2,_xlfn.ANCHORARRAY(AF21)*(1+_xlfn.ANCHORARRAY($D21))*VLOOKUP(AG$3&amp;$B$20&amp;_xlfn.ANCHORARRAY($B21),$BT:$CA,7,0))</f>
        <v>0</v>
      </c>
      <c r="AH21" s="59" cm="1">
        <f t="array" aca="1" ref="AH21:AH25" ca="1">_xlfn.SWITCH(IFERROR(VLOOKUP(AH$3&amp;$B$20&amp;_xlfn.ANCHORARRAY($B21),$BT:$CA,5,0),0),
0,_xlfn.ANCHORARRAY(AG21)*(1+_xlfn.ANCHORARRAY($D21))+SUMIF($BT:$BT,AH$3&amp;$B$20&amp;_xlfn.ANCHORARRAY($B21),$CA:$CA),
1,VLOOKUP(AH$3&amp;$B$20&amp;_xlfn.ANCHORARRAY($B21),$BT:$CA,6,0),
2,_xlfn.ANCHORARRAY(AG21)*(1+_xlfn.ANCHORARRAY($D21))*VLOOKUP(AH$3&amp;$B$20&amp;_xlfn.ANCHORARRAY($B21),$BT:$CA,7,0))</f>
        <v>0</v>
      </c>
      <c r="AI21" s="59" cm="1">
        <f t="array" aca="1" ref="AI21:AI25" ca="1">_xlfn.SWITCH(IFERROR(VLOOKUP(AI$3&amp;$B$20&amp;_xlfn.ANCHORARRAY($B21),$BT:$CA,5,0),0),
0,_xlfn.ANCHORARRAY(AH21)*(1+_xlfn.ANCHORARRAY($D21))+SUMIF($BT:$BT,AI$3&amp;$B$20&amp;_xlfn.ANCHORARRAY($B21),$CA:$CA),
1,VLOOKUP(AI$3&amp;$B$20&amp;_xlfn.ANCHORARRAY($B21),$BT:$CA,6,0),
2,_xlfn.ANCHORARRAY(AH21)*(1+_xlfn.ANCHORARRAY($D21))*VLOOKUP(AI$3&amp;$B$20&amp;_xlfn.ANCHORARRAY($B21),$BT:$CA,7,0))</f>
        <v>0</v>
      </c>
      <c r="AJ21" s="59" cm="1">
        <f t="array" aca="1" ref="AJ21:AJ25" ca="1">_xlfn.SWITCH(IFERROR(VLOOKUP(AJ$3&amp;$B$20&amp;_xlfn.ANCHORARRAY($B21),$BT:$CA,5,0),0),
0,_xlfn.ANCHORARRAY(AI21)*(1+_xlfn.ANCHORARRAY($D21))+SUMIF($BT:$BT,AJ$3&amp;$B$20&amp;_xlfn.ANCHORARRAY($B21),$CA:$CA),
1,VLOOKUP(AJ$3&amp;$B$20&amp;_xlfn.ANCHORARRAY($B21),$BT:$CA,6,0),
2,_xlfn.ANCHORARRAY(AI21)*(1+_xlfn.ANCHORARRAY($D21))*VLOOKUP(AJ$3&amp;$B$20&amp;_xlfn.ANCHORARRAY($B21),$BT:$CA,7,0))</f>
        <v>0</v>
      </c>
      <c r="AK21" s="59" cm="1">
        <f t="array" aca="1" ref="AK21:AK25" ca="1">_xlfn.SWITCH(IFERROR(VLOOKUP(AK$3&amp;$B$20&amp;_xlfn.ANCHORARRAY($B21),$BT:$CA,5,0),0),
0,_xlfn.ANCHORARRAY(AJ21)*(1+_xlfn.ANCHORARRAY($D21))+SUMIF($BT:$BT,AK$3&amp;$B$20&amp;_xlfn.ANCHORARRAY($B21),$CA:$CA),
1,VLOOKUP(AK$3&amp;$B$20&amp;_xlfn.ANCHORARRAY($B21),$BT:$CA,6,0),
2,_xlfn.ANCHORARRAY(AJ21)*(1+_xlfn.ANCHORARRAY($D21))*VLOOKUP(AK$3&amp;$B$20&amp;_xlfn.ANCHORARRAY($B21),$BT:$CA,7,0))</f>
        <v>0</v>
      </c>
      <c r="AL21" s="59" cm="1">
        <f t="array" aca="1" ref="AL21:AL25" ca="1">_xlfn.SWITCH(IFERROR(VLOOKUP(AL$3&amp;$B$20&amp;_xlfn.ANCHORARRAY($B21),$BT:$CA,5,0),0),
0,_xlfn.ANCHORARRAY(AK21)*(1+_xlfn.ANCHORARRAY($D21))+SUMIF($BT:$BT,AL$3&amp;$B$20&amp;_xlfn.ANCHORARRAY($B21),$CA:$CA),
1,VLOOKUP(AL$3&amp;$B$20&amp;_xlfn.ANCHORARRAY($B21),$BT:$CA,6,0),
2,_xlfn.ANCHORARRAY(AK21)*(1+_xlfn.ANCHORARRAY($D21))*VLOOKUP(AL$3&amp;$B$20&amp;_xlfn.ANCHORARRAY($B21),$BT:$CA,7,0))</f>
        <v>0</v>
      </c>
      <c r="AM21" s="59" cm="1">
        <f t="array" aca="1" ref="AM21:AM25" ca="1">_xlfn.SWITCH(IFERROR(VLOOKUP(AM$3&amp;$B$20&amp;_xlfn.ANCHORARRAY($B21),$BT:$CA,5,0),0),
0,_xlfn.ANCHORARRAY(AL21)*(1+_xlfn.ANCHORARRAY($D21))+SUMIF($BT:$BT,AM$3&amp;$B$20&amp;_xlfn.ANCHORARRAY($B21),$CA:$CA),
1,VLOOKUP(AM$3&amp;$B$20&amp;_xlfn.ANCHORARRAY($B21),$BT:$CA,6,0),
2,_xlfn.ANCHORARRAY(AL21)*(1+_xlfn.ANCHORARRAY($D21))*VLOOKUP(AM$3&amp;$B$20&amp;_xlfn.ANCHORARRAY($B21),$BT:$CA,7,0))</f>
        <v>0</v>
      </c>
      <c r="AN21" s="59" cm="1">
        <f t="array" aca="1" ref="AN21:AN25" ca="1">_xlfn.SWITCH(IFERROR(VLOOKUP(AN$3&amp;$B$20&amp;_xlfn.ANCHORARRAY($B21),$BT:$CA,5,0),0),
0,_xlfn.ANCHORARRAY(AM21)*(1+_xlfn.ANCHORARRAY($D21))+SUMIF($BT:$BT,AN$3&amp;$B$20&amp;_xlfn.ANCHORARRAY($B21),$CA:$CA),
1,VLOOKUP(AN$3&amp;$B$20&amp;_xlfn.ANCHORARRAY($B21),$BT:$CA,6,0),
2,_xlfn.ANCHORARRAY(AM21)*(1+_xlfn.ANCHORARRAY($D21))*VLOOKUP(AN$3&amp;$B$20&amp;_xlfn.ANCHORARRAY($B21),$BT:$CA,7,0))</f>
        <v>0</v>
      </c>
      <c r="AO21" s="59" cm="1">
        <f t="array" aca="1" ref="AO21:AO25" ca="1">_xlfn.SWITCH(IFERROR(VLOOKUP(AO$3&amp;$B$20&amp;_xlfn.ANCHORARRAY($B21),$BT:$CA,5,0),0),
0,_xlfn.ANCHORARRAY(AN21)*(1+_xlfn.ANCHORARRAY($D21))+SUMIF($BT:$BT,AO$3&amp;$B$20&amp;_xlfn.ANCHORARRAY($B21),$CA:$CA),
1,VLOOKUP(AO$3&amp;$B$20&amp;_xlfn.ANCHORARRAY($B21),$BT:$CA,6,0),
2,_xlfn.ANCHORARRAY(AN21)*(1+_xlfn.ANCHORARRAY($D21))*VLOOKUP(AO$3&amp;$B$20&amp;_xlfn.ANCHORARRAY($B21),$BT:$CA,7,0))</f>
        <v>0</v>
      </c>
      <c r="AP21" s="59" cm="1">
        <f t="array" aca="1" ref="AP21:AP25" ca="1">_xlfn.SWITCH(IFERROR(VLOOKUP(AP$3&amp;$B$20&amp;_xlfn.ANCHORARRAY($B21),$BT:$CA,5,0),0),
0,_xlfn.ANCHORARRAY(AO21)*(1+_xlfn.ANCHORARRAY($D21))+SUMIF($BT:$BT,AP$3&amp;$B$20&amp;_xlfn.ANCHORARRAY($B21),$CA:$CA),
1,VLOOKUP(AP$3&amp;$B$20&amp;_xlfn.ANCHORARRAY($B21),$BT:$CA,6,0),
2,_xlfn.ANCHORARRAY(AO21)*(1+_xlfn.ANCHORARRAY($D21))*VLOOKUP(AP$3&amp;$B$20&amp;_xlfn.ANCHORARRAY($B21),$BT:$CA,7,0))</f>
        <v>0</v>
      </c>
      <c r="AQ21" s="59" cm="1">
        <f t="array" aca="1" ref="AQ21:AQ25" ca="1">_xlfn.SWITCH(IFERROR(VLOOKUP(AQ$3&amp;$B$20&amp;_xlfn.ANCHORARRAY($B21),$BT:$CA,5,0),0),
0,_xlfn.ANCHORARRAY(AP21)*(1+_xlfn.ANCHORARRAY($D21))+SUMIF($BT:$BT,AQ$3&amp;$B$20&amp;_xlfn.ANCHORARRAY($B21),$CA:$CA),
1,VLOOKUP(AQ$3&amp;$B$20&amp;_xlfn.ANCHORARRAY($B21),$BT:$CA,6,0),
2,_xlfn.ANCHORARRAY(AP21)*(1+_xlfn.ANCHORARRAY($D21))*VLOOKUP(AQ$3&amp;$B$20&amp;_xlfn.ANCHORARRAY($B21),$BT:$CA,7,0))</f>
        <v>0</v>
      </c>
      <c r="AR21" s="59" cm="1">
        <f t="array" aca="1" ref="AR21:AR25" ca="1">_xlfn.SWITCH(IFERROR(VLOOKUP(AR$3&amp;$B$20&amp;_xlfn.ANCHORARRAY($B21),$BT:$CA,5,0),0),
0,_xlfn.ANCHORARRAY(AQ21)*(1+_xlfn.ANCHORARRAY($D21))+SUMIF($BT:$BT,AR$3&amp;$B$20&amp;_xlfn.ANCHORARRAY($B21),$CA:$CA),
1,VLOOKUP(AR$3&amp;$B$20&amp;_xlfn.ANCHORARRAY($B21),$BT:$CA,6,0),
2,_xlfn.ANCHORARRAY(AQ21)*(1+_xlfn.ANCHORARRAY($D21))*VLOOKUP(AR$3&amp;$B$20&amp;_xlfn.ANCHORARRAY($B21),$BT:$CA,7,0))</f>
        <v>0</v>
      </c>
      <c r="AS21" s="59" cm="1">
        <f t="array" aca="1" ref="AS21:AS25" ca="1">_xlfn.SWITCH(IFERROR(VLOOKUP(AS$3&amp;$B$20&amp;_xlfn.ANCHORARRAY($B21),$BT:$CA,5,0),0),
0,_xlfn.ANCHORARRAY(AR21)*(1+_xlfn.ANCHORARRAY($D21))+SUMIF($BT:$BT,AS$3&amp;$B$20&amp;_xlfn.ANCHORARRAY($B21),$CA:$CA),
1,VLOOKUP(AS$3&amp;$B$20&amp;_xlfn.ANCHORARRAY($B21),$BT:$CA,6,0),
2,_xlfn.ANCHORARRAY(AR21)*(1+_xlfn.ANCHORARRAY($D21))*VLOOKUP(AS$3&amp;$B$20&amp;_xlfn.ANCHORARRAY($B21),$BT:$CA,7,0))</f>
        <v>0</v>
      </c>
      <c r="AT21" s="59" cm="1">
        <f t="array" aca="1" ref="AT21:AT25" ca="1">_xlfn.SWITCH(IFERROR(VLOOKUP(AT$3&amp;$B$20&amp;_xlfn.ANCHORARRAY($B21),$BT:$CA,5,0),0),
0,_xlfn.ANCHORARRAY(AS21)*(1+_xlfn.ANCHORARRAY($D21))+SUMIF($BT:$BT,AT$3&amp;$B$20&amp;_xlfn.ANCHORARRAY($B21),$CA:$CA),
1,VLOOKUP(AT$3&amp;$B$20&amp;_xlfn.ANCHORARRAY($B21),$BT:$CA,6,0),
2,_xlfn.ANCHORARRAY(AS21)*(1+_xlfn.ANCHORARRAY($D21))*VLOOKUP(AT$3&amp;$B$20&amp;_xlfn.ANCHORARRAY($B21),$BT:$CA,7,0))</f>
        <v>0</v>
      </c>
      <c r="AU21" s="59" cm="1">
        <f t="array" aca="1" ref="AU21:AU25" ca="1">_xlfn.SWITCH(IFERROR(VLOOKUP(AU$3&amp;$B$20&amp;_xlfn.ANCHORARRAY($B21),$BT:$CA,5,0),0),
0,_xlfn.ANCHORARRAY(AT21)*(1+_xlfn.ANCHORARRAY($D21))+SUMIF($BT:$BT,AU$3&amp;$B$20&amp;_xlfn.ANCHORARRAY($B21),$CA:$CA),
1,VLOOKUP(AU$3&amp;$B$20&amp;_xlfn.ANCHORARRAY($B21),$BT:$CA,6,0),
2,_xlfn.ANCHORARRAY(AT21)*(1+_xlfn.ANCHORARRAY($D21))*VLOOKUP(AU$3&amp;$B$20&amp;_xlfn.ANCHORARRAY($B21),$BT:$CA,7,0))</f>
        <v>0</v>
      </c>
      <c r="AV21" s="59" cm="1">
        <f t="array" aca="1" ref="AV21:AV25" ca="1">_xlfn.SWITCH(IFERROR(VLOOKUP(AV$3&amp;$B$20&amp;_xlfn.ANCHORARRAY($B21),$BT:$CA,5,0),0),
0,_xlfn.ANCHORARRAY(AU21)*(1+_xlfn.ANCHORARRAY($D21))+SUMIF($BT:$BT,AV$3&amp;$B$20&amp;_xlfn.ANCHORARRAY($B21),$CA:$CA),
1,VLOOKUP(AV$3&amp;$B$20&amp;_xlfn.ANCHORARRAY($B21),$BT:$CA,6,0),
2,_xlfn.ANCHORARRAY(AU21)*(1+_xlfn.ANCHORARRAY($D21))*VLOOKUP(AV$3&amp;$B$20&amp;_xlfn.ANCHORARRAY($B21),$BT:$CA,7,0))</f>
        <v>0</v>
      </c>
      <c r="AW21" s="59" cm="1">
        <f t="array" aca="1" ref="AW21:AW25" ca="1">_xlfn.SWITCH(IFERROR(VLOOKUP(AW$3&amp;$B$20&amp;_xlfn.ANCHORARRAY($B21),$BT:$CA,5,0),0),
0,_xlfn.ANCHORARRAY(AV21)*(1+_xlfn.ANCHORARRAY($D21))+SUMIF($BT:$BT,AW$3&amp;$B$20&amp;_xlfn.ANCHORARRAY($B21),$CA:$CA),
1,VLOOKUP(AW$3&amp;$B$20&amp;_xlfn.ANCHORARRAY($B21),$BT:$CA,6,0),
2,_xlfn.ANCHORARRAY(AV21)*(1+_xlfn.ANCHORARRAY($D21))*VLOOKUP(AW$3&amp;$B$20&amp;_xlfn.ANCHORARRAY($B21),$BT:$CA,7,0))</f>
        <v>0</v>
      </c>
      <c r="AX21" s="59" cm="1">
        <f t="array" aca="1" ref="AX21:AX25" ca="1">_xlfn.SWITCH(IFERROR(VLOOKUP(AX$3&amp;$B$20&amp;_xlfn.ANCHORARRAY($B21),$BT:$CA,5,0),0),
0,_xlfn.ANCHORARRAY(AW21)*(1+_xlfn.ANCHORARRAY($D21))+SUMIF($BT:$BT,AX$3&amp;$B$20&amp;_xlfn.ANCHORARRAY($B21),$CA:$CA),
1,VLOOKUP(AX$3&amp;$B$20&amp;_xlfn.ANCHORARRAY($B21),$BT:$CA,6,0),
2,_xlfn.ANCHORARRAY(AW21)*(1+_xlfn.ANCHORARRAY($D21))*VLOOKUP(AX$3&amp;$B$20&amp;_xlfn.ANCHORARRAY($B21),$BT:$CA,7,0))</f>
        <v>0</v>
      </c>
      <c r="AY21" s="59" cm="1">
        <f t="array" aca="1" ref="AY21:AY25" ca="1">_xlfn.SWITCH(IFERROR(VLOOKUP(AY$3&amp;$B$20&amp;_xlfn.ANCHORARRAY($B21),$BT:$CA,5,0),0),
0,_xlfn.ANCHORARRAY(AX21)*(1+_xlfn.ANCHORARRAY($D21))+SUMIF($BT:$BT,AY$3&amp;$B$20&amp;_xlfn.ANCHORARRAY($B21),$CA:$CA),
1,VLOOKUP(AY$3&amp;$B$20&amp;_xlfn.ANCHORARRAY($B21),$BT:$CA,6,0),
2,_xlfn.ANCHORARRAY(AX21)*(1+_xlfn.ANCHORARRAY($D21))*VLOOKUP(AY$3&amp;$B$20&amp;_xlfn.ANCHORARRAY($B21),$BT:$CA,7,0))</f>
        <v>0</v>
      </c>
      <c r="AZ21" s="59" cm="1">
        <f t="array" aca="1" ref="AZ21:AZ25" ca="1">_xlfn.SWITCH(IFERROR(VLOOKUP(AZ$3&amp;$B$20&amp;_xlfn.ANCHORARRAY($B21),$BT:$CA,5,0),0),
0,_xlfn.ANCHORARRAY(AY21)*(1+_xlfn.ANCHORARRAY($D21))+SUMIF($BT:$BT,AZ$3&amp;$B$20&amp;_xlfn.ANCHORARRAY($B21),$CA:$CA),
1,VLOOKUP(AZ$3&amp;$B$20&amp;_xlfn.ANCHORARRAY($B21),$BT:$CA,6,0),
2,_xlfn.ANCHORARRAY(AY21)*(1+_xlfn.ANCHORARRAY($D21))*VLOOKUP(AZ$3&amp;$B$20&amp;_xlfn.ANCHORARRAY($B21),$BT:$CA,7,0))</f>
        <v>0</v>
      </c>
      <c r="BA21" s="59" cm="1">
        <f t="array" aca="1" ref="BA21:BA25" ca="1">_xlfn.SWITCH(IFERROR(VLOOKUP(BA$3&amp;$B$20&amp;_xlfn.ANCHORARRAY($B21),$BT:$CA,5,0),0),
0,_xlfn.ANCHORARRAY(AZ21)*(1+_xlfn.ANCHORARRAY($D21))+SUMIF($BT:$BT,BA$3&amp;$B$20&amp;_xlfn.ANCHORARRAY($B21),$CA:$CA),
1,VLOOKUP(BA$3&amp;$B$20&amp;_xlfn.ANCHORARRAY($B21),$BT:$CA,6,0),
2,_xlfn.ANCHORARRAY(AZ21)*(1+_xlfn.ANCHORARRAY($D21))*VLOOKUP(BA$3&amp;$B$20&amp;_xlfn.ANCHORARRAY($B21),$BT:$CA,7,0))</f>
        <v>0</v>
      </c>
      <c r="BS21" s="5">
        <f t="shared" si="0"/>
        <v>0</v>
      </c>
      <c r="BT21" s="5" t="str">
        <f t="shared" si="1"/>
        <v>2029V_Hypo4</v>
      </c>
      <c r="BU21">
        <v>2029</v>
      </c>
      <c r="BV21" t="s">
        <v>99</v>
      </c>
      <c r="BW21">
        <v>4</v>
      </c>
      <c r="BX21">
        <v>1</v>
      </c>
      <c r="BY21" s="12">
        <v>0</v>
      </c>
      <c r="CB21" t="s">
        <v>294</v>
      </c>
      <c r="CC21">
        <v>1</v>
      </c>
      <c r="CD21" s="5" t="str">
        <f t="shared" ca="1" si="4"/>
        <v>Sheldon</v>
      </c>
      <c r="CE21" s="5" t="str">
        <f t="shared" ca="1" si="5"/>
        <v>PostFinance Festhypo</v>
      </c>
      <c r="CF21" s="5" t="str">
        <f t="shared" ca="1" si="6"/>
        <v>Sheldon - PostFinance Festhypo - Erneuerung Hyporthek</v>
      </c>
      <c r="CG21" s="5"/>
    </row>
    <row r="22" spans="1:85" x14ac:dyDescent="0.25">
      <c r="A22" s="57" t="str">
        <f ca="1"/>
        <v>Säule 3a Beitrag</v>
      </c>
      <c r="B22" s="57">
        <f ca="1"/>
        <v>6</v>
      </c>
      <c r="C22" s="53" t="str">
        <f ca="1"/>
        <v>Amy</v>
      </c>
      <c r="D22" s="54">
        <f ca="1"/>
        <v>0</v>
      </c>
      <c r="E22" s="54"/>
      <c r="F22" s="59">
        <f ca="1"/>
        <v>-7056</v>
      </c>
      <c r="G22" s="59">
        <f ca="1"/>
        <v>-7056</v>
      </c>
      <c r="H22" s="59">
        <f ca="1"/>
        <v>-7056</v>
      </c>
      <c r="I22" s="59">
        <f ca="1"/>
        <v>-7056</v>
      </c>
      <c r="J22" s="59">
        <f ca="1"/>
        <v>-7056</v>
      </c>
      <c r="K22" s="59">
        <f ca="1"/>
        <v>-7056</v>
      </c>
      <c r="L22" s="59">
        <f ca="1"/>
        <v>-5600</v>
      </c>
      <c r="M22" s="59">
        <f ca="1"/>
        <v>-2800</v>
      </c>
      <c r="N22" s="59">
        <f ca="1"/>
        <v>0</v>
      </c>
      <c r="O22" s="59">
        <f ca="1"/>
        <v>0</v>
      </c>
      <c r="P22" s="59">
        <f ca="1"/>
        <v>0</v>
      </c>
      <c r="Q22" s="59">
        <f ca="1"/>
        <v>0</v>
      </c>
      <c r="R22" s="59">
        <f ca="1"/>
        <v>0</v>
      </c>
      <c r="S22" s="59">
        <f ca="1"/>
        <v>0</v>
      </c>
      <c r="T22" s="59">
        <f ca="1"/>
        <v>0</v>
      </c>
      <c r="U22" s="59">
        <f ca="1"/>
        <v>0</v>
      </c>
      <c r="V22" s="59">
        <f ca="1"/>
        <v>0</v>
      </c>
      <c r="W22" s="59">
        <f ca="1"/>
        <v>0</v>
      </c>
      <c r="X22" s="59">
        <f ca="1"/>
        <v>0</v>
      </c>
      <c r="Y22" s="59">
        <f ca="1"/>
        <v>0</v>
      </c>
      <c r="Z22" s="59">
        <f ca="1"/>
        <v>0</v>
      </c>
      <c r="AA22" s="59">
        <f ca="1"/>
        <v>0</v>
      </c>
      <c r="AB22" s="59">
        <f ca="1"/>
        <v>0</v>
      </c>
      <c r="AC22" s="59">
        <f ca="1"/>
        <v>0</v>
      </c>
      <c r="AD22" s="59">
        <f ca="1"/>
        <v>0</v>
      </c>
      <c r="AE22" s="59">
        <f ca="1"/>
        <v>0</v>
      </c>
      <c r="AF22" s="59">
        <f ca="1"/>
        <v>0</v>
      </c>
      <c r="AG22" s="59">
        <f ca="1"/>
        <v>0</v>
      </c>
      <c r="AH22" s="59">
        <f ca="1"/>
        <v>0</v>
      </c>
      <c r="AI22" s="59">
        <f ca="1"/>
        <v>0</v>
      </c>
      <c r="AJ22" s="59">
        <f ca="1"/>
        <v>0</v>
      </c>
      <c r="AK22" s="59">
        <f ca="1"/>
        <v>0</v>
      </c>
      <c r="AL22" s="59">
        <f ca="1"/>
        <v>0</v>
      </c>
      <c r="AM22" s="59">
        <f ca="1"/>
        <v>0</v>
      </c>
      <c r="AN22" s="59">
        <f ca="1"/>
        <v>0</v>
      </c>
      <c r="AO22" s="59">
        <f ca="1"/>
        <v>0</v>
      </c>
      <c r="AP22" s="59">
        <f ca="1"/>
        <v>0</v>
      </c>
      <c r="AQ22" s="59">
        <f ca="1"/>
        <v>0</v>
      </c>
      <c r="AR22" s="59">
        <f ca="1"/>
        <v>0</v>
      </c>
      <c r="AS22" s="59">
        <f ca="1"/>
        <v>0</v>
      </c>
      <c r="AT22" s="59">
        <f ca="1"/>
        <v>0</v>
      </c>
      <c r="AU22" s="59">
        <f ca="1"/>
        <v>0</v>
      </c>
      <c r="AV22" s="59">
        <f ca="1"/>
        <v>0</v>
      </c>
      <c r="AW22" s="59">
        <f ca="1"/>
        <v>0</v>
      </c>
      <c r="AX22" s="59">
        <f ca="1"/>
        <v>0</v>
      </c>
      <c r="AY22" s="59">
        <f ca="1"/>
        <v>0</v>
      </c>
      <c r="AZ22" s="59">
        <f ca="1"/>
        <v>0</v>
      </c>
      <c r="BA22" s="59">
        <f ca="1"/>
        <v>0</v>
      </c>
      <c r="BS22" s="5">
        <f t="shared" si="0"/>
        <v>1</v>
      </c>
      <c r="BT22" s="5" t="str">
        <f t="shared" si="1"/>
        <v>2029V_Hypo5</v>
      </c>
      <c r="BU22">
        <v>2029</v>
      </c>
      <c r="BV22" t="s">
        <v>99</v>
      </c>
      <c r="BW22">
        <v>5</v>
      </c>
      <c r="BX22">
        <v>0</v>
      </c>
      <c r="CA22">
        <v>-300000</v>
      </c>
      <c r="CB22" t="s">
        <v>238</v>
      </c>
      <c r="CD22" s="5" t="str">
        <f t="shared" ca="1" si="4"/>
        <v>-</v>
      </c>
      <c r="CE22" s="5" t="str">
        <f t="shared" ca="1" si="5"/>
        <v>Nachfolgehypothek</v>
      </c>
      <c r="CF22" s="5" t="str">
        <f t="shared" ca="1" si="6"/>
        <v>- - Nachfolgehypothek - Erneuerung Festhypo Raiffeisen</v>
      </c>
      <c r="CG22" s="5"/>
    </row>
    <row r="23" spans="1:85" x14ac:dyDescent="0.25">
      <c r="A23" s="57" t="str">
        <f ca="1"/>
        <v>Säule 3b Beitrag</v>
      </c>
      <c r="B23" s="57">
        <f ca="1"/>
        <v>7</v>
      </c>
      <c r="C23" s="53" t="str">
        <f ca="1"/>
        <v>Amy</v>
      </c>
      <c r="D23" s="54">
        <f ca="1"/>
        <v>0</v>
      </c>
      <c r="E23" s="54"/>
      <c r="F23" s="59">
        <f ca="1"/>
        <v>-2868</v>
      </c>
      <c r="G23" s="59">
        <f ca="1"/>
        <v>-2868</v>
      </c>
      <c r="H23" s="59">
        <f ca="1"/>
        <v>-2868</v>
      </c>
      <c r="I23" s="59">
        <f ca="1"/>
        <v>-2868</v>
      </c>
      <c r="J23" s="59">
        <f ca="1"/>
        <v>-2868</v>
      </c>
      <c r="K23" s="59">
        <f ca="1"/>
        <v>-1912</v>
      </c>
      <c r="L23" s="59">
        <f ca="1"/>
        <v>0</v>
      </c>
      <c r="M23" s="59">
        <f ca="1"/>
        <v>0</v>
      </c>
      <c r="N23" s="59">
        <f ca="1"/>
        <v>0</v>
      </c>
      <c r="O23" s="59">
        <f ca="1"/>
        <v>0</v>
      </c>
      <c r="P23" s="59">
        <f ca="1"/>
        <v>0</v>
      </c>
      <c r="Q23" s="59">
        <f ca="1"/>
        <v>0</v>
      </c>
      <c r="R23" s="59">
        <f ca="1"/>
        <v>0</v>
      </c>
      <c r="S23" s="59">
        <f ca="1"/>
        <v>0</v>
      </c>
      <c r="T23" s="59">
        <f ca="1"/>
        <v>0</v>
      </c>
      <c r="U23" s="59">
        <f ca="1"/>
        <v>0</v>
      </c>
      <c r="V23" s="59">
        <f ca="1"/>
        <v>0</v>
      </c>
      <c r="W23" s="59">
        <f ca="1"/>
        <v>0</v>
      </c>
      <c r="X23" s="59">
        <f ca="1"/>
        <v>0</v>
      </c>
      <c r="Y23" s="59">
        <f ca="1"/>
        <v>0</v>
      </c>
      <c r="Z23" s="59">
        <f ca="1"/>
        <v>0</v>
      </c>
      <c r="AA23" s="59">
        <f ca="1"/>
        <v>0</v>
      </c>
      <c r="AB23" s="59">
        <f ca="1"/>
        <v>0</v>
      </c>
      <c r="AC23" s="59">
        <f ca="1"/>
        <v>0</v>
      </c>
      <c r="AD23" s="59">
        <f ca="1"/>
        <v>0</v>
      </c>
      <c r="AE23" s="59">
        <f ca="1"/>
        <v>0</v>
      </c>
      <c r="AF23" s="59">
        <f ca="1"/>
        <v>0</v>
      </c>
      <c r="AG23" s="59">
        <f ca="1"/>
        <v>0</v>
      </c>
      <c r="AH23" s="59">
        <f ca="1"/>
        <v>0</v>
      </c>
      <c r="AI23" s="59">
        <f ca="1"/>
        <v>0</v>
      </c>
      <c r="AJ23" s="59">
        <f ca="1"/>
        <v>0</v>
      </c>
      <c r="AK23" s="59">
        <f ca="1"/>
        <v>0</v>
      </c>
      <c r="AL23" s="59">
        <f ca="1"/>
        <v>0</v>
      </c>
      <c r="AM23" s="59">
        <f ca="1"/>
        <v>0</v>
      </c>
      <c r="AN23" s="59">
        <f ca="1"/>
        <v>0</v>
      </c>
      <c r="AO23" s="59">
        <f ca="1"/>
        <v>0</v>
      </c>
      <c r="AP23" s="59">
        <f ca="1"/>
        <v>0</v>
      </c>
      <c r="AQ23" s="59">
        <f ca="1"/>
        <v>0</v>
      </c>
      <c r="AR23" s="59">
        <f ca="1"/>
        <v>0</v>
      </c>
      <c r="AS23" s="59">
        <f ca="1"/>
        <v>0</v>
      </c>
      <c r="AT23" s="59">
        <f ca="1"/>
        <v>0</v>
      </c>
      <c r="AU23" s="59">
        <f ca="1"/>
        <v>0</v>
      </c>
      <c r="AV23" s="59">
        <f ca="1"/>
        <v>0</v>
      </c>
      <c r="AW23" s="59">
        <f ca="1"/>
        <v>0</v>
      </c>
      <c r="AX23" s="59">
        <f ca="1"/>
        <v>0</v>
      </c>
      <c r="AY23" s="59">
        <f ca="1"/>
        <v>0</v>
      </c>
      <c r="AZ23" s="59">
        <f ca="1"/>
        <v>0</v>
      </c>
      <c r="BA23" s="59">
        <f ca="1"/>
        <v>0</v>
      </c>
      <c r="BS23" s="5">
        <f t="shared" si="0"/>
        <v>0</v>
      </c>
      <c r="BT23" s="5" t="str">
        <f t="shared" si="1"/>
        <v>2024V_Vorsorg5</v>
      </c>
      <c r="BU23">
        <v>2024</v>
      </c>
      <c r="BV23" t="s">
        <v>95</v>
      </c>
      <c r="BW23">
        <v>5</v>
      </c>
      <c r="BX23">
        <v>1</v>
      </c>
      <c r="BY23" s="12">
        <v>0</v>
      </c>
      <c r="CB23" t="s">
        <v>244</v>
      </c>
      <c r="CC23">
        <v>1</v>
      </c>
      <c r="CD23" s="5" t="str">
        <f t="shared" ca="1" si="4"/>
        <v>Amy</v>
      </c>
      <c r="CE23" s="5" t="str">
        <f t="shared" ca="1" si="5"/>
        <v>MigrosBank Säule 3a Depot</v>
      </c>
      <c r="CF23" s="5" t="str">
        <f t="shared" ca="1" si="6"/>
        <v>Amy - MigrosBank Säule 3a Depot - Bezug</v>
      </c>
      <c r="CG23" s="5"/>
    </row>
    <row r="24" spans="1:85" x14ac:dyDescent="0.25">
      <c r="A24" s="57" t="str">
        <f ca="1"/>
        <v>Säule 3a Beitrag</v>
      </c>
      <c r="B24" s="57">
        <f ca="1"/>
        <v>5</v>
      </c>
      <c r="C24" s="53" t="str">
        <f ca="1"/>
        <v>Sheldon</v>
      </c>
      <c r="D24" s="54">
        <f ca="1"/>
        <v>0</v>
      </c>
      <c r="E24" s="54"/>
      <c r="F24" s="59">
        <f ca="1"/>
        <v>-7056</v>
      </c>
      <c r="G24" s="59">
        <f ca="1"/>
        <v>-7056</v>
      </c>
      <c r="H24" s="59">
        <f ca="1"/>
        <v>-7056</v>
      </c>
      <c r="I24" s="59">
        <f ca="1"/>
        <v>-7056</v>
      </c>
      <c r="J24" s="59">
        <f ca="1"/>
        <v>-7056</v>
      </c>
      <c r="K24" s="59">
        <f ca="1"/>
        <v>-7056</v>
      </c>
      <c r="L24" s="59">
        <f ca="1"/>
        <v>-7056</v>
      </c>
      <c r="M24" s="59">
        <f ca="1"/>
        <v>0</v>
      </c>
      <c r="N24" s="59">
        <f ca="1"/>
        <v>0</v>
      </c>
      <c r="O24" s="59">
        <f ca="1"/>
        <v>0</v>
      </c>
      <c r="P24" s="59">
        <f ca="1"/>
        <v>0</v>
      </c>
      <c r="Q24" s="59">
        <f ca="1"/>
        <v>0</v>
      </c>
      <c r="R24" s="59">
        <f ca="1"/>
        <v>0</v>
      </c>
      <c r="S24" s="59">
        <f ca="1"/>
        <v>0</v>
      </c>
      <c r="T24" s="59">
        <f ca="1"/>
        <v>0</v>
      </c>
      <c r="U24" s="59">
        <f ca="1"/>
        <v>0</v>
      </c>
      <c r="V24" s="59">
        <f ca="1"/>
        <v>0</v>
      </c>
      <c r="W24" s="59">
        <f ca="1"/>
        <v>0</v>
      </c>
      <c r="X24" s="59">
        <f ca="1"/>
        <v>0</v>
      </c>
      <c r="Y24" s="59">
        <f ca="1"/>
        <v>0</v>
      </c>
      <c r="Z24" s="59">
        <f ca="1"/>
        <v>0</v>
      </c>
      <c r="AA24" s="59">
        <f ca="1"/>
        <v>0</v>
      </c>
      <c r="AB24" s="59">
        <f ca="1"/>
        <v>0</v>
      </c>
      <c r="AC24" s="59">
        <f ca="1"/>
        <v>0</v>
      </c>
      <c r="AD24" s="59">
        <f ca="1"/>
        <v>0</v>
      </c>
      <c r="AE24" s="59">
        <f ca="1"/>
        <v>0</v>
      </c>
      <c r="AF24" s="59">
        <f ca="1"/>
        <v>0</v>
      </c>
      <c r="AG24" s="59">
        <f ca="1"/>
        <v>0</v>
      </c>
      <c r="AH24" s="59">
        <f ca="1"/>
        <v>0</v>
      </c>
      <c r="AI24" s="59">
        <f ca="1"/>
        <v>0</v>
      </c>
      <c r="AJ24" s="59">
        <f ca="1"/>
        <v>0</v>
      </c>
      <c r="AK24" s="59">
        <f ca="1"/>
        <v>0</v>
      </c>
      <c r="AL24" s="59">
        <f ca="1"/>
        <v>0</v>
      </c>
      <c r="AM24" s="59">
        <f ca="1"/>
        <v>0</v>
      </c>
      <c r="AN24" s="59">
        <f ca="1"/>
        <v>0</v>
      </c>
      <c r="AO24" s="59">
        <f ca="1"/>
        <v>0</v>
      </c>
      <c r="AP24" s="59">
        <f ca="1"/>
        <v>0</v>
      </c>
      <c r="AQ24" s="59">
        <f ca="1"/>
        <v>0</v>
      </c>
      <c r="AR24" s="59">
        <f ca="1"/>
        <v>0</v>
      </c>
      <c r="AS24" s="59">
        <f ca="1"/>
        <v>0</v>
      </c>
      <c r="AT24" s="59">
        <f ca="1"/>
        <v>0</v>
      </c>
      <c r="AU24" s="59">
        <f ca="1"/>
        <v>0</v>
      </c>
      <c r="AV24" s="59">
        <f ca="1"/>
        <v>0</v>
      </c>
      <c r="AW24" s="59">
        <f ca="1"/>
        <v>0</v>
      </c>
      <c r="AX24" s="59">
        <f ca="1"/>
        <v>0</v>
      </c>
      <c r="AY24" s="59">
        <f ca="1"/>
        <v>0</v>
      </c>
      <c r="AZ24" s="59">
        <f ca="1"/>
        <v>0</v>
      </c>
      <c r="BA24" s="59">
        <f ca="1"/>
        <v>0</v>
      </c>
      <c r="BS24" s="5">
        <f t="shared" si="0"/>
        <v>0</v>
      </c>
      <c r="BT24" s="5" t="str">
        <f t="shared" si="1"/>
        <v>2024V_Vorsorg2</v>
      </c>
      <c r="BU24">
        <v>2024</v>
      </c>
      <c r="BV24" t="s">
        <v>95</v>
      </c>
      <c r="BW24">
        <v>2</v>
      </c>
      <c r="BX24">
        <v>0</v>
      </c>
      <c r="CA24">
        <v>43128.600000000006</v>
      </c>
      <c r="CD24" s="5" t="str">
        <f t="shared" ca="1" si="4"/>
        <v>Amy</v>
      </c>
      <c r="CE24" s="5" t="str">
        <f t="shared" ca="1" si="5"/>
        <v>Pensionskasse McDonalds</v>
      </c>
      <c r="CF24" s="5" t="str">
        <f t="shared" ca="1" si="6"/>
        <v>Amy - Pensionskasse McDonalds</v>
      </c>
      <c r="CG24" s="5"/>
    </row>
    <row r="25" spans="1:85" x14ac:dyDescent="0.25">
      <c r="A25" s="57" t="str">
        <f ca="1"/>
        <v>Lebenshaltungskosten</v>
      </c>
      <c r="B25" s="57">
        <f ca="1"/>
        <v>1</v>
      </c>
      <c r="C25" s="53" t="str">
        <f ca="1"/>
        <v>-</v>
      </c>
      <c r="D25" s="54">
        <f ca="1"/>
        <v>1.4999999999999999E-2</v>
      </c>
      <c r="E25" s="54"/>
      <c r="F25" s="59">
        <f ca="1"/>
        <v>-75000</v>
      </c>
      <c r="G25" s="59">
        <f ca="1"/>
        <v>-76124.999999999985</v>
      </c>
      <c r="H25" s="59">
        <f ca="1"/>
        <v>-77266.874999999971</v>
      </c>
      <c r="I25" s="59">
        <f ca="1"/>
        <v>-78425.878124999959</v>
      </c>
      <c r="J25" s="59">
        <f ca="1"/>
        <v>-79602.26629687495</v>
      </c>
      <c r="K25" s="59">
        <f ca="1"/>
        <v>-80796.300291328065</v>
      </c>
      <c r="L25" s="59">
        <f ca="1"/>
        <v>-82008.244795697974</v>
      </c>
      <c r="M25" s="59">
        <f ca="1"/>
        <v>-83238.368467633438</v>
      </c>
      <c r="N25" s="59">
        <f ca="1"/>
        <v>-84486.943994647925</v>
      </c>
      <c r="O25" s="59">
        <f ca="1"/>
        <v>-85754.248154567642</v>
      </c>
      <c r="P25" s="59">
        <f ca="1"/>
        <v>-87040.561876886146</v>
      </c>
      <c r="Q25" s="59">
        <f ca="1"/>
        <v>-88346.170305039428</v>
      </c>
      <c r="R25" s="59">
        <f ca="1"/>
        <v>-89671.362859615008</v>
      </c>
      <c r="S25" s="59">
        <f ca="1"/>
        <v>-91016.43330250922</v>
      </c>
      <c r="T25" s="59">
        <f ca="1"/>
        <v>-92381.679802046856</v>
      </c>
      <c r="U25" s="59">
        <f ca="1"/>
        <v>-93767.404999077553</v>
      </c>
      <c r="V25" s="59">
        <f ca="1"/>
        <v>-95173.916074063702</v>
      </c>
      <c r="W25" s="59">
        <f ca="1"/>
        <v>-96601.524815174649</v>
      </c>
      <c r="X25" s="59">
        <f ca="1"/>
        <v>-98050.547687402257</v>
      </c>
      <c r="Y25" s="59">
        <f ca="1"/>
        <v>-99521.305902713284</v>
      </c>
      <c r="Z25" s="59">
        <f ca="1"/>
        <v>-101014.12549125397</v>
      </c>
      <c r="AA25" s="59">
        <f ca="1"/>
        <v>-102529.33737362278</v>
      </c>
      <c r="AB25" s="59">
        <f ca="1"/>
        <v>-104067.27743422712</v>
      </c>
      <c r="AC25" s="59">
        <f ca="1"/>
        <v>-105628.28659574052</v>
      </c>
      <c r="AD25" s="59">
        <f ca="1"/>
        <v>-107212.71089467661</v>
      </c>
      <c r="AE25" s="59">
        <f ca="1"/>
        <v>-108820.90155809675</v>
      </c>
      <c r="AF25" s="59">
        <f ca="1"/>
        <v>-110453.2150814682</v>
      </c>
      <c r="AG25" s="59">
        <f ca="1"/>
        <v>-112110.01330769021</v>
      </c>
      <c r="AH25" s="59">
        <f ca="1"/>
        <v>-113791.66350730555</v>
      </c>
      <c r="AI25" s="59">
        <f ca="1"/>
        <v>-115498.53845991513</v>
      </c>
      <c r="AJ25" s="59">
        <f ca="1"/>
        <v>-117231.01653681384</v>
      </c>
      <c r="AK25" s="59">
        <f ca="1"/>
        <v>-118989.48178486603</v>
      </c>
      <c r="AL25" s="59">
        <f ca="1"/>
        <v>-120774.32401163901</v>
      </c>
      <c r="AM25" s="59">
        <f ca="1"/>
        <v>-122585.93887181357</v>
      </c>
      <c r="AN25" s="59">
        <f ca="1"/>
        <v>-124424.72795489077</v>
      </c>
      <c r="AO25" s="59">
        <f ca="1"/>
        <v>-126291.09887421412</v>
      </c>
      <c r="AP25" s="59">
        <f ca="1"/>
        <v>-128185.46535732732</v>
      </c>
      <c r="AQ25" s="59">
        <f ca="1"/>
        <v>-130108.24733768722</v>
      </c>
      <c r="AR25" s="59">
        <f ca="1"/>
        <v>-132059.87104775253</v>
      </c>
      <c r="AS25" s="59">
        <f ca="1"/>
        <v>-134040.76911346879</v>
      </c>
      <c r="AT25" s="59">
        <f ca="1"/>
        <v>-136051.38065017082</v>
      </c>
      <c r="AU25" s="59">
        <f ca="1"/>
        <v>-138092.15135992336</v>
      </c>
      <c r="AV25" s="59">
        <f ca="1"/>
        <v>-140163.5336303222</v>
      </c>
      <c r="AW25" s="59">
        <f ca="1"/>
        <v>-142265.98663477701</v>
      </c>
      <c r="AX25" s="59">
        <f ca="1"/>
        <v>-144399.97643429865</v>
      </c>
      <c r="AY25" s="59">
        <f ca="1"/>
        <v>-146565.97608081313</v>
      </c>
      <c r="AZ25" s="59">
        <f ca="1"/>
        <v>-148764.46572202531</v>
      </c>
      <c r="BA25" s="59">
        <f ca="1"/>
        <v>-150995.93270785568</v>
      </c>
      <c r="BS25" s="5">
        <f t="shared" si="0"/>
        <v>0</v>
      </c>
      <c r="BT25" s="5" t="str">
        <f t="shared" si="1"/>
        <v>2025V_Vorsorg2</v>
      </c>
      <c r="BU25">
        <v>2025</v>
      </c>
      <c r="BV25" t="s">
        <v>95</v>
      </c>
      <c r="BW25">
        <v>2</v>
      </c>
      <c r="BX25">
        <v>0</v>
      </c>
      <c r="CA25">
        <v>43128.600000000006</v>
      </c>
      <c r="CD25" s="5" t="str">
        <f t="shared" ca="1" si="4"/>
        <v>Amy</v>
      </c>
      <c r="CE25" s="5" t="str">
        <f t="shared" ca="1" si="5"/>
        <v>Pensionskasse McDonalds</v>
      </c>
      <c r="CF25" s="5" t="str">
        <f t="shared" ca="1" si="6"/>
        <v>Amy - Pensionskasse McDonalds</v>
      </c>
      <c r="CG25" s="5"/>
    </row>
    <row r="26" spans="1:85" hidden="1" x14ac:dyDescent="0.25">
      <c r="A26" s="57"/>
      <c r="B26" s="57"/>
      <c r="C26" s="53"/>
      <c r="D26" s="54"/>
      <c r="E26" s="54"/>
      <c r="F26" s="59"/>
      <c r="G26" s="59"/>
      <c r="H26" s="59"/>
      <c r="I26" s="59"/>
      <c r="J26" s="59"/>
      <c r="K26" s="59"/>
      <c r="L26" s="59"/>
      <c r="M26" s="59"/>
      <c r="N26" s="59"/>
      <c r="O26" s="59"/>
      <c r="P26" s="59"/>
      <c r="Q26" s="59"/>
      <c r="R26" s="59"/>
      <c r="S26" s="59"/>
      <c r="T26" s="59"/>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S26" s="5">
        <f t="shared" si="0"/>
        <v>0</v>
      </c>
      <c r="BT26" s="5" t="str">
        <f t="shared" si="1"/>
        <v>2026V_Vorsorg2</v>
      </c>
      <c r="BU26">
        <v>2026</v>
      </c>
      <c r="BV26" t="s">
        <v>95</v>
      </c>
      <c r="BW26">
        <v>2</v>
      </c>
      <c r="BX26">
        <v>0</v>
      </c>
      <c r="CA26">
        <v>43128.600000000006</v>
      </c>
      <c r="CD26" s="5" t="str">
        <f t="shared" ca="1" si="4"/>
        <v>Amy</v>
      </c>
      <c r="CE26" s="5" t="str">
        <f t="shared" ca="1" si="5"/>
        <v>Pensionskasse McDonalds</v>
      </c>
      <c r="CF26" s="5" t="str">
        <f t="shared" ca="1" si="6"/>
        <v>Amy - Pensionskasse McDonalds</v>
      </c>
      <c r="CG26" s="5"/>
    </row>
    <row r="27" spans="1:85" hidden="1" x14ac:dyDescent="0.25">
      <c r="A27" s="57"/>
      <c r="B27" s="57"/>
      <c r="C27" s="53"/>
      <c r="D27" s="54"/>
      <c r="E27" s="63"/>
      <c r="F27" s="59"/>
      <c r="G27" s="59"/>
      <c r="H27" s="59"/>
      <c r="I27" s="59"/>
      <c r="J27" s="59"/>
      <c r="K27" s="59"/>
      <c r="L27" s="59"/>
      <c r="M27" s="59"/>
      <c r="N27" s="59"/>
      <c r="O27" s="59"/>
      <c r="P27" s="59"/>
      <c r="Q27" s="59"/>
      <c r="R27" s="59"/>
      <c r="S27" s="59"/>
      <c r="T27" s="59"/>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c r="AY27" s="59"/>
      <c r="AZ27" s="59"/>
      <c r="BA27" s="59"/>
      <c r="BS27" s="5">
        <f t="shared" si="0"/>
        <v>0</v>
      </c>
      <c r="BT27" s="5" t="str">
        <f t="shared" si="1"/>
        <v>2027V_Vorsorg2</v>
      </c>
      <c r="BU27">
        <v>2027</v>
      </c>
      <c r="BV27" t="s">
        <v>95</v>
      </c>
      <c r="BW27">
        <v>2</v>
      </c>
      <c r="BX27">
        <v>0</v>
      </c>
      <c r="CA27">
        <v>43128.600000000006</v>
      </c>
      <c r="CD27" s="5" t="str">
        <f t="shared" ca="1" si="4"/>
        <v>Amy</v>
      </c>
      <c r="CE27" s="5" t="str">
        <f t="shared" ca="1" si="5"/>
        <v>Pensionskasse McDonalds</v>
      </c>
      <c r="CF27" s="5" t="str">
        <f t="shared" ca="1" si="6"/>
        <v>Amy - Pensionskasse McDonalds</v>
      </c>
      <c r="CG27" s="5"/>
    </row>
    <row r="28" spans="1:85" hidden="1" x14ac:dyDescent="0.25">
      <c r="A28" s="57"/>
      <c r="B28" s="57"/>
      <c r="C28" s="53"/>
      <c r="D28" s="54"/>
      <c r="E28" s="63"/>
      <c r="F28" s="59"/>
      <c r="G28" s="59"/>
      <c r="H28" s="59"/>
      <c r="I28" s="59"/>
      <c r="J28" s="59"/>
      <c r="K28" s="59"/>
      <c r="L28" s="59"/>
      <c r="M28" s="59"/>
      <c r="N28" s="59"/>
      <c r="O28" s="59"/>
      <c r="P28" s="59"/>
      <c r="Q28" s="59"/>
      <c r="R28" s="59"/>
      <c r="S28" s="59"/>
      <c r="T28" s="59"/>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c r="AY28" s="59"/>
      <c r="AZ28" s="59"/>
      <c r="BA28" s="59"/>
      <c r="BS28" s="5">
        <f t="shared" si="0"/>
        <v>0</v>
      </c>
      <c r="BT28" s="5" t="str">
        <f t="shared" si="1"/>
        <v>2028V_Vorsorg2</v>
      </c>
      <c r="BU28">
        <v>2028</v>
      </c>
      <c r="BV28" t="s">
        <v>95</v>
      </c>
      <c r="BW28">
        <v>2</v>
      </c>
      <c r="BX28">
        <v>0</v>
      </c>
      <c r="BZ28">
        <v>0.8</v>
      </c>
      <c r="CA28">
        <v>43128.600000000006</v>
      </c>
      <c r="CB28" t="s">
        <v>314</v>
      </c>
      <c r="CC28">
        <v>1</v>
      </c>
      <c r="CD28" s="5" t="str">
        <f t="shared" ca="1" si="4"/>
        <v>Amy</v>
      </c>
      <c r="CE28" s="5" t="str">
        <f t="shared" ca="1" si="5"/>
        <v>Pensionskasse McDonalds</v>
      </c>
      <c r="CF28" s="5" t="str">
        <f t="shared" ca="1" si="6"/>
        <v>Amy - Pensionskasse McDonalds - Teilpensionierung 20%, 100% Kapitalbezug (ca. 249 TCHF)</v>
      </c>
      <c r="CG28" s="5"/>
    </row>
    <row r="29" spans="1:85" hidden="1" x14ac:dyDescent="0.25">
      <c r="A29" s="57"/>
      <c r="B29" s="57"/>
      <c r="C29" s="53"/>
      <c r="D29" s="54"/>
      <c r="E29" s="63"/>
      <c r="F29" s="59"/>
      <c r="G29" s="59"/>
      <c r="H29" s="59"/>
      <c r="I29" s="59"/>
      <c r="J29" s="59"/>
      <c r="K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S29" s="5">
        <f t="shared" si="0"/>
        <v>0</v>
      </c>
      <c r="BT29" s="5" t="str">
        <f t="shared" si="1"/>
        <v>2029V_Vorsorg2</v>
      </c>
      <c r="BU29">
        <v>2029</v>
      </c>
      <c r="BV29" t="s">
        <v>95</v>
      </c>
      <c r="BW29">
        <v>2</v>
      </c>
      <c r="BX29">
        <v>1</v>
      </c>
      <c r="CA29">
        <v>28752.400000000001</v>
      </c>
      <c r="CB29" t="s">
        <v>316</v>
      </c>
      <c r="CC29">
        <v>1</v>
      </c>
      <c r="CD29" s="5" t="str">
        <f t="shared" ca="1" si="4"/>
        <v>Amy</v>
      </c>
      <c r="CE29" s="5" t="str">
        <f t="shared" ca="1" si="5"/>
        <v>Pensionskasse McDonalds</v>
      </c>
      <c r="CF29" s="5" t="str">
        <f t="shared" ca="1" si="6"/>
        <v>Amy - Pensionskasse McDonalds - Pensionierung, Kapitalbezug 521 TCHF</v>
      </c>
      <c r="CG29" s="5"/>
    </row>
    <row r="30" spans="1:85" hidden="1" x14ac:dyDescent="0.25">
      <c r="A30" s="57"/>
      <c r="B30" s="57"/>
      <c r="C30" s="53"/>
      <c r="D30" s="54"/>
      <c r="E30" s="63"/>
      <c r="F30" s="59"/>
      <c r="G30" s="59"/>
      <c r="H30" s="59"/>
      <c r="I30" s="59"/>
      <c r="J30" s="59"/>
      <c r="K30" s="59"/>
      <c r="L30" s="59"/>
      <c r="M30" s="59"/>
      <c r="N30" s="59"/>
      <c r="O30" s="59"/>
      <c r="P30" s="59"/>
      <c r="Q30" s="59"/>
      <c r="R30" s="59"/>
      <c r="S30" s="59"/>
      <c r="T30" s="59"/>
      <c r="U30" s="59"/>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W30" s="59"/>
      <c r="AX30" s="59"/>
      <c r="AY30" s="59"/>
      <c r="AZ30" s="59"/>
      <c r="BA30" s="59"/>
      <c r="BS30" s="5">
        <f t="shared" si="0"/>
        <v>0</v>
      </c>
      <c r="BT30" s="5" t="str">
        <f t="shared" si="1"/>
        <v>2028E_Erwerb5</v>
      </c>
      <c r="BU30">
        <v>2028</v>
      </c>
      <c r="BV30" t="s">
        <v>74</v>
      </c>
      <c r="BW30">
        <v>5</v>
      </c>
      <c r="BX30">
        <v>1</v>
      </c>
      <c r="BY30" s="12">
        <v>0</v>
      </c>
      <c r="CD30" s="5" t="str">
        <f t="shared" ca="1" si="4"/>
        <v>Amy</v>
      </c>
      <c r="CE30" s="5" t="str">
        <f t="shared" ca="1" si="5"/>
        <v>Rente aus Pensionskasse</v>
      </c>
      <c r="CF30" s="5" t="str">
        <f t="shared" ca="1" si="6"/>
        <v>Amy - Rente aus Pensionskasse</v>
      </c>
      <c r="CG30" s="5"/>
    </row>
    <row r="31" spans="1:85" hidden="1" x14ac:dyDescent="0.25">
      <c r="A31" s="57"/>
      <c r="B31" s="57"/>
      <c r="C31" s="53"/>
      <c r="D31" s="54"/>
      <c r="E31" s="63"/>
      <c r="F31" s="59"/>
      <c r="G31" s="59"/>
      <c r="H31" s="59"/>
      <c r="I31" s="59"/>
      <c r="J31" s="59"/>
      <c r="K31" s="59"/>
      <c r="L31" s="59"/>
      <c r="M31" s="59"/>
      <c r="N31" s="59"/>
      <c r="O31" s="59"/>
      <c r="P31" s="59"/>
      <c r="Q31" s="59"/>
      <c r="R31" s="59"/>
      <c r="S31" s="59"/>
      <c r="T31" s="59"/>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c r="BS31" s="5">
        <f t="shared" si="0"/>
        <v>0</v>
      </c>
      <c r="BT31" s="5" t="str">
        <f t="shared" si="1"/>
        <v>2029E_Erwerb5</v>
      </c>
      <c r="BU31">
        <v>2029</v>
      </c>
      <c r="BV31" t="s">
        <v>74</v>
      </c>
      <c r="BW31">
        <v>5</v>
      </c>
      <c r="BX31">
        <v>1</v>
      </c>
      <c r="BY31" s="12">
        <f>25363/12*5</f>
        <v>10567.916666666668</v>
      </c>
      <c r="CD31" s="5" t="str">
        <f t="shared" ca="1" si="4"/>
        <v>Amy</v>
      </c>
      <c r="CE31" s="5" t="str">
        <f t="shared" ca="1" si="5"/>
        <v>Rente aus Pensionskasse</v>
      </c>
      <c r="CF31" s="5" t="str">
        <f t="shared" ca="1" si="6"/>
        <v>Amy - Rente aus Pensionskasse</v>
      </c>
      <c r="CG31" s="5"/>
    </row>
    <row r="32" spans="1:85" hidden="1" x14ac:dyDescent="0.25">
      <c r="A32" s="57"/>
      <c r="B32" s="57"/>
      <c r="C32" s="53"/>
      <c r="D32" s="54"/>
      <c r="E32" s="63"/>
      <c r="F32" s="59"/>
      <c r="G32" s="59"/>
      <c r="H32" s="59"/>
      <c r="I32" s="59"/>
      <c r="J32" s="59"/>
      <c r="K32" s="59"/>
      <c r="L32" s="59"/>
      <c r="M32" s="59"/>
      <c r="N32" s="59"/>
      <c r="O32" s="59"/>
      <c r="P32" s="59"/>
      <c r="Q32" s="59"/>
      <c r="R32" s="59"/>
      <c r="S32" s="59"/>
      <c r="T32" s="59"/>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c r="AY32" s="59"/>
      <c r="AZ32" s="59"/>
      <c r="BA32" s="59"/>
      <c r="BS32" s="5">
        <f t="shared" si="0"/>
        <v>0</v>
      </c>
      <c r="BT32" s="5" t="str">
        <f t="shared" si="1"/>
        <v>2030E_Erwerb5</v>
      </c>
      <c r="BU32">
        <v>2030</v>
      </c>
      <c r="BV32" t="s">
        <v>74</v>
      </c>
      <c r="BW32">
        <v>5</v>
      </c>
      <c r="BX32">
        <v>1</v>
      </c>
      <c r="BY32" s="12">
        <v>25363</v>
      </c>
      <c r="CD32" s="5" t="str">
        <f t="shared" ca="1" si="4"/>
        <v>Amy</v>
      </c>
      <c r="CE32" s="5" t="str">
        <f t="shared" ca="1" si="5"/>
        <v>Rente aus Pensionskasse</v>
      </c>
      <c r="CF32" s="5" t="str">
        <f t="shared" ca="1" si="6"/>
        <v>Amy - Rente aus Pensionskasse</v>
      </c>
      <c r="CG32" s="5"/>
    </row>
    <row r="33" spans="1:85" hidden="1" x14ac:dyDescent="0.25">
      <c r="A33" s="57"/>
      <c r="B33" s="57"/>
      <c r="C33" s="53"/>
      <c r="D33" s="54"/>
      <c r="E33" s="63"/>
      <c r="F33" s="59"/>
      <c r="G33" s="59"/>
      <c r="H33" s="59"/>
      <c r="I33" s="59"/>
      <c r="J33" s="59"/>
      <c r="K33" s="59"/>
      <c r="L33" s="59"/>
      <c r="M33" s="59"/>
      <c r="N33" s="59"/>
      <c r="O33" s="59"/>
      <c r="P33" s="59"/>
      <c r="Q33" s="59"/>
      <c r="R33" s="59"/>
      <c r="S33" s="59"/>
      <c r="T33" s="59"/>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S33" s="5">
        <f t="shared" si="0"/>
        <v>0</v>
      </c>
      <c r="BT33" s="5" t="str">
        <f t="shared" si="1"/>
        <v>2024V_Vorsorg7</v>
      </c>
      <c r="BU33">
        <v>2024</v>
      </c>
      <c r="BV33" t="s">
        <v>95</v>
      </c>
      <c r="BW33">
        <v>7</v>
      </c>
      <c r="BX33">
        <v>0</v>
      </c>
      <c r="CA33">
        <v>7056</v>
      </c>
      <c r="CB33" t="s">
        <v>243</v>
      </c>
      <c r="CC33">
        <v>1</v>
      </c>
      <c r="CD33" s="5" t="str">
        <f t="shared" ca="1" si="4"/>
        <v>Amy</v>
      </c>
      <c r="CE33" s="5" t="str">
        <f t="shared" ca="1" si="5"/>
        <v>SLM Säule 3a Konto</v>
      </c>
      <c r="CF33" s="5" t="str">
        <f t="shared" ca="1" si="6"/>
        <v>Amy - SLM Säule 3a Konto - Einzahlung Maximalbetrag</v>
      </c>
      <c r="CG33" s="5"/>
    </row>
    <row r="34" spans="1:85" hidden="1" x14ac:dyDescent="0.25">
      <c r="A34" s="57"/>
      <c r="B34" s="57"/>
      <c r="C34" s="53"/>
      <c r="D34" s="54"/>
      <c r="E34" s="63"/>
      <c r="F34" s="59"/>
      <c r="G34" s="59"/>
      <c r="H34" s="59"/>
      <c r="I34" s="59"/>
      <c r="J34" s="59"/>
      <c r="K34" s="59"/>
      <c r="L34" s="59"/>
      <c r="M34" s="59"/>
      <c r="N34" s="59"/>
      <c r="O34" s="59"/>
      <c r="P34" s="59"/>
      <c r="Q34" s="59"/>
      <c r="R34" s="59"/>
      <c r="S34" s="59"/>
      <c r="T34" s="59"/>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S34" s="5">
        <f t="shared" si="0"/>
        <v>0</v>
      </c>
      <c r="BT34" s="5" t="str">
        <f t="shared" si="1"/>
        <v>2025V_Vorsorg7</v>
      </c>
      <c r="BU34">
        <v>2025</v>
      </c>
      <c r="BV34" t="s">
        <v>95</v>
      </c>
      <c r="BW34">
        <v>7</v>
      </c>
      <c r="BX34">
        <v>1</v>
      </c>
      <c r="BY34" s="12">
        <v>0</v>
      </c>
      <c r="CB34" t="s">
        <v>245</v>
      </c>
      <c r="CC34">
        <v>1</v>
      </c>
      <c r="CD34" s="5" t="str">
        <f t="shared" ca="1" si="4"/>
        <v>Amy</v>
      </c>
      <c r="CE34" s="5" t="str">
        <f t="shared" ca="1" si="5"/>
        <v>SLM Säule 3a Konto</v>
      </c>
      <c r="CF34" s="5" t="str">
        <f t="shared" ca="1" si="6"/>
        <v>Amy - SLM Säule 3a Konto - Einzahlung Maximalbetrag und Bezug</v>
      </c>
      <c r="CG34" s="5"/>
    </row>
    <row r="35" spans="1:85" hidden="1" x14ac:dyDescent="0.25">
      <c r="A35" s="57"/>
      <c r="B35" s="57"/>
      <c r="C35" s="53"/>
      <c r="D35" s="54"/>
      <c r="E35" s="63"/>
      <c r="F35" s="59"/>
      <c r="G35" s="59"/>
      <c r="H35" s="59"/>
      <c r="I35" s="59"/>
      <c r="J35" s="59"/>
      <c r="K35" s="59"/>
      <c r="L35" s="59"/>
      <c r="M35" s="59"/>
      <c r="N35" s="59"/>
      <c r="O35" s="59"/>
      <c r="P35" s="59"/>
      <c r="Q35" s="59"/>
      <c r="R35" s="59"/>
      <c r="S35" s="59"/>
      <c r="T35" s="59"/>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S35" s="5">
        <f t="shared" si="0"/>
        <v>0</v>
      </c>
      <c r="BT35" s="5" t="str">
        <f t="shared" si="1"/>
        <v>2026V_Vorsorg6</v>
      </c>
      <c r="BU35">
        <v>2026</v>
      </c>
      <c r="BV35" t="s">
        <v>95</v>
      </c>
      <c r="BW35">
        <v>6</v>
      </c>
      <c r="BX35">
        <v>0</v>
      </c>
      <c r="CA35">
        <v>7056</v>
      </c>
      <c r="CB35" t="s">
        <v>243</v>
      </c>
      <c r="CC35">
        <v>1</v>
      </c>
      <c r="CD35" s="5" t="str">
        <f t="shared" ca="1" si="4"/>
        <v>Amy</v>
      </c>
      <c r="CE35" s="5" t="str">
        <f t="shared" ca="1" si="5"/>
        <v>Pictet Säule 3a Depot</v>
      </c>
      <c r="CF35" s="5" t="str">
        <f t="shared" ca="1" si="6"/>
        <v>Amy - Pictet Säule 3a Depot - Einzahlung Maximalbetrag</v>
      </c>
      <c r="CG35" s="5"/>
    </row>
    <row r="36" spans="1:85" x14ac:dyDescent="0.25">
      <c r="A36" s="57" t="s">
        <v>89</v>
      </c>
      <c r="B36" s="57"/>
      <c r="C36" s="53" t="s">
        <v>67</v>
      </c>
      <c r="D36" s="54"/>
      <c r="E36" s="63"/>
      <c r="F36" s="59">
        <f>BP4</f>
        <v>-15000</v>
      </c>
      <c r="G36" s="59">
        <f ca="1">F148</f>
        <v>-33834.248384061349</v>
      </c>
      <c r="H36" s="59">
        <f t="shared" ref="H36:BA36" ca="1" si="11">G148</f>
        <v>-34519.169633358382</v>
      </c>
      <c r="I36" s="59">
        <f t="shared" ca="1" si="11"/>
        <v>-35478.789347884755</v>
      </c>
      <c r="J36" s="59">
        <f t="shared" ca="1" si="11"/>
        <v>-35602.824739200187</v>
      </c>
      <c r="K36" s="59">
        <f t="shared" ca="1" si="11"/>
        <v>-51288.985508082507</v>
      </c>
      <c r="L36" s="59">
        <f t="shared" ca="1" si="11"/>
        <v>-91819.050344451374</v>
      </c>
      <c r="M36" s="59">
        <f t="shared" ca="1" si="11"/>
        <v>-44499.955654079837</v>
      </c>
      <c r="N36" s="59">
        <f t="shared" ca="1" si="11"/>
        <v>-26751.52744053716</v>
      </c>
      <c r="O36" s="59">
        <f t="shared" ca="1" si="11"/>
        <v>-24889.514942072241</v>
      </c>
      <c r="P36" s="59">
        <f t="shared" ca="1" si="11"/>
        <v>-26922.120176740747</v>
      </c>
      <c r="Q36" s="59">
        <f t="shared" ca="1" si="11"/>
        <v>-26923.292381636878</v>
      </c>
      <c r="R36" s="59">
        <f t="shared" ca="1" si="11"/>
        <v>-26906.64844854287</v>
      </c>
      <c r="S36" s="59">
        <f t="shared" ca="1" si="11"/>
        <v>-26875.56156743773</v>
      </c>
      <c r="T36" s="59">
        <f t="shared" ca="1" si="11"/>
        <v>-26823.915927311438</v>
      </c>
      <c r="U36" s="59">
        <f t="shared" ca="1" si="11"/>
        <v>-26757.213168557908</v>
      </c>
      <c r="V36" s="59">
        <f t="shared" ca="1" si="11"/>
        <v>-26673.942226407027</v>
      </c>
      <c r="W36" s="59">
        <f t="shared" ca="1" si="11"/>
        <v>-26568.421704396722</v>
      </c>
      <c r="X36" s="59">
        <f t="shared" ca="1" si="11"/>
        <v>-26451.159994151534</v>
      </c>
      <c r="Y36" s="59">
        <f t="shared" ca="1" si="11"/>
        <v>-26310.412867698011</v>
      </c>
      <c r="Z36" s="59">
        <f t="shared" ca="1" si="11"/>
        <v>-26145.594132965136</v>
      </c>
      <c r="AA36" s="59">
        <f t="shared" ca="1" si="11"/>
        <v>-25967.102869685761</v>
      </c>
      <c r="AB36" s="59">
        <f t="shared" ca="1" si="11"/>
        <v>-25763.222980227187</v>
      </c>
      <c r="AC36" s="59">
        <f t="shared" ca="1" si="11"/>
        <v>-25541.083571615956</v>
      </c>
      <c r="AD36" s="59">
        <f t="shared" ca="1" si="11"/>
        <v>-25306.131071538202</v>
      </c>
      <c r="AE36" s="59">
        <f t="shared" ca="1" si="11"/>
        <v>-25044.726982762306</v>
      </c>
      <c r="AF36" s="59">
        <f t="shared" ca="1" si="11"/>
        <v>-24755.33476917517</v>
      </c>
      <c r="AG36" s="59">
        <f t="shared" ca="1" si="11"/>
        <v>-24443.589677464552</v>
      </c>
      <c r="AH36" s="59">
        <f t="shared" ca="1" si="11"/>
        <v>-24108.284429791547</v>
      </c>
      <c r="AI36" s="59">
        <f t="shared" ca="1" si="11"/>
        <v>-23742.911056966717</v>
      </c>
      <c r="AJ36" s="59">
        <f t="shared" ca="1" si="11"/>
        <v>-23352.506835135973</v>
      </c>
      <c r="AK36" s="59">
        <f t="shared" ca="1" si="11"/>
        <v>-22936.261406680092</v>
      </c>
      <c r="AL36" s="59">
        <f t="shared" ca="1" si="11"/>
        <v>-22487.736945911594</v>
      </c>
      <c r="AM36" s="59">
        <f t="shared" ca="1" si="11"/>
        <v>-22005.403142049847</v>
      </c>
      <c r="AN36" s="59">
        <f t="shared" ca="1" si="11"/>
        <v>-21494.535687679523</v>
      </c>
      <c r="AO36" s="59">
        <f t="shared" ca="1" si="11"/>
        <v>-20973.094556316788</v>
      </c>
      <c r="AP36" s="59">
        <f t="shared" ca="1" si="11"/>
        <v>-20420.798750128826</v>
      </c>
      <c r="AQ36" s="59">
        <f t="shared" ca="1" si="11"/>
        <v>-19855.982599333394</v>
      </c>
      <c r="AR36" s="59">
        <f t="shared" ca="1" si="11"/>
        <v>-19296.104342205814</v>
      </c>
      <c r="AS36" s="59">
        <f t="shared" ca="1" si="11"/>
        <v>-18705.493854395692</v>
      </c>
      <c r="AT36" s="59">
        <f t="shared" ca="1" si="11"/>
        <v>-18076.446762077187</v>
      </c>
      <c r="AU36" s="59">
        <f t="shared" ca="1" si="11"/>
        <v>-17420.294989985527</v>
      </c>
      <c r="AV36" s="59">
        <f t="shared" ca="1" si="11"/>
        <v>-16738.140173393804</v>
      </c>
      <c r="AW36" s="59">
        <f t="shared" ca="1" si="11"/>
        <v>-16092.252890144655</v>
      </c>
      <c r="AX36" s="59">
        <f t="shared" ca="1" si="11"/>
        <v>-15414.430864228396</v>
      </c>
      <c r="AY36" s="59">
        <f t="shared" ca="1" si="11"/>
        <v>-14722.152198840959</v>
      </c>
      <c r="AZ36" s="59">
        <f t="shared" ca="1" si="11"/>
        <v>-13919.312044621192</v>
      </c>
      <c r="BA36" s="59">
        <f t="shared" ca="1" si="11"/>
        <v>-13520.662047432012</v>
      </c>
      <c r="BS36" s="5">
        <f t="shared" si="0"/>
        <v>0</v>
      </c>
      <c r="BT36" s="5" t="str">
        <f t="shared" si="1"/>
        <v>2027V_Vorsorg6</v>
      </c>
      <c r="BU36">
        <v>2027</v>
      </c>
      <c r="BV36" t="s">
        <v>95</v>
      </c>
      <c r="BW36">
        <v>6</v>
      </c>
      <c r="BX36">
        <v>1</v>
      </c>
      <c r="BY36" s="12">
        <v>0</v>
      </c>
      <c r="CB36" t="s">
        <v>245</v>
      </c>
      <c r="CC36">
        <v>1</v>
      </c>
      <c r="CD36" s="5" t="str">
        <f t="shared" ca="1" si="4"/>
        <v>Amy</v>
      </c>
      <c r="CE36" s="5" t="str">
        <f t="shared" ca="1" si="5"/>
        <v>Pictet Säule 3a Depot</v>
      </c>
      <c r="CF36" s="5" t="str">
        <f t="shared" ca="1" si="6"/>
        <v>Amy - Pictet Säule 3a Depot - Einzahlung Maximalbetrag und Bezug</v>
      </c>
      <c r="CG36" s="5"/>
    </row>
    <row r="37" spans="1:85" x14ac:dyDescent="0.25">
      <c r="A37" s="57" t="s">
        <v>100</v>
      </c>
      <c r="B37" s="57"/>
      <c r="C37" s="53"/>
      <c r="D37" s="54"/>
      <c r="E37" s="63"/>
      <c r="F37" s="59">
        <f t="shared" ref="F37:BA37" ca="1" si="12">SUMPRODUCT(_xlfn.ANCHORARRAY(F71),_xlfn.ANCHORARRAY($D71))</f>
        <v>-14390</v>
      </c>
      <c r="G37" s="59">
        <f t="shared" ca="1" si="12"/>
        <v>-14390</v>
      </c>
      <c r="H37" s="59">
        <f t="shared" ca="1" si="12"/>
        <v>-14390</v>
      </c>
      <c r="I37" s="59">
        <f t="shared" ca="1" si="12"/>
        <v>-15890</v>
      </c>
      <c r="J37" s="59">
        <f t="shared" ca="1" si="12"/>
        <v>-15890</v>
      </c>
      <c r="K37" s="59">
        <f t="shared" ca="1" si="12"/>
        <v>-17600</v>
      </c>
      <c r="L37" s="59">
        <f t="shared" ca="1" si="12"/>
        <v>-17600</v>
      </c>
      <c r="M37" s="59">
        <f t="shared" ca="1" si="12"/>
        <v>-17600</v>
      </c>
      <c r="N37" s="59">
        <f t="shared" ca="1" si="12"/>
        <v>-17600</v>
      </c>
      <c r="O37" s="59">
        <f t="shared" ca="1" si="12"/>
        <v>-17600</v>
      </c>
      <c r="P37" s="59">
        <f t="shared" ca="1" si="12"/>
        <v>-17600</v>
      </c>
      <c r="Q37" s="59">
        <f t="shared" ca="1" si="12"/>
        <v>-17600</v>
      </c>
      <c r="R37" s="59">
        <f t="shared" ca="1" si="12"/>
        <v>-17600</v>
      </c>
      <c r="S37" s="59">
        <f t="shared" ca="1" si="12"/>
        <v>-17600</v>
      </c>
      <c r="T37" s="59">
        <f t="shared" ca="1" si="12"/>
        <v>-17600</v>
      </c>
      <c r="U37" s="59">
        <f t="shared" ca="1" si="12"/>
        <v>-17600</v>
      </c>
      <c r="V37" s="59">
        <f t="shared" ca="1" si="12"/>
        <v>-17600</v>
      </c>
      <c r="W37" s="59">
        <f t="shared" ca="1" si="12"/>
        <v>-17600</v>
      </c>
      <c r="X37" s="59">
        <f t="shared" ca="1" si="12"/>
        <v>-17600</v>
      </c>
      <c r="Y37" s="59">
        <f t="shared" ca="1" si="12"/>
        <v>-17600</v>
      </c>
      <c r="Z37" s="59">
        <f t="shared" ca="1" si="12"/>
        <v>-17600</v>
      </c>
      <c r="AA37" s="59">
        <f t="shared" ca="1" si="12"/>
        <v>-17600</v>
      </c>
      <c r="AB37" s="59">
        <f t="shared" ca="1" si="12"/>
        <v>-17600</v>
      </c>
      <c r="AC37" s="59">
        <f t="shared" ca="1" si="12"/>
        <v>-17600</v>
      </c>
      <c r="AD37" s="59">
        <f t="shared" ca="1" si="12"/>
        <v>-17600</v>
      </c>
      <c r="AE37" s="59">
        <f t="shared" ca="1" si="12"/>
        <v>-17600</v>
      </c>
      <c r="AF37" s="59">
        <f t="shared" ca="1" si="12"/>
        <v>-17600</v>
      </c>
      <c r="AG37" s="59">
        <f t="shared" ca="1" si="12"/>
        <v>-17600</v>
      </c>
      <c r="AH37" s="59">
        <f t="shared" ca="1" si="12"/>
        <v>-17600</v>
      </c>
      <c r="AI37" s="59">
        <f t="shared" ca="1" si="12"/>
        <v>-17600</v>
      </c>
      <c r="AJ37" s="59">
        <f t="shared" ca="1" si="12"/>
        <v>-17600</v>
      </c>
      <c r="AK37" s="59">
        <f t="shared" ca="1" si="12"/>
        <v>-17600</v>
      </c>
      <c r="AL37" s="59">
        <f t="shared" ca="1" si="12"/>
        <v>-17600</v>
      </c>
      <c r="AM37" s="59">
        <f t="shared" ca="1" si="12"/>
        <v>-17600</v>
      </c>
      <c r="AN37" s="59">
        <f t="shared" ca="1" si="12"/>
        <v>-17600</v>
      </c>
      <c r="AO37" s="59">
        <f t="shared" ca="1" si="12"/>
        <v>-17600</v>
      </c>
      <c r="AP37" s="59">
        <f t="shared" ca="1" si="12"/>
        <v>-17600</v>
      </c>
      <c r="AQ37" s="59">
        <f t="shared" ca="1" si="12"/>
        <v>-17600</v>
      </c>
      <c r="AR37" s="59">
        <f t="shared" ca="1" si="12"/>
        <v>-17600</v>
      </c>
      <c r="AS37" s="59">
        <f t="shared" ca="1" si="12"/>
        <v>-17600</v>
      </c>
      <c r="AT37" s="59">
        <f t="shared" ca="1" si="12"/>
        <v>-17600</v>
      </c>
      <c r="AU37" s="59">
        <f t="shared" ca="1" si="12"/>
        <v>-17600</v>
      </c>
      <c r="AV37" s="59">
        <f t="shared" ca="1" si="12"/>
        <v>-17600</v>
      </c>
      <c r="AW37" s="59">
        <f t="shared" ca="1" si="12"/>
        <v>-17600</v>
      </c>
      <c r="AX37" s="59">
        <f t="shared" ca="1" si="12"/>
        <v>-17600</v>
      </c>
      <c r="AY37" s="59">
        <f t="shared" ca="1" si="12"/>
        <v>-17600</v>
      </c>
      <c r="AZ37" s="59">
        <f t="shared" ca="1" si="12"/>
        <v>-17600</v>
      </c>
      <c r="BA37" s="59">
        <f t="shared" ca="1" si="12"/>
        <v>-17600</v>
      </c>
      <c r="BS37" s="5">
        <f t="shared" si="0"/>
        <v>0</v>
      </c>
      <c r="BT37" s="5" t="str">
        <f t="shared" si="1"/>
        <v>2028V_Vorsorg9</v>
      </c>
      <c r="BU37">
        <v>2028</v>
      </c>
      <c r="BV37" t="s">
        <v>95</v>
      </c>
      <c r="BW37">
        <v>9</v>
      </c>
      <c r="BX37">
        <v>0</v>
      </c>
      <c r="BY37" s="12">
        <v>0</v>
      </c>
      <c r="CA37">
        <v>7056</v>
      </c>
      <c r="CB37" t="s">
        <v>243</v>
      </c>
      <c r="CC37">
        <v>1</v>
      </c>
      <c r="CD37" s="5" t="str">
        <f t="shared" ca="1" si="4"/>
        <v>Amy</v>
      </c>
      <c r="CE37" s="5" t="str">
        <f t="shared" ca="1" si="5"/>
        <v>Neues Säule 3a Gefäss</v>
      </c>
      <c r="CF37" s="5" t="str">
        <f t="shared" ca="1" si="6"/>
        <v>Amy - Neues Säule 3a Gefäss - Einzahlung Maximalbetrag</v>
      </c>
      <c r="CG37" s="5"/>
    </row>
    <row r="38" spans="1:85" x14ac:dyDescent="0.25">
      <c r="A38" s="57" t="s">
        <v>109</v>
      </c>
      <c r="B38" s="57"/>
      <c r="C38" s="53"/>
      <c r="D38" s="54">
        <v>5.0000000000000001E-3</v>
      </c>
      <c r="E38" s="63"/>
      <c r="F38" s="59">
        <f t="shared" ref="F38:BA38" ca="1" si="13">-F65*$D38</f>
        <v>-6750</v>
      </c>
      <c r="G38" s="59">
        <f ca="1">-G65*$D38</f>
        <v>-6750</v>
      </c>
      <c r="H38" s="59">
        <f t="shared" ca="1" si="13"/>
        <v>-6750</v>
      </c>
      <c r="I38" s="59">
        <f t="shared" ca="1" si="13"/>
        <v>-6750</v>
      </c>
      <c r="J38" s="59">
        <f t="shared" ca="1" si="13"/>
        <v>-6750</v>
      </c>
      <c r="K38" s="59">
        <f t="shared" ca="1" si="13"/>
        <v>-6750</v>
      </c>
      <c r="L38" s="59">
        <f t="shared" ca="1" si="13"/>
        <v>-6750</v>
      </c>
      <c r="M38" s="59">
        <f t="shared" ca="1" si="13"/>
        <v>-6750</v>
      </c>
      <c r="N38" s="59">
        <f t="shared" ca="1" si="13"/>
        <v>-6750</v>
      </c>
      <c r="O38" s="59">
        <f t="shared" ca="1" si="13"/>
        <v>-6750</v>
      </c>
      <c r="P38" s="59">
        <f t="shared" ca="1" si="13"/>
        <v>-6750</v>
      </c>
      <c r="Q38" s="59">
        <f t="shared" ca="1" si="13"/>
        <v>-6750</v>
      </c>
      <c r="R38" s="59">
        <f t="shared" ca="1" si="13"/>
        <v>-6750</v>
      </c>
      <c r="S38" s="59">
        <f t="shared" ca="1" si="13"/>
        <v>-6750</v>
      </c>
      <c r="T38" s="59">
        <f t="shared" ca="1" si="13"/>
        <v>-6750</v>
      </c>
      <c r="U38" s="59">
        <f t="shared" ca="1" si="13"/>
        <v>-6750</v>
      </c>
      <c r="V38" s="59">
        <f t="shared" ca="1" si="13"/>
        <v>-6750</v>
      </c>
      <c r="W38" s="59">
        <f t="shared" ca="1" si="13"/>
        <v>-6750</v>
      </c>
      <c r="X38" s="59">
        <f t="shared" ca="1" si="13"/>
        <v>-6750</v>
      </c>
      <c r="Y38" s="59">
        <f t="shared" ca="1" si="13"/>
        <v>-6750</v>
      </c>
      <c r="Z38" s="59">
        <f t="shared" ca="1" si="13"/>
        <v>-6750</v>
      </c>
      <c r="AA38" s="59">
        <f t="shared" ca="1" si="13"/>
        <v>-6750</v>
      </c>
      <c r="AB38" s="59">
        <f t="shared" ca="1" si="13"/>
        <v>-6750</v>
      </c>
      <c r="AC38" s="59">
        <f t="shared" ca="1" si="13"/>
        <v>-6750</v>
      </c>
      <c r="AD38" s="59">
        <f t="shared" ca="1" si="13"/>
        <v>-6750</v>
      </c>
      <c r="AE38" s="59">
        <f t="shared" ca="1" si="13"/>
        <v>-6750</v>
      </c>
      <c r="AF38" s="59">
        <f t="shared" ca="1" si="13"/>
        <v>-6750</v>
      </c>
      <c r="AG38" s="59">
        <f t="shared" ca="1" si="13"/>
        <v>-6750</v>
      </c>
      <c r="AH38" s="59">
        <f t="shared" ca="1" si="13"/>
        <v>-6750</v>
      </c>
      <c r="AI38" s="59">
        <f t="shared" ca="1" si="13"/>
        <v>-6750</v>
      </c>
      <c r="AJ38" s="59">
        <f t="shared" ca="1" si="13"/>
        <v>-6750</v>
      </c>
      <c r="AK38" s="59">
        <f t="shared" ca="1" si="13"/>
        <v>-6750</v>
      </c>
      <c r="AL38" s="59">
        <f t="shared" ca="1" si="13"/>
        <v>-6750</v>
      </c>
      <c r="AM38" s="59">
        <f t="shared" ca="1" si="13"/>
        <v>-6750</v>
      </c>
      <c r="AN38" s="59">
        <f t="shared" ca="1" si="13"/>
        <v>-6750</v>
      </c>
      <c r="AO38" s="59">
        <f t="shared" ca="1" si="13"/>
        <v>-6750</v>
      </c>
      <c r="AP38" s="59">
        <f t="shared" ca="1" si="13"/>
        <v>-6750</v>
      </c>
      <c r="AQ38" s="59">
        <f t="shared" ca="1" si="13"/>
        <v>-6750</v>
      </c>
      <c r="AR38" s="59">
        <f t="shared" ca="1" si="13"/>
        <v>-6750</v>
      </c>
      <c r="AS38" s="59">
        <f t="shared" ca="1" si="13"/>
        <v>-6750</v>
      </c>
      <c r="AT38" s="59">
        <f t="shared" ca="1" si="13"/>
        <v>-6750</v>
      </c>
      <c r="AU38" s="59">
        <f t="shared" ca="1" si="13"/>
        <v>-6750</v>
      </c>
      <c r="AV38" s="59">
        <f t="shared" ca="1" si="13"/>
        <v>-6750</v>
      </c>
      <c r="AW38" s="59">
        <f t="shared" ca="1" si="13"/>
        <v>-6750</v>
      </c>
      <c r="AX38" s="59">
        <f t="shared" ca="1" si="13"/>
        <v>-6750</v>
      </c>
      <c r="AY38" s="59">
        <f t="shared" ca="1" si="13"/>
        <v>-6750</v>
      </c>
      <c r="AZ38" s="59">
        <f t="shared" ca="1" si="13"/>
        <v>-6750</v>
      </c>
      <c r="BA38" s="59">
        <f t="shared" ca="1" si="13"/>
        <v>-6750</v>
      </c>
      <c r="BS38" s="5">
        <f t="shared" si="0"/>
        <v>0</v>
      </c>
      <c r="BT38" s="5" t="str">
        <f t="shared" si="1"/>
        <v>2029V_Vorsorg9</v>
      </c>
      <c r="BU38">
        <v>2029</v>
      </c>
      <c r="BV38" t="s">
        <v>95</v>
      </c>
      <c r="BW38">
        <v>9</v>
      </c>
      <c r="BX38">
        <v>0</v>
      </c>
      <c r="CA38">
        <v>7056</v>
      </c>
      <c r="CB38" t="s">
        <v>243</v>
      </c>
      <c r="CC38">
        <v>1</v>
      </c>
      <c r="CD38" s="5" t="str">
        <f t="shared" ca="1" si="4"/>
        <v>Amy</v>
      </c>
      <c r="CE38" s="5" t="str">
        <f t="shared" ca="1" si="5"/>
        <v>Neues Säule 3a Gefäss</v>
      </c>
      <c r="CF38" s="5" t="str">
        <f t="shared" ca="1" si="6"/>
        <v>Amy - Neues Säule 3a Gefäss - Einzahlung Maximalbetrag</v>
      </c>
      <c r="CG38" s="5"/>
    </row>
    <row r="39" spans="1:85" ht="27.75" customHeight="1" x14ac:dyDescent="0.25">
      <c r="A39" s="56" t="s">
        <v>86</v>
      </c>
      <c r="B39" s="57"/>
      <c r="C39" s="53"/>
      <c r="D39" s="54"/>
      <c r="E39" s="63"/>
      <c r="F39" s="58"/>
      <c r="G39" s="58"/>
      <c r="H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c r="BA39" s="58"/>
      <c r="BS39" s="5">
        <f t="shared" si="0"/>
        <v>0</v>
      </c>
      <c r="BT39" s="5" t="str">
        <f t="shared" si="1"/>
        <v>2030V_Vorsorg9</v>
      </c>
      <c r="BU39">
        <v>2030</v>
      </c>
      <c r="BV39" t="s">
        <v>95</v>
      </c>
      <c r="BW39">
        <v>9</v>
      </c>
      <c r="BX39">
        <v>0</v>
      </c>
      <c r="CA39">
        <f>28000*0.2</f>
        <v>5600</v>
      </c>
      <c r="CB39" t="s">
        <v>249</v>
      </c>
      <c r="CC39">
        <v>1</v>
      </c>
      <c r="CD39" s="5" t="str">
        <f t="shared" ca="1" si="4"/>
        <v>Amy</v>
      </c>
      <c r="CE39" s="5" t="str">
        <f t="shared" ca="1" si="5"/>
        <v>Neues Säule 3a Gefäss</v>
      </c>
      <c r="CF39" s="5" t="str">
        <f t="shared" ca="1" si="6"/>
        <v>Amy - Neues Säule 3a Gefäss - Einzahlung Maximalbetrag (20% Erwerbeinkommen</v>
      </c>
      <c r="CG39" s="5"/>
    </row>
    <row r="40" spans="1:85" x14ac:dyDescent="0.25">
      <c r="A40" s="57" t="s">
        <v>262</v>
      </c>
      <c r="B40" s="57"/>
      <c r="C40" s="53"/>
      <c r="D40" s="54"/>
      <c r="E40" s="63"/>
      <c r="F40" s="59">
        <f ca="1">IF(F$20+F$6&lt;0,0,F$20+F$6)</f>
        <v>59880</v>
      </c>
      <c r="G40" s="59">
        <f t="shared" ref="G40:BA40" ca="1" si="14">IF(G$20+G$6&lt;0,0,G$20+G$6)</f>
        <v>39920.751615938672</v>
      </c>
      <c r="H40" s="59">
        <f t="shared" ca="1" si="14"/>
        <v>38093.955366641632</v>
      </c>
      <c r="I40" s="59">
        <f t="shared" ca="1" si="14"/>
        <v>34475.332527115301</v>
      </c>
      <c r="J40" s="59">
        <f t="shared" ca="1" si="14"/>
        <v>25841.575630591542</v>
      </c>
      <c r="K40" s="59">
        <f t="shared" ca="1" si="14"/>
        <v>3797.5197561449895</v>
      </c>
      <c r="L40" s="59">
        <f t="shared" ca="1" si="14"/>
        <v>0</v>
      </c>
      <c r="M40" s="59">
        <f t="shared" ca="1" si="14"/>
        <v>0</v>
      </c>
      <c r="N40" s="59">
        <f t="shared" ca="1" si="14"/>
        <v>0</v>
      </c>
      <c r="O40" s="59">
        <f t="shared" ca="1" si="14"/>
        <v>0</v>
      </c>
      <c r="P40" s="59">
        <f t="shared" ca="1" si="14"/>
        <v>0</v>
      </c>
      <c r="Q40" s="59">
        <f t="shared" ca="1" si="14"/>
        <v>0</v>
      </c>
      <c r="R40" s="59">
        <f t="shared" ca="1" si="14"/>
        <v>0</v>
      </c>
      <c r="S40" s="59">
        <f t="shared" ca="1" si="14"/>
        <v>0</v>
      </c>
      <c r="T40" s="59">
        <f t="shared" ca="1" si="14"/>
        <v>0</v>
      </c>
      <c r="U40" s="59">
        <f t="shared" ca="1" si="14"/>
        <v>0</v>
      </c>
      <c r="V40" s="59">
        <f t="shared" ca="1" si="14"/>
        <v>0</v>
      </c>
      <c r="W40" s="59">
        <f t="shared" ca="1" si="14"/>
        <v>0</v>
      </c>
      <c r="X40" s="59">
        <f t="shared" ca="1" si="14"/>
        <v>0</v>
      </c>
      <c r="Y40" s="59">
        <f t="shared" ca="1" si="14"/>
        <v>0</v>
      </c>
      <c r="Z40" s="59">
        <f t="shared" ca="1" si="14"/>
        <v>0</v>
      </c>
      <c r="AA40" s="59">
        <f t="shared" ca="1" si="14"/>
        <v>0</v>
      </c>
      <c r="AB40" s="59">
        <f t="shared" ca="1" si="14"/>
        <v>0</v>
      </c>
      <c r="AC40" s="59">
        <f t="shared" ca="1" si="14"/>
        <v>0</v>
      </c>
      <c r="AD40" s="59">
        <f t="shared" ca="1" si="14"/>
        <v>0</v>
      </c>
      <c r="AE40" s="59">
        <f t="shared" ca="1" si="14"/>
        <v>0</v>
      </c>
      <c r="AF40" s="59">
        <f t="shared" ca="1" si="14"/>
        <v>0</v>
      </c>
      <c r="AG40" s="59">
        <f ca="1">IF(AG$20+AG$6&lt;0,0,AG$20+AG$6)</f>
        <v>0</v>
      </c>
      <c r="AH40" s="59">
        <f t="shared" ca="1" si="14"/>
        <v>0</v>
      </c>
      <c r="AI40" s="59">
        <f t="shared" ca="1" si="14"/>
        <v>0</v>
      </c>
      <c r="AJ40" s="59">
        <f t="shared" ca="1" si="14"/>
        <v>0</v>
      </c>
      <c r="AK40" s="59">
        <f t="shared" ca="1" si="14"/>
        <v>0</v>
      </c>
      <c r="AL40" s="59">
        <f t="shared" ca="1" si="14"/>
        <v>0</v>
      </c>
      <c r="AM40" s="59">
        <f t="shared" ca="1" si="14"/>
        <v>0</v>
      </c>
      <c r="AN40" s="59">
        <f t="shared" ca="1" si="14"/>
        <v>0</v>
      </c>
      <c r="AO40" s="59">
        <f t="shared" ca="1" si="14"/>
        <v>0</v>
      </c>
      <c r="AP40" s="59">
        <f t="shared" ca="1" si="14"/>
        <v>0</v>
      </c>
      <c r="AQ40" s="59">
        <f t="shared" ca="1" si="14"/>
        <v>0</v>
      </c>
      <c r="AR40" s="59">
        <f t="shared" ca="1" si="14"/>
        <v>0</v>
      </c>
      <c r="AS40" s="59">
        <f t="shared" ca="1" si="14"/>
        <v>0</v>
      </c>
      <c r="AT40" s="59">
        <f t="shared" ca="1" si="14"/>
        <v>0</v>
      </c>
      <c r="AU40" s="59">
        <f t="shared" ca="1" si="14"/>
        <v>0</v>
      </c>
      <c r="AV40" s="59">
        <f t="shared" ca="1" si="14"/>
        <v>0</v>
      </c>
      <c r="AW40" s="59">
        <f t="shared" ca="1" si="14"/>
        <v>0</v>
      </c>
      <c r="AX40" s="59">
        <f t="shared" ca="1" si="14"/>
        <v>0</v>
      </c>
      <c r="AY40" s="59">
        <f t="shared" ca="1" si="14"/>
        <v>0</v>
      </c>
      <c r="AZ40" s="59">
        <f t="shared" ca="1" si="14"/>
        <v>0</v>
      </c>
      <c r="BA40" s="59">
        <f t="shared" ca="1" si="14"/>
        <v>0</v>
      </c>
      <c r="BS40" s="5">
        <f t="shared" si="0"/>
        <v>0</v>
      </c>
      <c r="BT40" s="5" t="str">
        <f t="shared" si="1"/>
        <v>2031V_Vorsorg9</v>
      </c>
      <c r="BU40">
        <v>2031</v>
      </c>
      <c r="BV40" t="s">
        <v>95</v>
      </c>
      <c r="BW40">
        <v>9</v>
      </c>
      <c r="BX40">
        <v>1</v>
      </c>
      <c r="BY40" s="12">
        <v>0</v>
      </c>
      <c r="CB40" t="s">
        <v>250</v>
      </c>
      <c r="CC40">
        <v>1</v>
      </c>
      <c r="CD40" s="5" t="str">
        <f t="shared" ca="1" si="4"/>
        <v>Amy</v>
      </c>
      <c r="CE40" s="5" t="str">
        <f t="shared" ca="1" si="5"/>
        <v>Neues Säule 3a Gefäss</v>
      </c>
      <c r="CF40" s="5" t="str">
        <f t="shared" ca="1" si="6"/>
        <v>Amy - Neues Säule 3a Gefäss - Einzahlung Maximalbetrag (20% Erwerbseinkommen) und Bezug</v>
      </c>
      <c r="CG40" s="5"/>
    </row>
    <row r="41" spans="1:85" x14ac:dyDescent="0.25">
      <c r="A41" s="66" t="s">
        <v>112</v>
      </c>
      <c r="B41" s="66"/>
      <c r="C41" s="67"/>
      <c r="D41" s="68"/>
      <c r="E41" s="69"/>
      <c r="F41" s="70">
        <f ca="1">IF(F$20+F$6&gt;0,0,F$20+F$6)</f>
        <v>0</v>
      </c>
      <c r="G41" s="70">
        <f t="shared" ref="G41:BA41" ca="1" si="15">IF(G$20+G$6&gt;0,0,G$20+G$6)</f>
        <v>0</v>
      </c>
      <c r="H41" s="70">
        <f t="shared" ca="1" si="15"/>
        <v>0</v>
      </c>
      <c r="I41" s="70">
        <f t="shared" ca="1" si="15"/>
        <v>0</v>
      </c>
      <c r="J41" s="70">
        <f t="shared" ca="1" si="15"/>
        <v>0</v>
      </c>
      <c r="K41" s="70">
        <f t="shared" ca="1" si="15"/>
        <v>0</v>
      </c>
      <c r="L41" s="70">
        <f t="shared" ca="1" si="15"/>
        <v>-53718.295140149363</v>
      </c>
      <c r="M41" s="70">
        <f t="shared" ca="1" si="15"/>
        <v>-68023.324121713289</v>
      </c>
      <c r="N41" s="70">
        <f t="shared" ca="1" si="15"/>
        <v>-59048.471435185085</v>
      </c>
      <c r="O41" s="70">
        <f t="shared" ca="1" si="15"/>
        <v>-47428.763096639886</v>
      </c>
      <c r="P41" s="70">
        <f t="shared" ca="1" si="15"/>
        <v>-50747.682053626893</v>
      </c>
      <c r="Q41" s="70">
        <f t="shared" ca="1" si="15"/>
        <v>-52054.462686676299</v>
      </c>
      <c r="R41" s="70">
        <f t="shared" ca="1" si="15"/>
        <v>-53363.011308157875</v>
      </c>
      <c r="S41" s="70">
        <f t="shared" ca="1" si="15"/>
        <v>-54676.994869946968</v>
      </c>
      <c r="T41" s="70">
        <f t="shared" ca="1" si="15"/>
        <v>-55990.595729358291</v>
      </c>
      <c r="U41" s="70">
        <f t="shared" ca="1" si="15"/>
        <v>-57309.618167635461</v>
      </c>
      <c r="V41" s="70">
        <f t="shared" ca="1" si="15"/>
        <v>-58632.858300470747</v>
      </c>
      <c r="W41" s="70">
        <f t="shared" ca="1" si="15"/>
        <v>-59954.946519571356</v>
      </c>
      <c r="X41" s="70">
        <f t="shared" ca="1" si="15"/>
        <v>-61286.707681553788</v>
      </c>
      <c r="Y41" s="70">
        <f t="shared" ca="1" si="15"/>
        <v>-62616.718770411302</v>
      </c>
      <c r="Z41" s="70">
        <f t="shared" ca="1" si="15"/>
        <v>-63944.719624219113</v>
      </c>
      <c r="AA41" s="70">
        <f t="shared" ca="1" si="15"/>
        <v>-65281.440243308549</v>
      </c>
      <c r="AB41" s="70">
        <f t="shared" ca="1" si="15"/>
        <v>-66615.50041445432</v>
      </c>
      <c r="AC41" s="70">
        <f t="shared" ca="1" si="15"/>
        <v>-67954.370167356479</v>
      </c>
      <c r="AD41" s="70">
        <f t="shared" ca="1" si="15"/>
        <v>-69303.841966214823</v>
      </c>
      <c r="AE41" s="70">
        <f t="shared" ca="1" si="15"/>
        <v>-70650.628540859063</v>
      </c>
      <c r="AF41" s="70">
        <f t="shared" ca="1" si="15"/>
        <v>-71993.54985064338</v>
      </c>
      <c r="AG41" s="70">
        <f t="shared" ca="1" si="15"/>
        <v>-73338.602985154779</v>
      </c>
      <c r="AH41" s="70">
        <f t="shared" ca="1" si="15"/>
        <v>-74684.947937097109</v>
      </c>
      <c r="AI41" s="70">
        <f t="shared" ca="1" si="15"/>
        <v>-76026.449516881839</v>
      </c>
      <c r="AJ41" s="70">
        <f t="shared" ca="1" si="15"/>
        <v>-77368.523371949821</v>
      </c>
      <c r="AK41" s="70">
        <f t="shared" ca="1" si="15"/>
        <v>-78710.74319154612</v>
      </c>
      <c r="AL41" s="70">
        <f t="shared" ca="1" si="15"/>
        <v>-80047.060957550595</v>
      </c>
      <c r="AM41" s="70">
        <f t="shared" ca="1" si="15"/>
        <v>-81376.34201386341</v>
      </c>
      <c r="AN41" s="70">
        <f t="shared" ca="1" si="15"/>
        <v>-82704.263642570295</v>
      </c>
      <c r="AO41" s="70">
        <f t="shared" ca="1" si="15"/>
        <v>-84049.193430530897</v>
      </c>
      <c r="AP41" s="70">
        <f t="shared" ca="1" si="15"/>
        <v>-85391.26410745614</v>
      </c>
      <c r="AQ41" s="70">
        <f t="shared" ca="1" si="15"/>
        <v>-86749.229937020631</v>
      </c>
      <c r="AR41" s="70">
        <f t="shared" ca="1" si="15"/>
        <v>-88140.975389958359</v>
      </c>
      <c r="AS41" s="70">
        <f t="shared" ca="1" si="15"/>
        <v>-89531.262967864488</v>
      </c>
      <c r="AT41" s="70">
        <f t="shared" ca="1" si="15"/>
        <v>-90912.827412248007</v>
      </c>
      <c r="AU41" s="70">
        <f t="shared" ca="1" si="15"/>
        <v>-92297.446349908889</v>
      </c>
      <c r="AV41" s="70">
        <f t="shared" ca="1" si="15"/>
        <v>-93686.673803715996</v>
      </c>
      <c r="AW41" s="70">
        <f t="shared" ca="1" si="15"/>
        <v>-95143.239524921664</v>
      </c>
      <c r="AX41" s="70">
        <f t="shared" ca="1" si="15"/>
        <v>-96599.407298527047</v>
      </c>
      <c r="AY41" s="70">
        <f t="shared" ca="1" si="15"/>
        <v>-98073.128279654076</v>
      </c>
      <c r="AZ41" s="70">
        <f t="shared" ca="1" si="15"/>
        <v>-99468.777766646497</v>
      </c>
      <c r="BA41" s="70">
        <f t="shared" ca="1" si="15"/>
        <v>-101301.59475528769</v>
      </c>
      <c r="BS41" s="5">
        <f t="shared" si="0"/>
        <v>0</v>
      </c>
      <c r="BT41" s="5" t="str">
        <f t="shared" si="1"/>
        <v>2030A_Allg6</v>
      </c>
      <c r="BU41">
        <v>2030</v>
      </c>
      <c r="BV41" t="s">
        <v>85</v>
      </c>
      <c r="BW41">
        <v>6</v>
      </c>
      <c r="BX41">
        <v>1</v>
      </c>
      <c r="BY41" s="12">
        <v>-5600</v>
      </c>
      <c r="CD41" s="5" t="str">
        <f t="shared" ca="1" si="4"/>
        <v>Amy</v>
      </c>
      <c r="CE41" s="5" t="str">
        <f t="shared" ca="1" si="5"/>
        <v>Säule 3a Beitrag</v>
      </c>
      <c r="CF41" s="5" t="str">
        <f t="shared" ca="1" si="6"/>
        <v>Amy - Säule 3a Beitrag</v>
      </c>
      <c r="CG41" s="5"/>
    </row>
    <row r="42" spans="1:85" ht="27.75" customHeight="1" x14ac:dyDescent="0.25">
      <c r="A42" s="71" t="s">
        <v>68</v>
      </c>
      <c r="B42" s="72"/>
      <c r="C42" s="73"/>
      <c r="D42" s="74"/>
      <c r="E42" s="77">
        <f t="shared" ref="E42:BA42" ca="1" si="16">E$43+E$46+E$65+E$70</f>
        <v>2004700</v>
      </c>
      <c r="F42" s="76">
        <f ca="1">F$43+F$46+F$65+F$70</f>
        <v>2152072.7000000002</v>
      </c>
      <c r="G42" s="76">
        <f t="shared" ca="1" si="16"/>
        <v>1775182.0402692175</v>
      </c>
      <c r="H42" s="76">
        <f t="shared" ca="1" si="16"/>
        <v>1936609.9640031978</v>
      </c>
      <c r="I42" s="76">
        <f t="shared" ca="1" si="16"/>
        <v>2068776.5932358624</v>
      </c>
      <c r="J42" s="76">
        <f t="shared" ca="1" si="16"/>
        <v>2424000.6035414124</v>
      </c>
      <c r="K42" s="76">
        <f t="shared" ca="1" si="16"/>
        <v>1967277.2256975034</v>
      </c>
      <c r="L42" s="76">
        <f t="shared" ca="1" si="16"/>
        <v>1998134.8625259669</v>
      </c>
      <c r="M42" s="76">
        <f t="shared" ca="1" si="16"/>
        <v>2008686.2360205324</v>
      </c>
      <c r="N42" s="76">
        <f t="shared" ca="1" si="16"/>
        <v>2028113.2272600159</v>
      </c>
      <c r="O42" s="76">
        <f t="shared" ca="1" si="16"/>
        <v>2030888.4237632854</v>
      </c>
      <c r="P42" s="76">
        <f t="shared" ca="1" si="16"/>
        <v>2030383.7521054349</v>
      </c>
      <c r="Q42" s="76">
        <f t="shared" ca="1" si="16"/>
        <v>2028531.7676454317</v>
      </c>
      <c r="R42" s="76">
        <f t="shared" ca="1" si="16"/>
        <v>2025283.5155069716</v>
      </c>
      <c r="S42" s="76">
        <f t="shared" ca="1" si="16"/>
        <v>2020584.5962695442</v>
      </c>
      <c r="T42" s="76">
        <f t="shared" ca="1" si="16"/>
        <v>2014384.6259843567</v>
      </c>
      <c r="U42" s="76">
        <f t="shared" ca="1" si="16"/>
        <v>2006625.5514082396</v>
      </c>
      <c r="V42" s="76">
        <f t="shared" ca="1" si="16"/>
        <v>1997248.5123867993</v>
      </c>
      <c r="W42" s="76">
        <f t="shared" ca="1" si="16"/>
        <v>1986198.0522366734</v>
      </c>
      <c r="X42" s="76">
        <f t="shared" ca="1" si="16"/>
        <v>1973405.7589989761</v>
      </c>
      <c r="Y42" s="76">
        <f t="shared" ca="1" si="16"/>
        <v>1958812.4492150466</v>
      </c>
      <c r="Z42" s="76">
        <f t="shared" ca="1" si="16"/>
        <v>1942357.1327199303</v>
      </c>
      <c r="AA42" s="76">
        <f t="shared" ca="1" si="16"/>
        <v>1923965.7669175612</v>
      </c>
      <c r="AB42" s="76">
        <f t="shared" ca="1" si="16"/>
        <v>1903573.2970879688</v>
      </c>
      <c r="AC42" s="76">
        <f t="shared" ca="1" si="16"/>
        <v>1881104.7908407627</v>
      </c>
      <c r="AD42" s="76">
        <f t="shared" ca="1" si="16"/>
        <v>1856476.7993195653</v>
      </c>
      <c r="AE42" s="76">
        <f t="shared" ca="1" si="16"/>
        <v>1829616.4727554265</v>
      </c>
      <c r="AF42" s="76">
        <f t="shared" ca="1" si="16"/>
        <v>1800449.6123288367</v>
      </c>
      <c r="AG42" s="76">
        <f t="shared" ca="1" si="16"/>
        <v>1768893.320222951</v>
      </c>
      <c r="AH42" s="76">
        <f t="shared" ca="1" si="16"/>
        <v>1734862.6519047581</v>
      </c>
      <c r="AI42" s="76">
        <f t="shared" ca="1" si="16"/>
        <v>1698275.932337997</v>
      </c>
      <c r="AJ42" s="76">
        <f t="shared" ca="1" si="16"/>
        <v>1659043.1174388677</v>
      </c>
      <c r="AK42" s="76">
        <f t="shared" ca="1" si="16"/>
        <v>1617071.4453518302</v>
      </c>
      <c r="AL42" s="76">
        <f t="shared" ca="1" si="16"/>
        <v>1572271.0614148364</v>
      </c>
      <c r="AM42" s="76">
        <f t="shared" ca="1" si="16"/>
        <v>1524550.1205652496</v>
      </c>
      <c r="AN42" s="76">
        <f t="shared" ca="1" si="16"/>
        <v>1473807.7865287182</v>
      </c>
      <c r="AO42" s="76">
        <f t="shared" ca="1" si="16"/>
        <v>1419921.0047416585</v>
      </c>
      <c r="AP42" s="76">
        <f t="shared" ca="1" si="16"/>
        <v>1362782.6286782795</v>
      </c>
      <c r="AQ42" s="76">
        <f t="shared" ca="1" si="16"/>
        <v>1302262.6792211011</v>
      </c>
      <c r="AR42" s="76">
        <f t="shared" ca="1" si="16"/>
        <v>1238208.430534557</v>
      </c>
      <c r="AS42" s="76">
        <f t="shared" ca="1" si="16"/>
        <v>1170497.6655334642</v>
      </c>
      <c r="AT42" s="76">
        <f t="shared" ca="1" si="16"/>
        <v>1099011.2819351731</v>
      </c>
      <c r="AU42" s="76">
        <f t="shared" ca="1" si="16"/>
        <v>1023614.025141872</v>
      </c>
      <c r="AV42" s="76">
        <f t="shared" ca="1" si="16"/>
        <v>944164.3254265564</v>
      </c>
      <c r="AW42" s="76">
        <f t="shared" ca="1" si="16"/>
        <v>860451.83059987798</v>
      </c>
      <c r="AX42" s="76">
        <f t="shared" ca="1" si="16"/>
        <v>772327.74774462264</v>
      </c>
      <c r="AY42" s="76">
        <f t="shared" ca="1" si="16"/>
        <v>679619.81089113629</v>
      </c>
      <c r="AZ42" s="76">
        <f t="shared" ca="1" si="16"/>
        <v>582247.02289476339</v>
      </c>
      <c r="BA42" s="76">
        <f t="shared" ca="1" si="16"/>
        <v>479601.29603257473</v>
      </c>
      <c r="BS42" s="5">
        <f t="shared" si="0"/>
        <v>0</v>
      </c>
      <c r="BT42" s="5" t="str">
        <f t="shared" si="1"/>
        <v>2031A_Allg6</v>
      </c>
      <c r="BU42">
        <v>2031</v>
      </c>
      <c r="BV42" t="s">
        <v>85</v>
      </c>
      <c r="BW42">
        <v>6</v>
      </c>
      <c r="BX42">
        <v>2</v>
      </c>
      <c r="BZ42">
        <v>0.5</v>
      </c>
      <c r="CD42" s="5" t="str">
        <f t="shared" ca="1" si="4"/>
        <v>Amy</v>
      </c>
      <c r="CE42" s="5" t="str">
        <f t="shared" ca="1" si="5"/>
        <v>Säule 3a Beitrag</v>
      </c>
      <c r="CF42" s="5" t="str">
        <f t="shared" ca="1" si="6"/>
        <v>Amy - Säule 3a Beitrag</v>
      </c>
      <c r="CG42" s="5"/>
    </row>
    <row r="43" spans="1:85" ht="27.75" customHeight="1" x14ac:dyDescent="0.25">
      <c r="A43" s="56" t="s">
        <v>59</v>
      </c>
      <c r="B43" s="57"/>
      <c r="C43" s="53"/>
      <c r="D43" s="54"/>
      <c r="E43" s="64">
        <f t="shared" ref="E43:AJ43" si="17">SUM(E44:E45)</f>
        <v>174700</v>
      </c>
      <c r="F43" s="58">
        <f ca="1">SUM(F44:F45)</f>
        <v>288099.40000000002</v>
      </c>
      <c r="G43" s="58">
        <f t="shared" ca="1" si="17"/>
        <v>377708.08076921757</v>
      </c>
      <c r="H43" s="58">
        <f t="shared" ca="1" si="17"/>
        <v>470281.41250069806</v>
      </c>
      <c r="I43" s="58">
        <f t="shared" ca="1" si="17"/>
        <v>555071.68244706234</v>
      </c>
      <c r="J43" s="58">
        <f t="shared" ca="1" si="17"/>
        <v>846292.9945368364</v>
      </c>
      <c r="K43" s="58">
        <f t="shared" ca="1" si="17"/>
        <v>1497277.2256975032</v>
      </c>
      <c r="L43" s="58">
        <f t="shared" ca="1" si="17"/>
        <v>1528134.8625259672</v>
      </c>
      <c r="M43" s="58">
        <f t="shared" ca="1" si="17"/>
        <v>1538686.2360205327</v>
      </c>
      <c r="N43" s="58">
        <f t="shared" ca="1" si="17"/>
        <v>1558113.2272600159</v>
      </c>
      <c r="O43" s="58">
        <f t="shared" ca="1" si="17"/>
        <v>1560888.4237632854</v>
      </c>
      <c r="P43" s="58">
        <f t="shared" ca="1" si="17"/>
        <v>1560383.7521054349</v>
      </c>
      <c r="Q43" s="58">
        <f t="shared" ca="1" si="17"/>
        <v>1558531.7676454319</v>
      </c>
      <c r="R43" s="58">
        <f t="shared" ca="1" si="17"/>
        <v>1555283.5155069714</v>
      </c>
      <c r="S43" s="58">
        <f t="shared" ca="1" si="17"/>
        <v>1550584.5962695444</v>
      </c>
      <c r="T43" s="58">
        <f t="shared" ca="1" si="17"/>
        <v>1544384.6259843565</v>
      </c>
      <c r="U43" s="58">
        <f t="shared" ca="1" si="17"/>
        <v>1536625.5514082399</v>
      </c>
      <c r="V43" s="58">
        <f t="shared" ca="1" si="17"/>
        <v>1527248.5123867993</v>
      </c>
      <c r="W43" s="58">
        <f t="shared" ca="1" si="17"/>
        <v>1516198.0522366734</v>
      </c>
      <c r="X43" s="58">
        <f t="shared" ca="1" si="17"/>
        <v>1503405.7589989759</v>
      </c>
      <c r="Y43" s="58">
        <f t="shared" ca="1" si="17"/>
        <v>1488812.4492150466</v>
      </c>
      <c r="Z43" s="58">
        <f t="shared" ca="1" si="17"/>
        <v>1472357.1327199305</v>
      </c>
      <c r="AA43" s="58">
        <f t="shared" ca="1" si="17"/>
        <v>1453965.7669175614</v>
      </c>
      <c r="AB43" s="58">
        <f t="shared" ca="1" si="17"/>
        <v>1433573.2970879688</v>
      </c>
      <c r="AC43" s="58">
        <f t="shared" ca="1" si="17"/>
        <v>1411104.7908407624</v>
      </c>
      <c r="AD43" s="58">
        <f t="shared" ca="1" si="17"/>
        <v>1386476.7993195655</v>
      </c>
      <c r="AE43" s="58">
        <f t="shared" ca="1" si="17"/>
        <v>1359616.4727554263</v>
      </c>
      <c r="AF43" s="58">
        <f t="shared" ca="1" si="17"/>
        <v>1330449.6123288367</v>
      </c>
      <c r="AG43" s="58">
        <f t="shared" ca="1" si="17"/>
        <v>1298893.320222951</v>
      </c>
      <c r="AH43" s="58">
        <f t="shared" ca="1" si="17"/>
        <v>1264862.6519047578</v>
      </c>
      <c r="AI43" s="58">
        <f t="shared" ca="1" si="17"/>
        <v>1228275.932337997</v>
      </c>
      <c r="AJ43" s="58">
        <f t="shared" ca="1" si="17"/>
        <v>1189043.1174388679</v>
      </c>
      <c r="AK43" s="58">
        <f t="shared" ref="AK43:BA43" ca="1" si="18">SUM(AK44:AK45)</f>
        <v>1147071.4453518302</v>
      </c>
      <c r="AL43" s="58">
        <f t="shared" ca="1" si="18"/>
        <v>1102271.0614148364</v>
      </c>
      <c r="AM43" s="58">
        <f t="shared" ca="1" si="18"/>
        <v>1054550.1205652498</v>
      </c>
      <c r="AN43" s="58">
        <f t="shared" ca="1" si="18"/>
        <v>1003807.7865287183</v>
      </c>
      <c r="AO43" s="58">
        <f t="shared" ca="1" si="18"/>
        <v>949921.00474165822</v>
      </c>
      <c r="AP43" s="58">
        <f t="shared" ca="1" si="18"/>
        <v>892782.62867827958</v>
      </c>
      <c r="AQ43" s="58">
        <f t="shared" ca="1" si="18"/>
        <v>832262.67922110099</v>
      </c>
      <c r="AR43" s="58">
        <f t="shared" ca="1" si="18"/>
        <v>768208.43053455686</v>
      </c>
      <c r="AS43" s="58">
        <f t="shared" ca="1" si="18"/>
        <v>700497.66553346417</v>
      </c>
      <c r="AT43" s="58">
        <f t="shared" ca="1" si="18"/>
        <v>629011.28193517309</v>
      </c>
      <c r="AU43" s="58">
        <f t="shared" ca="1" si="18"/>
        <v>553614.02514187188</v>
      </c>
      <c r="AV43" s="58">
        <f t="shared" ca="1" si="18"/>
        <v>474164.3254265564</v>
      </c>
      <c r="AW43" s="58">
        <f t="shared" ca="1" si="18"/>
        <v>390451.8305998781</v>
      </c>
      <c r="AX43" s="58">
        <f t="shared" ca="1" si="18"/>
        <v>302327.74774462252</v>
      </c>
      <c r="AY43" s="58">
        <f t="shared" ca="1" si="18"/>
        <v>209619.81089113632</v>
      </c>
      <c r="AZ43" s="58">
        <f t="shared" ca="1" si="18"/>
        <v>112247.02289476329</v>
      </c>
      <c r="BA43" s="58">
        <f t="shared" ca="1" si="18"/>
        <v>9601.2960325747699</v>
      </c>
      <c r="BS43" s="5">
        <f t="shared" si="0"/>
        <v>0</v>
      </c>
      <c r="BT43" s="5" t="str">
        <f t="shared" si="1"/>
        <v>2032A_Allg6</v>
      </c>
      <c r="BU43">
        <v>2032</v>
      </c>
      <c r="BV43" t="s">
        <v>85</v>
      </c>
      <c r="BW43">
        <v>6</v>
      </c>
      <c r="BX43">
        <v>1</v>
      </c>
      <c r="BY43" s="12">
        <v>0</v>
      </c>
      <c r="CD43" s="5" t="str">
        <f t="shared" ca="1" si="4"/>
        <v>Amy</v>
      </c>
      <c r="CE43" s="5" t="str">
        <f t="shared" ca="1" si="5"/>
        <v>Säule 3a Beitrag</v>
      </c>
      <c r="CF43" s="5" t="str">
        <f t="shared" ca="1" si="6"/>
        <v>Amy - Säule 3a Beitrag</v>
      </c>
      <c r="CG43" s="5"/>
    </row>
    <row r="44" spans="1:85" x14ac:dyDescent="0.25">
      <c r="A44" s="57" t="s">
        <v>82</v>
      </c>
      <c r="B44" s="57"/>
      <c r="C44" s="53"/>
      <c r="D44" s="54"/>
      <c r="E44" s="62">
        <f>MIN($BP$3,SUM(V_Frei[Betrag]))</f>
        <v>100000</v>
      </c>
      <c r="F44" s="59">
        <f>E44</f>
        <v>100000</v>
      </c>
      <c r="G44" s="59">
        <f>F44</f>
        <v>100000</v>
      </c>
      <c r="H44" s="59">
        <f t="shared" ref="H44:BA44" si="19">G44</f>
        <v>100000</v>
      </c>
      <c r="I44" s="59">
        <f t="shared" si="19"/>
        <v>100000</v>
      </c>
      <c r="J44" s="59">
        <f t="shared" si="19"/>
        <v>100000</v>
      </c>
      <c r="K44" s="59">
        <f t="shared" si="19"/>
        <v>100000</v>
      </c>
      <c r="L44" s="59">
        <f t="shared" si="19"/>
        <v>100000</v>
      </c>
      <c r="M44" s="59">
        <f t="shared" si="19"/>
        <v>100000</v>
      </c>
      <c r="N44" s="59">
        <f t="shared" si="19"/>
        <v>100000</v>
      </c>
      <c r="O44" s="59">
        <f t="shared" si="19"/>
        <v>100000</v>
      </c>
      <c r="P44" s="59">
        <f t="shared" si="19"/>
        <v>100000</v>
      </c>
      <c r="Q44" s="59">
        <f t="shared" si="19"/>
        <v>100000</v>
      </c>
      <c r="R44" s="59">
        <f t="shared" si="19"/>
        <v>100000</v>
      </c>
      <c r="S44" s="59">
        <f t="shared" si="19"/>
        <v>100000</v>
      </c>
      <c r="T44" s="59">
        <f t="shared" si="19"/>
        <v>100000</v>
      </c>
      <c r="U44" s="59">
        <f t="shared" si="19"/>
        <v>100000</v>
      </c>
      <c r="V44" s="59">
        <f t="shared" si="19"/>
        <v>100000</v>
      </c>
      <c r="W44" s="59">
        <f t="shared" si="19"/>
        <v>100000</v>
      </c>
      <c r="X44" s="59">
        <f t="shared" si="19"/>
        <v>100000</v>
      </c>
      <c r="Y44" s="59">
        <f t="shared" si="19"/>
        <v>100000</v>
      </c>
      <c r="Z44" s="59">
        <f t="shared" si="19"/>
        <v>100000</v>
      </c>
      <c r="AA44" s="59">
        <f t="shared" si="19"/>
        <v>100000</v>
      </c>
      <c r="AB44" s="59">
        <f t="shared" si="19"/>
        <v>100000</v>
      </c>
      <c r="AC44" s="59">
        <f t="shared" si="19"/>
        <v>100000</v>
      </c>
      <c r="AD44" s="59">
        <f t="shared" si="19"/>
        <v>100000</v>
      </c>
      <c r="AE44" s="59">
        <f t="shared" si="19"/>
        <v>100000</v>
      </c>
      <c r="AF44" s="59">
        <f t="shared" si="19"/>
        <v>100000</v>
      </c>
      <c r="AG44" s="59">
        <f t="shared" si="19"/>
        <v>100000</v>
      </c>
      <c r="AH44" s="59">
        <f t="shared" si="19"/>
        <v>100000</v>
      </c>
      <c r="AI44" s="59">
        <f t="shared" si="19"/>
        <v>100000</v>
      </c>
      <c r="AJ44" s="59">
        <f t="shared" si="19"/>
        <v>100000</v>
      </c>
      <c r="AK44" s="59">
        <f t="shared" si="19"/>
        <v>100000</v>
      </c>
      <c r="AL44" s="59">
        <f t="shared" si="19"/>
        <v>100000</v>
      </c>
      <c r="AM44" s="59">
        <f t="shared" si="19"/>
        <v>100000</v>
      </c>
      <c r="AN44" s="59">
        <f t="shared" si="19"/>
        <v>100000</v>
      </c>
      <c r="AO44" s="59">
        <f t="shared" si="19"/>
        <v>100000</v>
      </c>
      <c r="AP44" s="59">
        <f t="shared" si="19"/>
        <v>100000</v>
      </c>
      <c r="AQ44" s="59">
        <f t="shared" si="19"/>
        <v>100000</v>
      </c>
      <c r="AR44" s="59">
        <f t="shared" si="19"/>
        <v>100000</v>
      </c>
      <c r="AS44" s="59">
        <f t="shared" si="19"/>
        <v>100000</v>
      </c>
      <c r="AT44" s="59">
        <f t="shared" si="19"/>
        <v>100000</v>
      </c>
      <c r="AU44" s="59">
        <f t="shared" si="19"/>
        <v>100000</v>
      </c>
      <c r="AV44" s="59">
        <f t="shared" si="19"/>
        <v>100000</v>
      </c>
      <c r="AW44" s="59">
        <f t="shared" si="19"/>
        <v>100000</v>
      </c>
      <c r="AX44" s="59">
        <f t="shared" si="19"/>
        <v>100000</v>
      </c>
      <c r="AY44" s="59">
        <f t="shared" si="19"/>
        <v>100000</v>
      </c>
      <c r="AZ44" s="59">
        <f t="shared" si="19"/>
        <v>100000</v>
      </c>
      <c r="BA44" s="59">
        <f t="shared" si="19"/>
        <v>100000</v>
      </c>
      <c r="BS44" s="5">
        <f t="shared" si="0"/>
        <v>0</v>
      </c>
      <c r="BT44" s="5" t="str">
        <f t="shared" si="1"/>
        <v>2029V_Vorsorg8</v>
      </c>
      <c r="BU44">
        <v>2029</v>
      </c>
      <c r="BV44" t="s">
        <v>95</v>
      </c>
      <c r="BW44">
        <v>8</v>
      </c>
      <c r="BX44">
        <v>1</v>
      </c>
      <c r="BY44" s="12">
        <v>0</v>
      </c>
      <c r="CB44" t="s">
        <v>242</v>
      </c>
      <c r="CD44" s="5" t="str">
        <f t="shared" ca="1" si="4"/>
        <v>Amy</v>
      </c>
      <c r="CE44" s="5" t="str">
        <f t="shared" ca="1" si="5"/>
        <v>AXA Säule 3b</v>
      </c>
      <c r="CF44" s="5" t="str">
        <f t="shared" ca="1" si="6"/>
        <v>Amy - AXA Säule 3b - Auszahlung</v>
      </c>
      <c r="CG44" s="5"/>
    </row>
    <row r="45" spans="1:85" x14ac:dyDescent="0.25">
      <c r="A45" s="57" t="s">
        <v>111</v>
      </c>
      <c r="B45" s="57"/>
      <c r="C45" s="53"/>
      <c r="D45" s="54"/>
      <c r="E45" s="62">
        <f>MAX(SUM(V_Frei[Betrag])-E44,0)</f>
        <v>74700</v>
      </c>
      <c r="F45" s="59">
        <f t="shared" ref="F45:BA45" ca="1" si="20">F$82</f>
        <v>188099.4</v>
      </c>
      <c r="G45" s="59">
        <f t="shared" ca="1" si="20"/>
        <v>277708.08076921757</v>
      </c>
      <c r="H45" s="59">
        <f t="shared" ca="1" si="20"/>
        <v>370281.41250069806</v>
      </c>
      <c r="I45" s="59">
        <f t="shared" ca="1" si="20"/>
        <v>455071.68244706228</v>
      </c>
      <c r="J45" s="59">
        <f t="shared" ca="1" si="20"/>
        <v>746292.9945368364</v>
      </c>
      <c r="K45" s="59">
        <f t="shared" ca="1" si="20"/>
        <v>1397277.2256975032</v>
      </c>
      <c r="L45" s="59">
        <f t="shared" ca="1" si="20"/>
        <v>1428134.8625259672</v>
      </c>
      <c r="M45" s="59">
        <f t="shared" ca="1" si="20"/>
        <v>1438686.2360205327</v>
      </c>
      <c r="N45" s="59">
        <f t="shared" ca="1" si="20"/>
        <v>1458113.2272600159</v>
      </c>
      <c r="O45" s="59">
        <f t="shared" ca="1" si="20"/>
        <v>1460888.4237632854</v>
      </c>
      <c r="P45" s="59">
        <f t="shared" ca="1" si="20"/>
        <v>1460383.7521054349</v>
      </c>
      <c r="Q45" s="59">
        <f t="shared" ca="1" si="20"/>
        <v>1458531.7676454319</v>
      </c>
      <c r="R45" s="59">
        <f t="shared" ca="1" si="20"/>
        <v>1455283.5155069714</v>
      </c>
      <c r="S45" s="59">
        <f t="shared" ca="1" si="20"/>
        <v>1450584.5962695444</v>
      </c>
      <c r="T45" s="59">
        <f t="shared" ca="1" si="20"/>
        <v>1444384.6259843565</v>
      </c>
      <c r="U45" s="59">
        <f t="shared" ca="1" si="20"/>
        <v>1436625.5514082399</v>
      </c>
      <c r="V45" s="59">
        <f t="shared" ca="1" si="20"/>
        <v>1427248.5123867993</v>
      </c>
      <c r="W45" s="59">
        <f t="shared" ca="1" si="20"/>
        <v>1416198.0522366734</v>
      </c>
      <c r="X45" s="59">
        <f t="shared" ca="1" si="20"/>
        <v>1403405.7589989759</v>
      </c>
      <c r="Y45" s="59">
        <f t="shared" ca="1" si="20"/>
        <v>1388812.4492150466</v>
      </c>
      <c r="Z45" s="59">
        <f t="shared" ca="1" si="20"/>
        <v>1372357.1327199305</v>
      </c>
      <c r="AA45" s="59">
        <f t="shared" ca="1" si="20"/>
        <v>1353965.7669175614</v>
      </c>
      <c r="AB45" s="59">
        <f t="shared" ca="1" si="20"/>
        <v>1333573.2970879688</v>
      </c>
      <c r="AC45" s="59">
        <f t="shared" ca="1" si="20"/>
        <v>1311104.7908407624</v>
      </c>
      <c r="AD45" s="59">
        <f t="shared" ca="1" si="20"/>
        <v>1286476.7993195655</v>
      </c>
      <c r="AE45" s="59">
        <f t="shared" ca="1" si="20"/>
        <v>1259616.4727554263</v>
      </c>
      <c r="AF45" s="59">
        <f t="shared" ca="1" si="20"/>
        <v>1230449.6123288367</v>
      </c>
      <c r="AG45" s="59">
        <f t="shared" ca="1" si="20"/>
        <v>1198893.320222951</v>
      </c>
      <c r="AH45" s="59">
        <f t="shared" ca="1" si="20"/>
        <v>1164862.6519047578</v>
      </c>
      <c r="AI45" s="59">
        <f t="shared" ca="1" si="20"/>
        <v>1128275.932337997</v>
      </c>
      <c r="AJ45" s="59">
        <f t="shared" ca="1" si="20"/>
        <v>1089043.1174388679</v>
      </c>
      <c r="AK45" s="59">
        <f t="shared" ca="1" si="20"/>
        <v>1047071.4453518302</v>
      </c>
      <c r="AL45" s="59">
        <f t="shared" ca="1" si="20"/>
        <v>1002271.0614148366</v>
      </c>
      <c r="AM45" s="59">
        <f t="shared" ca="1" si="20"/>
        <v>954550.12056524982</v>
      </c>
      <c r="AN45" s="59">
        <f t="shared" ca="1" si="20"/>
        <v>903807.78652871831</v>
      </c>
      <c r="AO45" s="59">
        <f t="shared" ca="1" si="20"/>
        <v>849921.00474165822</v>
      </c>
      <c r="AP45" s="59">
        <f t="shared" ca="1" si="20"/>
        <v>792782.62867827958</v>
      </c>
      <c r="AQ45" s="59">
        <f t="shared" ca="1" si="20"/>
        <v>732262.67922110099</v>
      </c>
      <c r="AR45" s="59">
        <f t="shared" ca="1" si="20"/>
        <v>668208.43053455686</v>
      </c>
      <c r="AS45" s="59">
        <f t="shared" ca="1" si="20"/>
        <v>600497.66553346417</v>
      </c>
      <c r="AT45" s="59">
        <f t="shared" ca="1" si="20"/>
        <v>529011.28193517309</v>
      </c>
      <c r="AU45" s="59">
        <f t="shared" ca="1" si="20"/>
        <v>453614.02514187188</v>
      </c>
      <c r="AV45" s="59">
        <f t="shared" ca="1" si="20"/>
        <v>374164.3254265564</v>
      </c>
      <c r="AW45" s="59">
        <f t="shared" ca="1" si="20"/>
        <v>290451.8305998781</v>
      </c>
      <c r="AX45" s="59">
        <f t="shared" ca="1" si="20"/>
        <v>202327.74774462255</v>
      </c>
      <c r="AY45" s="59">
        <f t="shared" ca="1" si="20"/>
        <v>109619.81089113632</v>
      </c>
      <c r="AZ45" s="59">
        <f t="shared" ca="1" si="20"/>
        <v>12247.022894763284</v>
      </c>
      <c r="BA45" s="59">
        <f t="shared" ca="1" si="20"/>
        <v>-90398.70396742523</v>
      </c>
      <c r="BS45" s="5">
        <f t="shared" si="0"/>
        <v>0</v>
      </c>
      <c r="BT45" s="5" t="str">
        <f t="shared" si="1"/>
        <v>2029E_Erwerb6</v>
      </c>
      <c r="BU45">
        <v>2029</v>
      </c>
      <c r="BV45" t="s">
        <v>74</v>
      </c>
      <c r="BW45">
        <v>6</v>
      </c>
      <c r="BX45">
        <v>1</v>
      </c>
      <c r="BY45" s="12">
        <f>2450*4</f>
        <v>9800</v>
      </c>
      <c r="CD45" s="5" t="str">
        <f t="shared" ca="1" si="4"/>
        <v>Amy</v>
      </c>
      <c r="CE45" s="5" t="str">
        <f t="shared" ca="1" si="5"/>
        <v>AHV-Einzelrente</v>
      </c>
      <c r="CF45" s="5" t="str">
        <f t="shared" ca="1" si="6"/>
        <v>Amy - AHV-Einzelrente</v>
      </c>
      <c r="CG45" s="5"/>
    </row>
    <row r="46" spans="1:85" ht="27.75" customHeight="1" x14ac:dyDescent="0.25">
      <c r="A46" s="56" t="s">
        <v>91</v>
      </c>
      <c r="B46" s="57" t="s">
        <v>95</v>
      </c>
      <c r="C46" s="53"/>
      <c r="D46" s="54"/>
      <c r="E46" s="64">
        <f ca="1">SUM(E47:E64)</f>
        <v>1360000</v>
      </c>
      <c r="F46" s="58">
        <f ca="1">SUM(F47:F64)</f>
        <v>1393973.3</v>
      </c>
      <c r="G46" s="58">
        <f t="shared" ref="G46:BA46" ca="1" si="21">SUM(G47:G50)</f>
        <v>927473.9595</v>
      </c>
      <c r="H46" s="58">
        <f t="shared" ca="1" si="21"/>
        <v>996328.55150249996</v>
      </c>
      <c r="I46" s="58">
        <f t="shared" ca="1" si="21"/>
        <v>1043704.9107888</v>
      </c>
      <c r="J46" s="58">
        <f t="shared" ca="1" si="21"/>
        <v>1107707.609004576</v>
      </c>
      <c r="K46" s="58">
        <f t="shared" ca="1" si="21"/>
        <v>0</v>
      </c>
      <c r="L46" s="58">
        <f t="shared" ca="1" si="21"/>
        <v>0</v>
      </c>
      <c r="M46" s="58">
        <f t="shared" ca="1" si="21"/>
        <v>0</v>
      </c>
      <c r="N46" s="58">
        <f t="shared" ca="1" si="21"/>
        <v>0</v>
      </c>
      <c r="O46" s="58">
        <f t="shared" ca="1" si="21"/>
        <v>0</v>
      </c>
      <c r="P46" s="58">
        <f t="shared" ca="1" si="21"/>
        <v>0</v>
      </c>
      <c r="Q46" s="58">
        <f t="shared" ca="1" si="21"/>
        <v>0</v>
      </c>
      <c r="R46" s="58">
        <f t="shared" ca="1" si="21"/>
        <v>0</v>
      </c>
      <c r="S46" s="58">
        <f t="shared" ca="1" si="21"/>
        <v>0</v>
      </c>
      <c r="T46" s="58">
        <f t="shared" ca="1" si="21"/>
        <v>0</v>
      </c>
      <c r="U46" s="58">
        <f t="shared" ca="1" si="21"/>
        <v>0</v>
      </c>
      <c r="V46" s="58">
        <f t="shared" ca="1" si="21"/>
        <v>0</v>
      </c>
      <c r="W46" s="58">
        <f t="shared" ca="1" si="21"/>
        <v>0</v>
      </c>
      <c r="X46" s="58">
        <f t="shared" ca="1" si="21"/>
        <v>0</v>
      </c>
      <c r="Y46" s="58">
        <f t="shared" ca="1" si="21"/>
        <v>0</v>
      </c>
      <c r="Z46" s="58">
        <f t="shared" ca="1" si="21"/>
        <v>0</v>
      </c>
      <c r="AA46" s="58">
        <f t="shared" ca="1" si="21"/>
        <v>0</v>
      </c>
      <c r="AB46" s="58">
        <f t="shared" ca="1" si="21"/>
        <v>0</v>
      </c>
      <c r="AC46" s="58">
        <f t="shared" ca="1" si="21"/>
        <v>0</v>
      </c>
      <c r="AD46" s="58">
        <f t="shared" ca="1" si="21"/>
        <v>0</v>
      </c>
      <c r="AE46" s="58">
        <f t="shared" ca="1" si="21"/>
        <v>0</v>
      </c>
      <c r="AF46" s="58">
        <f t="shared" ca="1" si="21"/>
        <v>0</v>
      </c>
      <c r="AG46" s="58">
        <f t="shared" ca="1" si="21"/>
        <v>0</v>
      </c>
      <c r="AH46" s="58">
        <f t="shared" ca="1" si="21"/>
        <v>0</v>
      </c>
      <c r="AI46" s="58">
        <f t="shared" ca="1" si="21"/>
        <v>0</v>
      </c>
      <c r="AJ46" s="58">
        <f t="shared" ca="1" si="21"/>
        <v>0</v>
      </c>
      <c r="AK46" s="58">
        <f t="shared" ca="1" si="21"/>
        <v>0</v>
      </c>
      <c r="AL46" s="58">
        <f t="shared" ca="1" si="21"/>
        <v>0</v>
      </c>
      <c r="AM46" s="58">
        <f t="shared" ca="1" si="21"/>
        <v>0</v>
      </c>
      <c r="AN46" s="58">
        <f t="shared" ca="1" si="21"/>
        <v>0</v>
      </c>
      <c r="AO46" s="58">
        <f t="shared" ca="1" si="21"/>
        <v>0</v>
      </c>
      <c r="AP46" s="58">
        <f t="shared" ca="1" si="21"/>
        <v>0</v>
      </c>
      <c r="AQ46" s="58">
        <f t="shared" ca="1" si="21"/>
        <v>0</v>
      </c>
      <c r="AR46" s="58">
        <f t="shared" ca="1" si="21"/>
        <v>0</v>
      </c>
      <c r="AS46" s="58">
        <f t="shared" ca="1" si="21"/>
        <v>0</v>
      </c>
      <c r="AT46" s="58">
        <f t="shared" ca="1" si="21"/>
        <v>0</v>
      </c>
      <c r="AU46" s="58">
        <f t="shared" ca="1" si="21"/>
        <v>0</v>
      </c>
      <c r="AV46" s="58">
        <f t="shared" ca="1" si="21"/>
        <v>0</v>
      </c>
      <c r="AW46" s="58">
        <f t="shared" ca="1" si="21"/>
        <v>0</v>
      </c>
      <c r="AX46" s="58">
        <f t="shared" ca="1" si="21"/>
        <v>0</v>
      </c>
      <c r="AY46" s="58">
        <f t="shared" ca="1" si="21"/>
        <v>0</v>
      </c>
      <c r="AZ46" s="58">
        <f t="shared" ca="1" si="21"/>
        <v>0</v>
      </c>
      <c r="BA46" s="58">
        <f t="shared" si="21"/>
        <v>0</v>
      </c>
      <c r="BS46" s="5">
        <f t="shared" si="0"/>
        <v>0</v>
      </c>
      <c r="BT46" s="5" t="str">
        <f t="shared" si="1"/>
        <v>2030E_Erwerb6</v>
      </c>
      <c r="BU46">
        <v>2030</v>
      </c>
      <c r="BV46" t="s">
        <v>74</v>
      </c>
      <c r="BW46">
        <v>6</v>
      </c>
      <c r="BX46">
        <v>1</v>
      </c>
      <c r="BY46" s="12">
        <f>2450*12</f>
        <v>29400</v>
      </c>
      <c r="CD46" s="5" t="str">
        <f t="shared" ca="1" si="4"/>
        <v>Amy</v>
      </c>
      <c r="CE46" s="5" t="str">
        <f t="shared" ca="1" si="5"/>
        <v>AHV-Einzelrente</v>
      </c>
      <c r="CF46" s="5" t="str">
        <f t="shared" ca="1" si="6"/>
        <v>Amy - AHV-Einzelrente</v>
      </c>
      <c r="CG46" s="5"/>
    </row>
    <row r="47" spans="1:85" x14ac:dyDescent="0.25">
      <c r="A47" s="57" t="str" cm="1">
        <f t="array" aca="1" ref="A47:A59" ca="1">INDIRECT($B46&amp;"[Titel]")</f>
        <v>Pensionskasse McDonalds</v>
      </c>
      <c r="B47" s="57" cm="1">
        <f t="array" aca="1" ref="B47:B59" ca="1">INDIRECT($B46&amp;"[Id]")</f>
        <v>2</v>
      </c>
      <c r="C47" s="53" t="str" cm="1">
        <f t="array" aca="1" ref="C47:C59" ca="1">INDIRECT($B46&amp;"[Zugehörigkeit Bezeichnung]")</f>
        <v>Amy</v>
      </c>
      <c r="D47" s="54" cm="1">
        <f t="array" aca="1" ref="D47:D59" ca="1">INDIRECT($B46&amp;"[Rendite / Zins]")</f>
        <v>0.02</v>
      </c>
      <c r="E47" s="62" cm="1">
        <f t="array" aca="1" ref="E47:E59" ca="1">INDIRECT($B46&amp;"[Betrag]")</f>
        <v>800000</v>
      </c>
      <c r="F47" s="59" cm="1">
        <f t="array" aca="1" ref="F47:F59" ca="1">_xlfn.SWITCH(IFERROR(VLOOKUP(F$3&amp;$B$46&amp;_xlfn.ANCHORARRAY($B47),$BT:$CA,5,0),0),
0,_xlfn.ANCHORARRAY(E47)*(1+_xlfn.ANCHORARRAY($D47))+SUMIF($BT:$BT,F$3&amp;$B$46&amp;_xlfn.ANCHORARRAY($B47),$CA:$CA),
1,VLOOKUP(F$3&amp;$B$46&amp;_xlfn.ANCHORARRAY($B47),$BT:$CA,6,0),
2,_xlfn.ANCHORARRAY(E47)*(1+_xlfn.ANCHORARRAY($D47))*VLOOKUP(F$3&amp;$B$46&amp;_xlfn.ANCHORARRAY($B47),$BT:$CA,7,0))</f>
        <v>859128.6</v>
      </c>
      <c r="G47" s="59" cm="1">
        <f t="array" aca="1" ref="G47:G59" ca="1">_xlfn.SWITCH(IFERROR(VLOOKUP(G$3&amp;$B$46&amp;_xlfn.ANCHORARRAY($B47),$BT:$CA,5,0),0),
0,_xlfn.ANCHORARRAY(F47)*(1+_xlfn.ANCHORARRAY($D47))+SUMIF($BT:$BT,G$3&amp;$B$46&amp;_xlfn.ANCHORARRAY($B47),$CA:$CA),
1,VLOOKUP(G$3&amp;$B$46&amp;_xlfn.ANCHORARRAY($B47),$BT:$CA,6,0),
2,_xlfn.ANCHORARRAY(F47)*(1+_xlfn.ANCHORARRAY($D47))*VLOOKUP(G$3&amp;$B$46&amp;_xlfn.ANCHORARRAY($B47),$BT:$CA,7,0))</f>
        <v>919439.772</v>
      </c>
      <c r="H47" s="59" cm="1">
        <f t="array" aca="1" ref="H47:H59" ca="1">_xlfn.SWITCH(IFERROR(VLOOKUP(H$3&amp;$B$46&amp;_xlfn.ANCHORARRAY($B47),$BT:$CA,5,0),0),
0,_xlfn.ANCHORARRAY(G47)*(1+_xlfn.ANCHORARRAY($D47))+SUMIF($BT:$BT,H$3&amp;$B$46&amp;_xlfn.ANCHORARRAY($B47),$CA:$CA),
1,VLOOKUP(H$3&amp;$B$46&amp;_xlfn.ANCHORARRAY($B47),$BT:$CA,6,0),
2,_xlfn.ANCHORARRAY(G47)*(1+_xlfn.ANCHORARRAY($D47))*VLOOKUP(H$3&amp;$B$46&amp;_xlfn.ANCHORARRAY($B47),$BT:$CA,7,0))</f>
        <v>980957.16743999999</v>
      </c>
      <c r="I47" s="59" cm="1">
        <f t="array" aca="1" ref="I47:I59" ca="1">_xlfn.SWITCH(IFERROR(VLOOKUP(I$3&amp;$B$46&amp;_xlfn.ANCHORARRAY($B47),$BT:$CA,5,0),0),
0,_xlfn.ANCHORARRAY(H47)*(1+_xlfn.ANCHORARRAY($D47))+SUMIF($BT:$BT,I$3&amp;$B$46&amp;_xlfn.ANCHORARRAY($B47),$CA:$CA),
1,VLOOKUP(I$3&amp;$B$46&amp;_xlfn.ANCHORARRAY($B47),$BT:$CA,6,0),
2,_xlfn.ANCHORARRAY(H47)*(1+_xlfn.ANCHORARRAY($D47))*VLOOKUP(I$3&amp;$B$46&amp;_xlfn.ANCHORARRAY($B47),$BT:$CA,7,0))</f>
        <v>1043704.9107888</v>
      </c>
      <c r="J47" s="59" cm="1">
        <f t="array" aca="1" ref="J47:J59" ca="1">_xlfn.SWITCH(IFERROR(VLOOKUP(J$3&amp;$B$46&amp;_xlfn.ANCHORARRAY($B47),$BT:$CA,5,0),0),
0,_xlfn.ANCHORARRAY(I47)*(1+_xlfn.ANCHORARRAY($D47))+SUMIF($BT:$BT,J$3&amp;$B$46&amp;_xlfn.ANCHORARRAY($B47),$CA:$CA),
1,VLOOKUP(J$3&amp;$B$46&amp;_xlfn.ANCHORARRAY($B47),$BT:$CA,6,0),
2,_xlfn.ANCHORARRAY(I47)*(1+_xlfn.ANCHORARRAY($D47))*VLOOKUP(J$3&amp;$B$46&amp;_xlfn.ANCHORARRAY($B47),$BT:$CA,7,0))</f>
        <v>1107707.609004576</v>
      </c>
      <c r="K47" s="59" cm="1">
        <f t="array" aca="1" ref="K47:K59" ca="1">_xlfn.SWITCH(IFERROR(VLOOKUP(K$3&amp;$B$46&amp;_xlfn.ANCHORARRAY($B47),$BT:$CA,5,0),0),
0,_xlfn.ANCHORARRAY(J47)*(1+_xlfn.ANCHORARRAY($D47))+SUMIF($BT:$BT,K$3&amp;$B$46&amp;_xlfn.ANCHORARRAY($B47),$CA:$CA),
1,VLOOKUP(K$3&amp;$B$46&amp;_xlfn.ANCHORARRAY($B47),$BT:$CA,6,0),
2,_xlfn.ANCHORARRAY(J47)*(1+_xlfn.ANCHORARRAY($D47))*VLOOKUP(K$3&amp;$B$46&amp;_xlfn.ANCHORARRAY($B47),$BT:$CA,7,0))</f>
        <v>0</v>
      </c>
      <c r="L47" s="59" cm="1">
        <f t="array" aca="1" ref="L47:L59" ca="1">_xlfn.SWITCH(IFERROR(VLOOKUP(L$3&amp;$B$46&amp;_xlfn.ANCHORARRAY($B47),$BT:$CA,5,0),0),
0,_xlfn.ANCHORARRAY(K47)*(1+_xlfn.ANCHORARRAY($D47))+SUMIF($BT:$BT,L$3&amp;$B$46&amp;_xlfn.ANCHORARRAY($B47),$CA:$CA),
1,VLOOKUP(L$3&amp;$B$46&amp;_xlfn.ANCHORARRAY($B47),$BT:$CA,6,0),
2,_xlfn.ANCHORARRAY(K47)*(1+_xlfn.ANCHORARRAY($D47))*VLOOKUP(L$3&amp;$B$46&amp;_xlfn.ANCHORARRAY($B47),$BT:$CA,7,0))</f>
        <v>0</v>
      </c>
      <c r="M47" s="59" cm="1">
        <f t="array" aca="1" ref="M47:M59" ca="1">_xlfn.SWITCH(IFERROR(VLOOKUP(M$3&amp;$B$46&amp;_xlfn.ANCHORARRAY($B47),$BT:$CA,5,0),0),
0,_xlfn.ANCHORARRAY(L47)*(1+_xlfn.ANCHORARRAY($D47))+SUMIF($BT:$BT,M$3&amp;$B$46&amp;_xlfn.ANCHORARRAY($B47),$CA:$CA),
1,VLOOKUP(M$3&amp;$B$46&amp;_xlfn.ANCHORARRAY($B47),$BT:$CA,6,0),
2,_xlfn.ANCHORARRAY(L47)*(1+_xlfn.ANCHORARRAY($D47))*VLOOKUP(M$3&amp;$B$46&amp;_xlfn.ANCHORARRAY($B47),$BT:$CA,7,0))</f>
        <v>0</v>
      </c>
      <c r="N47" s="59" cm="1">
        <f t="array" aca="1" ref="N47:N59" ca="1">_xlfn.SWITCH(IFERROR(VLOOKUP(N$3&amp;$B$46&amp;_xlfn.ANCHORARRAY($B47),$BT:$CA,5,0),0),
0,_xlfn.ANCHORARRAY(M47)*(1+_xlfn.ANCHORARRAY($D47))+SUMIF($BT:$BT,N$3&amp;$B$46&amp;_xlfn.ANCHORARRAY($B47),$CA:$CA),
1,VLOOKUP(N$3&amp;$B$46&amp;_xlfn.ANCHORARRAY($B47),$BT:$CA,6,0),
2,_xlfn.ANCHORARRAY(M47)*(1+_xlfn.ANCHORARRAY($D47))*VLOOKUP(N$3&amp;$B$46&amp;_xlfn.ANCHORARRAY($B47),$BT:$CA,7,0))</f>
        <v>0</v>
      </c>
      <c r="O47" s="59" cm="1">
        <f t="array" aca="1" ref="O47:O59" ca="1">_xlfn.SWITCH(IFERROR(VLOOKUP(O$3&amp;$B$46&amp;_xlfn.ANCHORARRAY($B47),$BT:$CA,5,0),0),
0,_xlfn.ANCHORARRAY(N47)*(1+_xlfn.ANCHORARRAY($D47))+SUMIF($BT:$BT,O$3&amp;$B$46&amp;_xlfn.ANCHORARRAY($B47),$CA:$CA),
1,VLOOKUP(O$3&amp;$B$46&amp;_xlfn.ANCHORARRAY($B47),$BT:$CA,6,0),
2,_xlfn.ANCHORARRAY(N47)*(1+_xlfn.ANCHORARRAY($D47))*VLOOKUP(O$3&amp;$B$46&amp;_xlfn.ANCHORARRAY($B47),$BT:$CA,7,0))</f>
        <v>0</v>
      </c>
      <c r="P47" s="59" cm="1">
        <f t="array" aca="1" ref="P47:P59" ca="1">_xlfn.SWITCH(IFERROR(VLOOKUP(P$3&amp;$B$46&amp;_xlfn.ANCHORARRAY($B47),$BT:$CA,5,0),0),
0,_xlfn.ANCHORARRAY(O47)*(1+_xlfn.ANCHORARRAY($D47))+SUMIF($BT:$BT,P$3&amp;$B$46&amp;_xlfn.ANCHORARRAY($B47),$CA:$CA),
1,VLOOKUP(P$3&amp;$B$46&amp;_xlfn.ANCHORARRAY($B47),$BT:$CA,6,0),
2,_xlfn.ANCHORARRAY(O47)*(1+_xlfn.ANCHORARRAY($D47))*VLOOKUP(P$3&amp;$B$46&amp;_xlfn.ANCHORARRAY($B47),$BT:$CA,7,0))</f>
        <v>0</v>
      </c>
      <c r="Q47" s="59" cm="1">
        <f t="array" aca="1" ref="Q47:Q59" ca="1">_xlfn.SWITCH(IFERROR(VLOOKUP(Q$3&amp;$B$46&amp;_xlfn.ANCHORARRAY($B47),$BT:$CA,5,0),0),
0,_xlfn.ANCHORARRAY(P47)*(1+_xlfn.ANCHORARRAY($D47))+SUMIF($BT:$BT,Q$3&amp;$B$46&amp;_xlfn.ANCHORARRAY($B47),$CA:$CA),
1,VLOOKUP(Q$3&amp;$B$46&amp;_xlfn.ANCHORARRAY($B47),$BT:$CA,6,0),
2,_xlfn.ANCHORARRAY(P47)*(1+_xlfn.ANCHORARRAY($D47))*VLOOKUP(Q$3&amp;$B$46&amp;_xlfn.ANCHORARRAY($B47),$BT:$CA,7,0))</f>
        <v>0</v>
      </c>
      <c r="R47" s="59" cm="1">
        <f t="array" aca="1" ref="R47:R59" ca="1">_xlfn.SWITCH(IFERROR(VLOOKUP(R$3&amp;$B$46&amp;_xlfn.ANCHORARRAY($B47),$BT:$CA,5,0),0),
0,_xlfn.ANCHORARRAY(Q47)*(1+_xlfn.ANCHORARRAY($D47))+SUMIF($BT:$BT,R$3&amp;$B$46&amp;_xlfn.ANCHORARRAY($B47),$CA:$CA),
1,VLOOKUP(R$3&amp;$B$46&amp;_xlfn.ANCHORARRAY($B47),$BT:$CA,6,0),
2,_xlfn.ANCHORARRAY(Q47)*(1+_xlfn.ANCHORARRAY($D47))*VLOOKUP(R$3&amp;$B$46&amp;_xlfn.ANCHORARRAY($B47),$BT:$CA,7,0))</f>
        <v>0</v>
      </c>
      <c r="S47" s="59" cm="1">
        <f t="array" aca="1" ref="S47:S59" ca="1">_xlfn.SWITCH(IFERROR(VLOOKUP(S$3&amp;$B$46&amp;_xlfn.ANCHORARRAY($B47),$BT:$CA,5,0),0),
0,_xlfn.ANCHORARRAY(R47)*(1+_xlfn.ANCHORARRAY($D47))+SUMIF($BT:$BT,S$3&amp;$B$46&amp;_xlfn.ANCHORARRAY($B47),$CA:$CA),
1,VLOOKUP(S$3&amp;$B$46&amp;_xlfn.ANCHORARRAY($B47),$BT:$CA,6,0),
2,_xlfn.ANCHORARRAY(R47)*(1+_xlfn.ANCHORARRAY($D47))*VLOOKUP(S$3&amp;$B$46&amp;_xlfn.ANCHORARRAY($B47),$BT:$CA,7,0))</f>
        <v>0</v>
      </c>
      <c r="T47" s="59" cm="1">
        <f t="array" aca="1" ref="T47:T59" ca="1">_xlfn.SWITCH(IFERROR(VLOOKUP(T$3&amp;$B$46&amp;_xlfn.ANCHORARRAY($B47),$BT:$CA,5,0),0),
0,_xlfn.ANCHORARRAY(S47)*(1+_xlfn.ANCHORARRAY($D47))+SUMIF($BT:$BT,T$3&amp;$B$46&amp;_xlfn.ANCHORARRAY($B47),$CA:$CA),
1,VLOOKUP(T$3&amp;$B$46&amp;_xlfn.ANCHORARRAY($B47),$BT:$CA,6,0),
2,_xlfn.ANCHORARRAY(S47)*(1+_xlfn.ANCHORARRAY($D47))*VLOOKUP(T$3&amp;$B$46&amp;_xlfn.ANCHORARRAY($B47),$BT:$CA,7,0))</f>
        <v>0</v>
      </c>
      <c r="U47" s="59" cm="1">
        <f t="array" aca="1" ref="U47:U59" ca="1">_xlfn.SWITCH(IFERROR(VLOOKUP(U$3&amp;$B$46&amp;_xlfn.ANCHORARRAY($B47),$BT:$CA,5,0),0),
0,_xlfn.ANCHORARRAY(T47)*(1+_xlfn.ANCHORARRAY($D47))+SUMIF($BT:$BT,U$3&amp;$B$46&amp;_xlfn.ANCHORARRAY($B47),$CA:$CA),
1,VLOOKUP(U$3&amp;$B$46&amp;_xlfn.ANCHORARRAY($B47),$BT:$CA,6,0),
2,_xlfn.ANCHORARRAY(T47)*(1+_xlfn.ANCHORARRAY($D47))*VLOOKUP(U$3&amp;$B$46&amp;_xlfn.ANCHORARRAY($B47),$BT:$CA,7,0))</f>
        <v>0</v>
      </c>
      <c r="V47" s="59" cm="1">
        <f t="array" aca="1" ref="V47:V59" ca="1">_xlfn.SWITCH(IFERROR(VLOOKUP(V$3&amp;$B$46&amp;_xlfn.ANCHORARRAY($B47),$BT:$CA,5,0),0),
0,_xlfn.ANCHORARRAY(U47)*(1+_xlfn.ANCHORARRAY($D47))+SUMIF($BT:$BT,V$3&amp;$B$46&amp;_xlfn.ANCHORARRAY($B47),$CA:$CA),
1,VLOOKUP(V$3&amp;$B$46&amp;_xlfn.ANCHORARRAY($B47),$BT:$CA,6,0),
2,_xlfn.ANCHORARRAY(U47)*(1+_xlfn.ANCHORARRAY($D47))*VLOOKUP(V$3&amp;$B$46&amp;_xlfn.ANCHORARRAY($B47),$BT:$CA,7,0))</f>
        <v>0</v>
      </c>
      <c r="W47" s="59" cm="1">
        <f t="array" aca="1" ref="W47:W59" ca="1">_xlfn.SWITCH(IFERROR(VLOOKUP(W$3&amp;$B$46&amp;_xlfn.ANCHORARRAY($B47),$BT:$CA,5,0),0),
0,_xlfn.ANCHORARRAY(V47)*(1+_xlfn.ANCHORARRAY($D47))+SUMIF($BT:$BT,W$3&amp;$B$46&amp;_xlfn.ANCHORARRAY($B47),$CA:$CA),
1,VLOOKUP(W$3&amp;$B$46&amp;_xlfn.ANCHORARRAY($B47),$BT:$CA,6,0),
2,_xlfn.ANCHORARRAY(V47)*(1+_xlfn.ANCHORARRAY($D47))*VLOOKUP(W$3&amp;$B$46&amp;_xlfn.ANCHORARRAY($B47),$BT:$CA,7,0))</f>
        <v>0</v>
      </c>
      <c r="X47" s="59" cm="1">
        <f t="array" aca="1" ref="X47:X59" ca="1">_xlfn.SWITCH(IFERROR(VLOOKUP(X$3&amp;$B$46&amp;_xlfn.ANCHORARRAY($B47),$BT:$CA,5,0),0),
0,_xlfn.ANCHORARRAY(W47)*(1+_xlfn.ANCHORARRAY($D47))+SUMIF($BT:$BT,X$3&amp;$B$46&amp;_xlfn.ANCHORARRAY($B47),$CA:$CA),
1,VLOOKUP(X$3&amp;$B$46&amp;_xlfn.ANCHORARRAY($B47),$BT:$CA,6,0),
2,_xlfn.ANCHORARRAY(W47)*(1+_xlfn.ANCHORARRAY($D47))*VLOOKUP(X$3&amp;$B$46&amp;_xlfn.ANCHORARRAY($B47),$BT:$CA,7,0))</f>
        <v>0</v>
      </c>
      <c r="Y47" s="59" cm="1">
        <f t="array" aca="1" ref="Y47:Y59" ca="1">_xlfn.SWITCH(IFERROR(VLOOKUP(Y$3&amp;$B$46&amp;_xlfn.ANCHORARRAY($B47),$BT:$CA,5,0),0),
0,_xlfn.ANCHORARRAY(X47)*(1+_xlfn.ANCHORARRAY($D47))+SUMIF($BT:$BT,Y$3&amp;$B$46&amp;_xlfn.ANCHORARRAY($B47),$CA:$CA),
1,VLOOKUP(Y$3&amp;$B$46&amp;_xlfn.ANCHORARRAY($B47),$BT:$CA,6,0),
2,_xlfn.ANCHORARRAY(X47)*(1+_xlfn.ANCHORARRAY($D47))*VLOOKUP(Y$3&amp;$B$46&amp;_xlfn.ANCHORARRAY($B47),$BT:$CA,7,0))</f>
        <v>0</v>
      </c>
      <c r="Z47" s="59" cm="1">
        <f t="array" aca="1" ref="Z47:Z59" ca="1">_xlfn.SWITCH(IFERROR(VLOOKUP(Z$3&amp;$B$46&amp;_xlfn.ANCHORARRAY($B47),$BT:$CA,5,0),0),
0,_xlfn.ANCHORARRAY(Y47)*(1+_xlfn.ANCHORARRAY($D47))+SUMIF($BT:$BT,Z$3&amp;$B$46&amp;_xlfn.ANCHORARRAY($B47),$CA:$CA),
1,VLOOKUP(Z$3&amp;$B$46&amp;_xlfn.ANCHORARRAY($B47),$BT:$CA,6,0),
2,_xlfn.ANCHORARRAY(Y47)*(1+_xlfn.ANCHORARRAY($D47))*VLOOKUP(Z$3&amp;$B$46&amp;_xlfn.ANCHORARRAY($B47),$BT:$CA,7,0))</f>
        <v>0</v>
      </c>
      <c r="AA47" s="59" cm="1">
        <f t="array" aca="1" ref="AA47:AA59" ca="1">_xlfn.SWITCH(IFERROR(VLOOKUP(AA$3&amp;$B$46&amp;_xlfn.ANCHORARRAY($B47),$BT:$CA,5,0),0),
0,_xlfn.ANCHORARRAY(Z47)*(1+_xlfn.ANCHORARRAY($D47))+SUMIF($BT:$BT,AA$3&amp;$B$46&amp;_xlfn.ANCHORARRAY($B47),$CA:$CA),
1,VLOOKUP(AA$3&amp;$B$46&amp;_xlfn.ANCHORARRAY($B47),$BT:$CA,6,0),
2,_xlfn.ANCHORARRAY(Z47)*(1+_xlfn.ANCHORARRAY($D47))*VLOOKUP(AA$3&amp;$B$46&amp;_xlfn.ANCHORARRAY($B47),$BT:$CA,7,0))</f>
        <v>0</v>
      </c>
      <c r="AB47" s="59" cm="1">
        <f t="array" aca="1" ref="AB47:AB59" ca="1">_xlfn.SWITCH(IFERROR(VLOOKUP(AB$3&amp;$B$46&amp;_xlfn.ANCHORARRAY($B47),$BT:$CA,5,0),0),
0,_xlfn.ANCHORARRAY(AA47)*(1+_xlfn.ANCHORARRAY($D47))+SUMIF($BT:$BT,AB$3&amp;$B$46&amp;_xlfn.ANCHORARRAY($B47),$CA:$CA),
1,VLOOKUP(AB$3&amp;$B$46&amp;_xlfn.ANCHORARRAY($B47),$BT:$CA,6,0),
2,_xlfn.ANCHORARRAY(AA47)*(1+_xlfn.ANCHORARRAY($D47))*VLOOKUP(AB$3&amp;$B$46&amp;_xlfn.ANCHORARRAY($B47),$BT:$CA,7,0))</f>
        <v>0</v>
      </c>
      <c r="AC47" s="59" cm="1">
        <f t="array" aca="1" ref="AC47:AC59" ca="1">_xlfn.SWITCH(IFERROR(VLOOKUP(AC$3&amp;$B$46&amp;_xlfn.ANCHORARRAY($B47),$BT:$CA,5,0),0),
0,_xlfn.ANCHORARRAY(AB47)*(1+_xlfn.ANCHORARRAY($D47))+SUMIF($BT:$BT,AC$3&amp;$B$46&amp;_xlfn.ANCHORARRAY($B47),$CA:$CA),
1,VLOOKUP(AC$3&amp;$B$46&amp;_xlfn.ANCHORARRAY($B47),$BT:$CA,6,0),
2,_xlfn.ANCHORARRAY(AB47)*(1+_xlfn.ANCHORARRAY($D47))*VLOOKUP(AC$3&amp;$B$46&amp;_xlfn.ANCHORARRAY($B47),$BT:$CA,7,0))</f>
        <v>0</v>
      </c>
      <c r="AD47" s="59" cm="1">
        <f t="array" aca="1" ref="AD47:AD59" ca="1">_xlfn.SWITCH(IFERROR(VLOOKUP(AD$3&amp;$B$46&amp;_xlfn.ANCHORARRAY($B47),$BT:$CA,5,0),0),
0,_xlfn.ANCHORARRAY(AC47)*(1+_xlfn.ANCHORARRAY($D47))+SUMIF($BT:$BT,AD$3&amp;$B$46&amp;_xlfn.ANCHORARRAY($B47),$CA:$CA),
1,VLOOKUP(AD$3&amp;$B$46&amp;_xlfn.ANCHORARRAY($B47),$BT:$CA,6,0),
2,_xlfn.ANCHORARRAY(AC47)*(1+_xlfn.ANCHORARRAY($D47))*VLOOKUP(AD$3&amp;$B$46&amp;_xlfn.ANCHORARRAY($B47),$BT:$CA,7,0))</f>
        <v>0</v>
      </c>
      <c r="AE47" s="59" cm="1">
        <f t="array" aca="1" ref="AE47:AE59" ca="1">_xlfn.SWITCH(IFERROR(VLOOKUP(AE$3&amp;$B$46&amp;_xlfn.ANCHORARRAY($B47),$BT:$CA,5,0),0),
0,_xlfn.ANCHORARRAY(AD47)*(1+_xlfn.ANCHORARRAY($D47))+SUMIF($BT:$BT,AE$3&amp;$B$46&amp;_xlfn.ANCHORARRAY($B47),$CA:$CA),
1,VLOOKUP(AE$3&amp;$B$46&amp;_xlfn.ANCHORARRAY($B47),$BT:$CA,6,0),
2,_xlfn.ANCHORARRAY(AD47)*(1+_xlfn.ANCHORARRAY($D47))*VLOOKUP(AE$3&amp;$B$46&amp;_xlfn.ANCHORARRAY($B47),$BT:$CA,7,0))</f>
        <v>0</v>
      </c>
      <c r="AF47" s="59" cm="1">
        <f t="array" aca="1" ref="AF47:AF59" ca="1">_xlfn.SWITCH(IFERROR(VLOOKUP(AF$3&amp;$B$46&amp;_xlfn.ANCHORARRAY($B47),$BT:$CA,5,0),0),
0,_xlfn.ANCHORARRAY(AE47)*(1+_xlfn.ANCHORARRAY($D47))+SUMIF($BT:$BT,AF$3&amp;$B$46&amp;_xlfn.ANCHORARRAY($B47),$CA:$CA),
1,VLOOKUP(AF$3&amp;$B$46&amp;_xlfn.ANCHORARRAY($B47),$BT:$CA,6,0),
2,_xlfn.ANCHORARRAY(AE47)*(1+_xlfn.ANCHORARRAY($D47))*VLOOKUP(AF$3&amp;$B$46&amp;_xlfn.ANCHORARRAY($B47),$BT:$CA,7,0))</f>
        <v>0</v>
      </c>
      <c r="AG47" s="59" cm="1">
        <f t="array" aca="1" ref="AG47:AG59" ca="1">_xlfn.SWITCH(IFERROR(VLOOKUP(AG$3&amp;$B$46&amp;_xlfn.ANCHORARRAY($B47),$BT:$CA,5,0),0),
0,_xlfn.ANCHORARRAY(AF47)*(1+_xlfn.ANCHORARRAY($D47))+SUMIF($BT:$BT,AG$3&amp;$B$46&amp;_xlfn.ANCHORARRAY($B47),$CA:$CA),
1,VLOOKUP(AG$3&amp;$B$46&amp;_xlfn.ANCHORARRAY($B47),$BT:$CA,6,0),
2,_xlfn.ANCHORARRAY(AF47)*(1+_xlfn.ANCHORARRAY($D47))*VLOOKUP(AG$3&amp;$B$46&amp;_xlfn.ANCHORARRAY($B47),$BT:$CA,7,0))</f>
        <v>0</v>
      </c>
      <c r="AH47" s="59" cm="1">
        <f t="array" aca="1" ref="AH47:AH59" ca="1">_xlfn.SWITCH(IFERROR(VLOOKUP(AH$3&amp;$B$46&amp;_xlfn.ANCHORARRAY($B47),$BT:$CA,5,0),0),
0,_xlfn.ANCHORARRAY(AG47)*(1+_xlfn.ANCHORARRAY($D47))+SUMIF($BT:$BT,AH$3&amp;$B$46&amp;_xlfn.ANCHORARRAY($B47),$CA:$CA),
1,VLOOKUP(AH$3&amp;$B$46&amp;_xlfn.ANCHORARRAY($B47),$BT:$CA,6,0),
2,_xlfn.ANCHORARRAY(AG47)*(1+_xlfn.ANCHORARRAY($D47))*VLOOKUP(AH$3&amp;$B$46&amp;_xlfn.ANCHORARRAY($B47),$BT:$CA,7,0))</f>
        <v>0</v>
      </c>
      <c r="AI47" s="59" cm="1">
        <f t="array" aca="1" ref="AI47:AI59" ca="1">_xlfn.SWITCH(IFERROR(VLOOKUP(AI$3&amp;$B$46&amp;_xlfn.ANCHORARRAY($B47),$BT:$CA,5,0),0),
0,_xlfn.ANCHORARRAY(AH47)*(1+_xlfn.ANCHORARRAY($D47))+SUMIF($BT:$BT,AI$3&amp;$B$46&amp;_xlfn.ANCHORARRAY($B47),$CA:$CA),
1,VLOOKUP(AI$3&amp;$B$46&amp;_xlfn.ANCHORARRAY($B47),$BT:$CA,6,0),
2,_xlfn.ANCHORARRAY(AH47)*(1+_xlfn.ANCHORARRAY($D47))*VLOOKUP(AI$3&amp;$B$46&amp;_xlfn.ANCHORARRAY($B47),$BT:$CA,7,0))</f>
        <v>0</v>
      </c>
      <c r="AJ47" s="59" cm="1">
        <f t="array" aca="1" ref="AJ47:AJ59" ca="1">_xlfn.SWITCH(IFERROR(VLOOKUP(AJ$3&amp;$B$46&amp;_xlfn.ANCHORARRAY($B47),$BT:$CA,5,0),0),
0,_xlfn.ANCHORARRAY(AI47)*(1+_xlfn.ANCHORARRAY($D47))+SUMIF($BT:$BT,AJ$3&amp;$B$46&amp;_xlfn.ANCHORARRAY($B47),$CA:$CA),
1,VLOOKUP(AJ$3&amp;$B$46&amp;_xlfn.ANCHORARRAY($B47),$BT:$CA,6,0),
2,_xlfn.ANCHORARRAY(AI47)*(1+_xlfn.ANCHORARRAY($D47))*VLOOKUP(AJ$3&amp;$B$46&amp;_xlfn.ANCHORARRAY($B47),$BT:$CA,7,0))</f>
        <v>0</v>
      </c>
      <c r="AK47" s="59" cm="1">
        <f t="array" aca="1" ref="AK47:AK59" ca="1">_xlfn.SWITCH(IFERROR(VLOOKUP(AK$3&amp;$B$46&amp;_xlfn.ANCHORARRAY($B47),$BT:$CA,5,0),0),
0,_xlfn.ANCHORARRAY(AJ47)*(1+_xlfn.ANCHORARRAY($D47))+SUMIF($BT:$BT,AK$3&amp;$B$46&amp;_xlfn.ANCHORARRAY($B47),$CA:$CA),
1,VLOOKUP(AK$3&amp;$B$46&amp;_xlfn.ANCHORARRAY($B47),$BT:$CA,6,0),
2,_xlfn.ANCHORARRAY(AJ47)*(1+_xlfn.ANCHORARRAY($D47))*VLOOKUP(AK$3&amp;$B$46&amp;_xlfn.ANCHORARRAY($B47),$BT:$CA,7,0))</f>
        <v>0</v>
      </c>
      <c r="AL47" s="59" cm="1">
        <f t="array" aca="1" ref="AL47:AL59" ca="1">_xlfn.SWITCH(IFERROR(VLOOKUP(AL$3&amp;$B$46&amp;_xlfn.ANCHORARRAY($B47),$BT:$CA,5,0),0),
0,_xlfn.ANCHORARRAY(AK47)*(1+_xlfn.ANCHORARRAY($D47))+SUMIF($BT:$BT,AL$3&amp;$B$46&amp;_xlfn.ANCHORARRAY($B47),$CA:$CA),
1,VLOOKUP(AL$3&amp;$B$46&amp;_xlfn.ANCHORARRAY($B47),$BT:$CA,6,0),
2,_xlfn.ANCHORARRAY(AK47)*(1+_xlfn.ANCHORARRAY($D47))*VLOOKUP(AL$3&amp;$B$46&amp;_xlfn.ANCHORARRAY($B47),$BT:$CA,7,0))</f>
        <v>0</v>
      </c>
      <c r="AM47" s="59" cm="1">
        <f t="array" aca="1" ref="AM47:AM59" ca="1">_xlfn.SWITCH(IFERROR(VLOOKUP(AM$3&amp;$B$46&amp;_xlfn.ANCHORARRAY($B47),$BT:$CA,5,0),0),
0,_xlfn.ANCHORARRAY(AL47)*(1+_xlfn.ANCHORARRAY($D47))+SUMIF($BT:$BT,AM$3&amp;$B$46&amp;_xlfn.ANCHORARRAY($B47),$CA:$CA),
1,VLOOKUP(AM$3&amp;$B$46&amp;_xlfn.ANCHORARRAY($B47),$BT:$CA,6,0),
2,_xlfn.ANCHORARRAY(AL47)*(1+_xlfn.ANCHORARRAY($D47))*VLOOKUP(AM$3&amp;$B$46&amp;_xlfn.ANCHORARRAY($B47),$BT:$CA,7,0))</f>
        <v>0</v>
      </c>
      <c r="AN47" s="59" cm="1">
        <f t="array" aca="1" ref="AN47:AN59" ca="1">_xlfn.SWITCH(IFERROR(VLOOKUP(AN$3&amp;$B$46&amp;_xlfn.ANCHORARRAY($B47),$BT:$CA,5,0),0),
0,_xlfn.ANCHORARRAY(AM47)*(1+_xlfn.ANCHORARRAY($D47))+SUMIF($BT:$BT,AN$3&amp;$B$46&amp;_xlfn.ANCHORARRAY($B47),$CA:$CA),
1,VLOOKUP(AN$3&amp;$B$46&amp;_xlfn.ANCHORARRAY($B47),$BT:$CA,6,0),
2,_xlfn.ANCHORARRAY(AM47)*(1+_xlfn.ANCHORARRAY($D47))*VLOOKUP(AN$3&amp;$B$46&amp;_xlfn.ANCHORARRAY($B47),$BT:$CA,7,0))</f>
        <v>0</v>
      </c>
      <c r="AO47" s="59" cm="1">
        <f t="array" aca="1" ref="AO47:AO59" ca="1">_xlfn.SWITCH(IFERROR(VLOOKUP(AO$3&amp;$B$46&amp;_xlfn.ANCHORARRAY($B47),$BT:$CA,5,0),0),
0,_xlfn.ANCHORARRAY(AN47)*(1+_xlfn.ANCHORARRAY($D47))+SUMIF($BT:$BT,AO$3&amp;$B$46&amp;_xlfn.ANCHORARRAY($B47),$CA:$CA),
1,VLOOKUP(AO$3&amp;$B$46&amp;_xlfn.ANCHORARRAY($B47),$BT:$CA,6,0),
2,_xlfn.ANCHORARRAY(AN47)*(1+_xlfn.ANCHORARRAY($D47))*VLOOKUP(AO$3&amp;$B$46&amp;_xlfn.ANCHORARRAY($B47),$BT:$CA,7,0))</f>
        <v>0</v>
      </c>
      <c r="AP47" s="59" cm="1">
        <f t="array" aca="1" ref="AP47:AP59" ca="1">_xlfn.SWITCH(IFERROR(VLOOKUP(AP$3&amp;$B$46&amp;_xlfn.ANCHORARRAY($B47),$BT:$CA,5,0),0),
0,_xlfn.ANCHORARRAY(AO47)*(1+_xlfn.ANCHORARRAY($D47))+SUMIF($BT:$BT,AP$3&amp;$B$46&amp;_xlfn.ANCHORARRAY($B47),$CA:$CA),
1,VLOOKUP(AP$3&amp;$B$46&amp;_xlfn.ANCHORARRAY($B47),$BT:$CA,6,0),
2,_xlfn.ANCHORARRAY(AO47)*(1+_xlfn.ANCHORARRAY($D47))*VLOOKUP(AP$3&amp;$B$46&amp;_xlfn.ANCHORARRAY($B47),$BT:$CA,7,0))</f>
        <v>0</v>
      </c>
      <c r="AQ47" s="59" cm="1">
        <f t="array" aca="1" ref="AQ47:AQ59" ca="1">_xlfn.SWITCH(IFERROR(VLOOKUP(AQ$3&amp;$B$46&amp;_xlfn.ANCHORARRAY($B47),$BT:$CA,5,0),0),
0,_xlfn.ANCHORARRAY(AP47)*(1+_xlfn.ANCHORARRAY($D47))+SUMIF($BT:$BT,AQ$3&amp;$B$46&amp;_xlfn.ANCHORARRAY($B47),$CA:$CA),
1,VLOOKUP(AQ$3&amp;$B$46&amp;_xlfn.ANCHORARRAY($B47),$BT:$CA,6,0),
2,_xlfn.ANCHORARRAY(AP47)*(1+_xlfn.ANCHORARRAY($D47))*VLOOKUP(AQ$3&amp;$B$46&amp;_xlfn.ANCHORARRAY($B47),$BT:$CA,7,0))</f>
        <v>0</v>
      </c>
      <c r="AR47" s="59" cm="1">
        <f t="array" aca="1" ref="AR47:AR59" ca="1">_xlfn.SWITCH(IFERROR(VLOOKUP(AR$3&amp;$B$46&amp;_xlfn.ANCHORARRAY($B47),$BT:$CA,5,0),0),
0,_xlfn.ANCHORARRAY(AQ47)*(1+_xlfn.ANCHORARRAY($D47))+SUMIF($BT:$BT,AR$3&amp;$B$46&amp;_xlfn.ANCHORARRAY($B47),$CA:$CA),
1,VLOOKUP(AR$3&amp;$B$46&amp;_xlfn.ANCHORARRAY($B47),$BT:$CA,6,0),
2,_xlfn.ANCHORARRAY(AQ47)*(1+_xlfn.ANCHORARRAY($D47))*VLOOKUP(AR$3&amp;$B$46&amp;_xlfn.ANCHORARRAY($B47),$BT:$CA,7,0))</f>
        <v>0</v>
      </c>
      <c r="AS47" s="59" cm="1">
        <f t="array" aca="1" ref="AS47:AS59" ca="1">_xlfn.SWITCH(IFERROR(VLOOKUP(AS$3&amp;$B$46&amp;_xlfn.ANCHORARRAY($B47),$BT:$CA,5,0),0),
0,_xlfn.ANCHORARRAY(AR47)*(1+_xlfn.ANCHORARRAY($D47))+SUMIF($BT:$BT,AS$3&amp;$B$46&amp;_xlfn.ANCHORARRAY($B47),$CA:$CA),
1,VLOOKUP(AS$3&amp;$B$46&amp;_xlfn.ANCHORARRAY($B47),$BT:$CA,6,0),
2,_xlfn.ANCHORARRAY(AR47)*(1+_xlfn.ANCHORARRAY($D47))*VLOOKUP(AS$3&amp;$B$46&amp;_xlfn.ANCHORARRAY($B47),$BT:$CA,7,0))</f>
        <v>0</v>
      </c>
      <c r="AT47" s="59" cm="1">
        <f t="array" aca="1" ref="AT47:AT59" ca="1">_xlfn.SWITCH(IFERROR(VLOOKUP(AT$3&amp;$B$46&amp;_xlfn.ANCHORARRAY($B47),$BT:$CA,5,0),0),
0,_xlfn.ANCHORARRAY(AS47)*(1+_xlfn.ANCHORARRAY($D47))+SUMIF($BT:$BT,AT$3&amp;$B$46&amp;_xlfn.ANCHORARRAY($B47),$CA:$CA),
1,VLOOKUP(AT$3&amp;$B$46&amp;_xlfn.ANCHORARRAY($B47),$BT:$CA,6,0),
2,_xlfn.ANCHORARRAY(AS47)*(1+_xlfn.ANCHORARRAY($D47))*VLOOKUP(AT$3&amp;$B$46&amp;_xlfn.ANCHORARRAY($B47),$BT:$CA,7,0))</f>
        <v>0</v>
      </c>
      <c r="AU47" s="59" cm="1">
        <f t="array" aca="1" ref="AU47:AU59" ca="1">_xlfn.SWITCH(IFERROR(VLOOKUP(AU$3&amp;$B$46&amp;_xlfn.ANCHORARRAY($B47),$BT:$CA,5,0),0),
0,_xlfn.ANCHORARRAY(AT47)*(1+_xlfn.ANCHORARRAY($D47))+SUMIF($BT:$BT,AU$3&amp;$B$46&amp;_xlfn.ANCHORARRAY($B47),$CA:$CA),
1,VLOOKUP(AU$3&amp;$B$46&amp;_xlfn.ANCHORARRAY($B47),$BT:$CA,6,0),
2,_xlfn.ANCHORARRAY(AT47)*(1+_xlfn.ANCHORARRAY($D47))*VLOOKUP(AU$3&amp;$B$46&amp;_xlfn.ANCHORARRAY($B47),$BT:$CA,7,0))</f>
        <v>0</v>
      </c>
      <c r="AV47" s="59" cm="1">
        <f t="array" aca="1" ref="AV47:AV59" ca="1">_xlfn.SWITCH(IFERROR(VLOOKUP(AV$3&amp;$B$46&amp;_xlfn.ANCHORARRAY($B47),$BT:$CA,5,0),0),
0,_xlfn.ANCHORARRAY(AU47)*(1+_xlfn.ANCHORARRAY($D47))+SUMIF($BT:$BT,AV$3&amp;$B$46&amp;_xlfn.ANCHORARRAY($B47),$CA:$CA),
1,VLOOKUP(AV$3&amp;$B$46&amp;_xlfn.ANCHORARRAY($B47),$BT:$CA,6,0),
2,_xlfn.ANCHORARRAY(AU47)*(1+_xlfn.ANCHORARRAY($D47))*VLOOKUP(AV$3&amp;$B$46&amp;_xlfn.ANCHORARRAY($B47),$BT:$CA,7,0))</f>
        <v>0</v>
      </c>
      <c r="AW47" s="59" cm="1">
        <f t="array" aca="1" ref="AW47:AW59" ca="1">_xlfn.SWITCH(IFERROR(VLOOKUP(AW$3&amp;$B$46&amp;_xlfn.ANCHORARRAY($B47),$BT:$CA,5,0),0),
0,_xlfn.ANCHORARRAY(AV47)*(1+_xlfn.ANCHORARRAY($D47))+SUMIF($BT:$BT,AW$3&amp;$B$46&amp;_xlfn.ANCHORARRAY($B47),$CA:$CA),
1,VLOOKUP(AW$3&amp;$B$46&amp;_xlfn.ANCHORARRAY($B47),$BT:$CA,6,0),
2,_xlfn.ANCHORARRAY(AV47)*(1+_xlfn.ANCHORARRAY($D47))*VLOOKUP(AW$3&amp;$B$46&amp;_xlfn.ANCHORARRAY($B47),$BT:$CA,7,0))</f>
        <v>0</v>
      </c>
      <c r="AX47" s="59" cm="1">
        <f t="array" aca="1" ref="AX47:AX59" ca="1">_xlfn.SWITCH(IFERROR(VLOOKUP(AX$3&amp;$B$46&amp;_xlfn.ANCHORARRAY($B47),$BT:$CA,5,0),0),
0,_xlfn.ANCHORARRAY(AW47)*(1+_xlfn.ANCHORARRAY($D47))+SUMIF($BT:$BT,AX$3&amp;$B$46&amp;_xlfn.ANCHORARRAY($B47),$CA:$CA),
1,VLOOKUP(AX$3&amp;$B$46&amp;_xlfn.ANCHORARRAY($B47),$BT:$CA,6,0),
2,_xlfn.ANCHORARRAY(AW47)*(1+_xlfn.ANCHORARRAY($D47))*VLOOKUP(AX$3&amp;$B$46&amp;_xlfn.ANCHORARRAY($B47),$BT:$CA,7,0))</f>
        <v>0</v>
      </c>
      <c r="AY47" s="59" cm="1">
        <f t="array" aca="1" ref="AY47:AY59" ca="1">_xlfn.SWITCH(IFERROR(VLOOKUP(AY$3&amp;$B$46&amp;_xlfn.ANCHORARRAY($B47),$BT:$CA,5,0),0),
0,_xlfn.ANCHORARRAY(AX47)*(1+_xlfn.ANCHORARRAY($D47))+SUMIF($BT:$BT,AY$3&amp;$B$46&amp;_xlfn.ANCHORARRAY($B47),$CA:$CA),
1,VLOOKUP(AY$3&amp;$B$46&amp;_xlfn.ANCHORARRAY($B47),$BT:$CA,6,0),
2,_xlfn.ANCHORARRAY(AX47)*(1+_xlfn.ANCHORARRAY($D47))*VLOOKUP(AY$3&amp;$B$46&amp;_xlfn.ANCHORARRAY($B47),$BT:$CA,7,0))</f>
        <v>0</v>
      </c>
      <c r="AZ47" s="59" cm="1">
        <f t="array" aca="1" ref="AZ47:AZ59" ca="1">_xlfn.SWITCH(IFERROR(VLOOKUP(AZ$3&amp;$B$46&amp;_xlfn.ANCHORARRAY($B47),$BT:$CA,5,0),0),
0,_xlfn.ANCHORARRAY(AY47)*(1+_xlfn.ANCHORARRAY($D47))+SUMIF($BT:$BT,AZ$3&amp;$B$46&amp;_xlfn.ANCHORARRAY($B47),$CA:$CA),
1,VLOOKUP(AZ$3&amp;$B$46&amp;_xlfn.ANCHORARRAY($B47),$BT:$CA,6,0),
2,_xlfn.ANCHORARRAY(AY47)*(1+_xlfn.ANCHORARRAY($D47))*VLOOKUP(AZ$3&amp;$B$46&amp;_xlfn.ANCHORARRAY($B47),$BT:$CA,7,0))</f>
        <v>0</v>
      </c>
      <c r="BS47" s="5">
        <f t="shared" si="0"/>
        <v>0</v>
      </c>
      <c r="BT47" s="5" t="str">
        <f t="shared" si="1"/>
        <v>2032E_Erwerb6</v>
      </c>
      <c r="BU47">
        <v>2032</v>
      </c>
      <c r="BV47" t="s">
        <v>74</v>
      </c>
      <c r="BW47">
        <v>6</v>
      </c>
      <c r="BX47">
        <v>1</v>
      </c>
      <c r="BY47" s="12">
        <f>2450*9</f>
        <v>22050</v>
      </c>
      <c r="CD47" s="5" t="str">
        <f t="shared" ca="1" si="4"/>
        <v>Amy</v>
      </c>
      <c r="CE47" s="5" t="str">
        <f t="shared" ca="1" si="5"/>
        <v>AHV-Einzelrente</v>
      </c>
      <c r="CF47" s="5" t="str">
        <f t="shared" ca="1" si="6"/>
        <v>Amy - AHV-Einzelrente</v>
      </c>
      <c r="CG47" s="5"/>
    </row>
    <row r="48" spans="1:85" x14ac:dyDescent="0.25">
      <c r="A48" s="57" t="str">
        <f ca="1"/>
        <v>MigrosBank Säule 3a Depot</v>
      </c>
      <c r="B48" s="57">
        <f ca="1"/>
        <v>5</v>
      </c>
      <c r="C48" s="53" t="str">
        <f ca="1"/>
        <v>Amy</v>
      </c>
      <c r="D48" s="54">
        <f ca="1"/>
        <v>3.5000000000000003E-2</v>
      </c>
      <c r="E48" s="62">
        <f ca="1"/>
        <v>50000</v>
      </c>
      <c r="F48" s="59">
        <f ca="1"/>
        <v>0</v>
      </c>
      <c r="G48" s="59">
        <f ca="1"/>
        <v>0</v>
      </c>
      <c r="H48" s="59">
        <f ca="1"/>
        <v>0</v>
      </c>
      <c r="I48" s="59">
        <f ca="1"/>
        <v>0</v>
      </c>
      <c r="J48" s="59">
        <f ca="1"/>
        <v>0</v>
      </c>
      <c r="K48" s="59">
        <f ca="1"/>
        <v>0</v>
      </c>
      <c r="L48" s="59">
        <f ca="1"/>
        <v>0</v>
      </c>
      <c r="M48" s="59">
        <f ca="1"/>
        <v>0</v>
      </c>
      <c r="N48" s="59">
        <f ca="1"/>
        <v>0</v>
      </c>
      <c r="O48" s="59">
        <f ca="1"/>
        <v>0</v>
      </c>
      <c r="P48" s="59">
        <f ca="1"/>
        <v>0</v>
      </c>
      <c r="Q48" s="59">
        <f ca="1"/>
        <v>0</v>
      </c>
      <c r="R48" s="59">
        <f ca="1"/>
        <v>0</v>
      </c>
      <c r="S48" s="59">
        <f ca="1"/>
        <v>0</v>
      </c>
      <c r="T48" s="59">
        <f ca="1"/>
        <v>0</v>
      </c>
      <c r="U48" s="59">
        <f ca="1"/>
        <v>0</v>
      </c>
      <c r="V48" s="59">
        <f ca="1"/>
        <v>0</v>
      </c>
      <c r="W48" s="59">
        <f ca="1"/>
        <v>0</v>
      </c>
      <c r="X48" s="59">
        <f ca="1"/>
        <v>0</v>
      </c>
      <c r="Y48" s="59">
        <f ca="1"/>
        <v>0</v>
      </c>
      <c r="Z48" s="59">
        <f ca="1"/>
        <v>0</v>
      </c>
      <c r="AA48" s="59">
        <f ca="1"/>
        <v>0</v>
      </c>
      <c r="AB48" s="59">
        <f ca="1"/>
        <v>0</v>
      </c>
      <c r="AC48" s="59">
        <f ca="1"/>
        <v>0</v>
      </c>
      <c r="AD48" s="59">
        <f ca="1"/>
        <v>0</v>
      </c>
      <c r="AE48" s="59">
        <f ca="1"/>
        <v>0</v>
      </c>
      <c r="AF48" s="59">
        <f ca="1"/>
        <v>0</v>
      </c>
      <c r="AG48" s="59">
        <f ca="1"/>
        <v>0</v>
      </c>
      <c r="AH48" s="59">
        <f ca="1"/>
        <v>0</v>
      </c>
      <c r="AI48" s="59">
        <f ca="1"/>
        <v>0</v>
      </c>
      <c r="AJ48" s="59">
        <f ca="1"/>
        <v>0</v>
      </c>
      <c r="AK48" s="59">
        <f ca="1"/>
        <v>0</v>
      </c>
      <c r="AL48" s="59">
        <f ca="1"/>
        <v>0</v>
      </c>
      <c r="AM48" s="59">
        <f ca="1"/>
        <v>0</v>
      </c>
      <c r="AN48" s="59">
        <f ca="1"/>
        <v>0</v>
      </c>
      <c r="AO48" s="59">
        <f ca="1"/>
        <v>0</v>
      </c>
      <c r="AP48" s="59">
        <f ca="1"/>
        <v>0</v>
      </c>
      <c r="AQ48" s="59">
        <f ca="1"/>
        <v>0</v>
      </c>
      <c r="AR48" s="59">
        <f ca="1"/>
        <v>0</v>
      </c>
      <c r="AS48" s="59">
        <f ca="1"/>
        <v>0</v>
      </c>
      <c r="AT48" s="59">
        <f ca="1"/>
        <v>0</v>
      </c>
      <c r="AU48" s="59">
        <f ca="1"/>
        <v>0</v>
      </c>
      <c r="AV48" s="59">
        <f ca="1"/>
        <v>0</v>
      </c>
      <c r="AW48" s="59">
        <f ca="1"/>
        <v>0</v>
      </c>
      <c r="AX48" s="59">
        <f ca="1"/>
        <v>0</v>
      </c>
      <c r="AY48" s="59">
        <f ca="1"/>
        <v>0</v>
      </c>
      <c r="AZ48" s="59">
        <f ca="1"/>
        <v>0</v>
      </c>
      <c r="BA48" s="59"/>
      <c r="BS48" s="5">
        <f t="shared" si="0"/>
        <v>0</v>
      </c>
      <c r="BT48" s="5" t="str">
        <f t="shared" si="1"/>
        <v>2033E_Erwerb6</v>
      </c>
      <c r="BU48">
        <v>2033</v>
      </c>
      <c r="BV48" t="s">
        <v>74</v>
      </c>
      <c r="BW48">
        <v>6</v>
      </c>
      <c r="BX48">
        <v>1</v>
      </c>
      <c r="BY48" s="12">
        <v>0</v>
      </c>
      <c r="CD48" s="5" t="str">
        <f t="shared" ca="1" si="4"/>
        <v>Amy</v>
      </c>
      <c r="CE48" s="5" t="str">
        <f t="shared" ca="1" si="5"/>
        <v>AHV-Einzelrente</v>
      </c>
      <c r="CF48" s="5" t="str">
        <f t="shared" ca="1" si="6"/>
        <v>Amy - AHV-Einzelrente</v>
      </c>
      <c r="CG48" s="5"/>
    </row>
    <row r="49" spans="1:85" x14ac:dyDescent="0.25">
      <c r="A49" s="57" t="str">
        <f ca="1"/>
        <v>Pictet Säule 3a Depot</v>
      </c>
      <c r="B49" s="57">
        <f ca="1"/>
        <v>6</v>
      </c>
      <c r="C49" s="53" t="str">
        <f ca="1"/>
        <v>Amy</v>
      </c>
      <c r="D49" s="54">
        <f ca="1"/>
        <v>3.5000000000000003E-2</v>
      </c>
      <c r="E49" s="62">
        <f ca="1"/>
        <v>7500</v>
      </c>
      <c r="F49" s="59">
        <f ca="1"/>
        <v>7762.4999999999991</v>
      </c>
      <c r="G49" s="59">
        <f ca="1"/>
        <v>8034.1874999999982</v>
      </c>
      <c r="H49" s="59">
        <f ca="1"/>
        <v>15371.384062499998</v>
      </c>
      <c r="I49" s="59">
        <f ca="1"/>
        <v>0</v>
      </c>
      <c r="J49" s="59">
        <f ca="1"/>
        <v>0</v>
      </c>
      <c r="K49" s="59">
        <f ca="1"/>
        <v>0</v>
      </c>
      <c r="L49" s="59">
        <f ca="1"/>
        <v>0</v>
      </c>
      <c r="M49" s="59">
        <f ca="1"/>
        <v>0</v>
      </c>
      <c r="N49" s="59">
        <f ca="1"/>
        <v>0</v>
      </c>
      <c r="O49" s="59">
        <f ca="1"/>
        <v>0</v>
      </c>
      <c r="P49" s="59">
        <f ca="1"/>
        <v>0</v>
      </c>
      <c r="Q49" s="59">
        <f ca="1"/>
        <v>0</v>
      </c>
      <c r="R49" s="59">
        <f ca="1"/>
        <v>0</v>
      </c>
      <c r="S49" s="59">
        <f ca="1"/>
        <v>0</v>
      </c>
      <c r="T49" s="59">
        <f ca="1"/>
        <v>0</v>
      </c>
      <c r="U49" s="59">
        <f ca="1"/>
        <v>0</v>
      </c>
      <c r="V49" s="59">
        <f ca="1"/>
        <v>0</v>
      </c>
      <c r="W49" s="59">
        <f ca="1"/>
        <v>0</v>
      </c>
      <c r="X49" s="59">
        <f ca="1"/>
        <v>0</v>
      </c>
      <c r="Y49" s="59">
        <f ca="1"/>
        <v>0</v>
      </c>
      <c r="Z49" s="59">
        <f ca="1"/>
        <v>0</v>
      </c>
      <c r="AA49" s="59">
        <f ca="1"/>
        <v>0</v>
      </c>
      <c r="AB49" s="59">
        <f ca="1"/>
        <v>0</v>
      </c>
      <c r="AC49" s="59">
        <f ca="1"/>
        <v>0</v>
      </c>
      <c r="AD49" s="59">
        <f ca="1"/>
        <v>0</v>
      </c>
      <c r="AE49" s="59">
        <f ca="1"/>
        <v>0</v>
      </c>
      <c r="AF49" s="59">
        <f ca="1"/>
        <v>0</v>
      </c>
      <c r="AG49" s="59">
        <f ca="1"/>
        <v>0</v>
      </c>
      <c r="AH49" s="59">
        <f ca="1"/>
        <v>0</v>
      </c>
      <c r="AI49" s="59">
        <f ca="1"/>
        <v>0</v>
      </c>
      <c r="AJ49" s="59">
        <f ca="1"/>
        <v>0</v>
      </c>
      <c r="AK49" s="59">
        <f ca="1"/>
        <v>0</v>
      </c>
      <c r="AL49" s="59">
        <f ca="1"/>
        <v>0</v>
      </c>
      <c r="AM49" s="59">
        <f ca="1"/>
        <v>0</v>
      </c>
      <c r="AN49" s="59">
        <f ca="1"/>
        <v>0</v>
      </c>
      <c r="AO49" s="59">
        <f ca="1"/>
        <v>0</v>
      </c>
      <c r="AP49" s="59">
        <f ca="1"/>
        <v>0</v>
      </c>
      <c r="AQ49" s="59">
        <f ca="1"/>
        <v>0</v>
      </c>
      <c r="AR49" s="59">
        <f ca="1"/>
        <v>0</v>
      </c>
      <c r="AS49" s="59">
        <f ca="1"/>
        <v>0</v>
      </c>
      <c r="AT49" s="59">
        <f ca="1"/>
        <v>0</v>
      </c>
      <c r="AU49" s="59">
        <f ca="1"/>
        <v>0</v>
      </c>
      <c r="AV49" s="59">
        <f ca="1"/>
        <v>0</v>
      </c>
      <c r="AW49" s="59">
        <f ca="1"/>
        <v>0</v>
      </c>
      <c r="AX49" s="59">
        <f ca="1"/>
        <v>0</v>
      </c>
      <c r="AY49" s="59">
        <f ca="1"/>
        <v>0</v>
      </c>
      <c r="AZ49" s="59">
        <f ca="1"/>
        <v>0</v>
      </c>
      <c r="BA49" s="59"/>
      <c r="BS49" s="5">
        <f t="shared" si="0"/>
        <v>0</v>
      </c>
      <c r="BT49" s="5" t="str">
        <f t="shared" si="1"/>
        <v>2032E_Erwerb7</v>
      </c>
      <c r="BU49">
        <v>2032</v>
      </c>
      <c r="BV49" t="s">
        <v>74</v>
      </c>
      <c r="BW49">
        <v>7</v>
      </c>
      <c r="BX49">
        <v>1</v>
      </c>
      <c r="BY49" s="12">
        <f>3675*3</f>
        <v>11025</v>
      </c>
      <c r="CD49" s="5" t="str">
        <f t="shared" ca="1" si="4"/>
        <v>-</v>
      </c>
      <c r="CE49" s="5" t="str">
        <f t="shared" ca="1" si="5"/>
        <v>AHV-Ehepaarrente</v>
      </c>
      <c r="CF49" s="5" t="str">
        <f t="shared" ca="1" si="6"/>
        <v>- - AHV-Ehepaarrente</v>
      </c>
      <c r="CG49" s="5"/>
    </row>
    <row r="50" spans="1:85" x14ac:dyDescent="0.25">
      <c r="A50" s="57" t="str">
        <f ca="1"/>
        <v>SLM Säule 3a Konto</v>
      </c>
      <c r="B50" s="57">
        <f ca="1"/>
        <v>7</v>
      </c>
      <c r="C50" s="53" t="str">
        <f ca="1"/>
        <v>Amy</v>
      </c>
      <c r="D50" s="54">
        <f ca="1"/>
        <v>0.01</v>
      </c>
      <c r="E50" s="62">
        <f ca="1"/>
        <v>7500</v>
      </c>
      <c r="F50" s="59">
        <f ca="1"/>
        <v>14631</v>
      </c>
      <c r="G50" s="59">
        <f ca="1"/>
        <v>0</v>
      </c>
      <c r="H50" s="59">
        <f ca="1"/>
        <v>0</v>
      </c>
      <c r="I50" s="59">
        <f ca="1"/>
        <v>0</v>
      </c>
      <c r="J50" s="59">
        <f ca="1"/>
        <v>0</v>
      </c>
      <c r="K50" s="59">
        <f ca="1"/>
        <v>0</v>
      </c>
      <c r="L50" s="59">
        <f ca="1"/>
        <v>0</v>
      </c>
      <c r="M50" s="59">
        <f ca="1"/>
        <v>0</v>
      </c>
      <c r="N50" s="59">
        <f ca="1"/>
        <v>0</v>
      </c>
      <c r="O50" s="59">
        <f ca="1"/>
        <v>0</v>
      </c>
      <c r="P50" s="59">
        <f ca="1"/>
        <v>0</v>
      </c>
      <c r="Q50" s="59">
        <f ca="1"/>
        <v>0</v>
      </c>
      <c r="R50" s="59">
        <f ca="1"/>
        <v>0</v>
      </c>
      <c r="S50" s="59">
        <f ca="1"/>
        <v>0</v>
      </c>
      <c r="T50" s="59">
        <f ca="1"/>
        <v>0</v>
      </c>
      <c r="U50" s="59">
        <f ca="1"/>
        <v>0</v>
      </c>
      <c r="V50" s="59">
        <f ca="1"/>
        <v>0</v>
      </c>
      <c r="W50" s="59">
        <f ca="1"/>
        <v>0</v>
      </c>
      <c r="X50" s="59">
        <f ca="1"/>
        <v>0</v>
      </c>
      <c r="Y50" s="59">
        <f ca="1"/>
        <v>0</v>
      </c>
      <c r="Z50" s="59">
        <f ca="1"/>
        <v>0</v>
      </c>
      <c r="AA50" s="59">
        <f ca="1"/>
        <v>0</v>
      </c>
      <c r="AB50" s="59">
        <f ca="1"/>
        <v>0</v>
      </c>
      <c r="AC50" s="59">
        <f ca="1"/>
        <v>0</v>
      </c>
      <c r="AD50" s="59">
        <f ca="1"/>
        <v>0</v>
      </c>
      <c r="AE50" s="59">
        <f ca="1"/>
        <v>0</v>
      </c>
      <c r="AF50" s="59">
        <f ca="1"/>
        <v>0</v>
      </c>
      <c r="AG50" s="59">
        <f ca="1"/>
        <v>0</v>
      </c>
      <c r="AH50" s="59">
        <f ca="1"/>
        <v>0</v>
      </c>
      <c r="AI50" s="59">
        <f ca="1"/>
        <v>0</v>
      </c>
      <c r="AJ50" s="59">
        <f ca="1"/>
        <v>0</v>
      </c>
      <c r="AK50" s="59">
        <f ca="1"/>
        <v>0</v>
      </c>
      <c r="AL50" s="59">
        <f ca="1"/>
        <v>0</v>
      </c>
      <c r="AM50" s="59">
        <f ca="1"/>
        <v>0</v>
      </c>
      <c r="AN50" s="59">
        <f ca="1"/>
        <v>0</v>
      </c>
      <c r="AO50" s="59">
        <f ca="1"/>
        <v>0</v>
      </c>
      <c r="AP50" s="59">
        <f ca="1"/>
        <v>0</v>
      </c>
      <c r="AQ50" s="59">
        <f ca="1"/>
        <v>0</v>
      </c>
      <c r="AR50" s="59">
        <f ca="1"/>
        <v>0</v>
      </c>
      <c r="AS50" s="59">
        <f ca="1"/>
        <v>0</v>
      </c>
      <c r="AT50" s="59">
        <f ca="1"/>
        <v>0</v>
      </c>
      <c r="AU50" s="59">
        <f ca="1"/>
        <v>0</v>
      </c>
      <c r="AV50" s="59">
        <f ca="1"/>
        <v>0</v>
      </c>
      <c r="AW50" s="59">
        <f ca="1"/>
        <v>0</v>
      </c>
      <c r="AX50" s="59">
        <f ca="1"/>
        <v>0</v>
      </c>
      <c r="AY50" s="59">
        <f ca="1"/>
        <v>0</v>
      </c>
      <c r="AZ50" s="59">
        <f ca="1"/>
        <v>0</v>
      </c>
      <c r="BA50" s="59"/>
      <c r="BS50" s="5">
        <f t="shared" si="0"/>
        <v>0</v>
      </c>
      <c r="BT50" s="5" t="str">
        <f t="shared" si="1"/>
        <v>2033E_Erwerb7</v>
      </c>
      <c r="BU50">
        <v>2033</v>
      </c>
      <c r="BV50" t="s">
        <v>74</v>
      </c>
      <c r="BW50">
        <v>7</v>
      </c>
      <c r="BX50">
        <v>1</v>
      </c>
      <c r="BY50" s="12">
        <f>3675*12</f>
        <v>44100</v>
      </c>
      <c r="CD50" s="5" t="str">
        <f t="shared" ca="1" si="4"/>
        <v>-</v>
      </c>
      <c r="CE50" s="5" t="str">
        <f t="shared" ca="1" si="5"/>
        <v>AHV-Ehepaarrente</v>
      </c>
      <c r="CF50" s="5" t="str">
        <f t="shared" ca="1" si="6"/>
        <v>- - AHV-Ehepaarrente</v>
      </c>
      <c r="CG50" s="5"/>
    </row>
    <row r="51" spans="1:85" x14ac:dyDescent="0.25">
      <c r="A51" s="57" t="str">
        <f ca="1"/>
        <v>AXA Säule 3b</v>
      </c>
      <c r="B51" s="57">
        <f ca="1"/>
        <v>8</v>
      </c>
      <c r="C51" s="53" t="str">
        <f ca="1"/>
        <v>Amy</v>
      </c>
      <c r="D51" s="54">
        <f ca="1"/>
        <v>0</v>
      </c>
      <c r="E51" s="62">
        <f ca="1"/>
        <v>100000</v>
      </c>
      <c r="F51" s="59">
        <f ca="1"/>
        <v>100000</v>
      </c>
      <c r="G51" s="59">
        <f ca="1"/>
        <v>100000</v>
      </c>
      <c r="H51" s="59">
        <f ca="1"/>
        <v>100000</v>
      </c>
      <c r="I51" s="59">
        <f ca="1"/>
        <v>100000</v>
      </c>
      <c r="J51" s="59">
        <f ca="1"/>
        <v>100000</v>
      </c>
      <c r="K51" s="59">
        <f ca="1"/>
        <v>0</v>
      </c>
      <c r="L51" s="59">
        <f ca="1"/>
        <v>0</v>
      </c>
      <c r="M51" s="59">
        <f ca="1"/>
        <v>0</v>
      </c>
      <c r="N51" s="59">
        <f ca="1"/>
        <v>0</v>
      </c>
      <c r="O51" s="59">
        <f ca="1"/>
        <v>0</v>
      </c>
      <c r="P51" s="59">
        <f ca="1"/>
        <v>0</v>
      </c>
      <c r="Q51" s="59">
        <f ca="1"/>
        <v>0</v>
      </c>
      <c r="R51" s="59">
        <f ca="1"/>
        <v>0</v>
      </c>
      <c r="S51" s="59">
        <f ca="1"/>
        <v>0</v>
      </c>
      <c r="T51" s="59">
        <f ca="1"/>
        <v>0</v>
      </c>
      <c r="U51" s="59">
        <f ca="1"/>
        <v>0</v>
      </c>
      <c r="V51" s="59">
        <f ca="1"/>
        <v>0</v>
      </c>
      <c r="W51" s="59">
        <f ca="1"/>
        <v>0</v>
      </c>
      <c r="X51" s="59">
        <f ca="1"/>
        <v>0</v>
      </c>
      <c r="Y51" s="59">
        <f ca="1"/>
        <v>0</v>
      </c>
      <c r="Z51" s="59">
        <f ca="1"/>
        <v>0</v>
      </c>
      <c r="AA51" s="59">
        <f ca="1"/>
        <v>0</v>
      </c>
      <c r="AB51" s="59">
        <f ca="1"/>
        <v>0</v>
      </c>
      <c r="AC51" s="59">
        <f ca="1"/>
        <v>0</v>
      </c>
      <c r="AD51" s="59">
        <f ca="1"/>
        <v>0</v>
      </c>
      <c r="AE51" s="59">
        <f ca="1"/>
        <v>0</v>
      </c>
      <c r="AF51" s="59">
        <f ca="1"/>
        <v>0</v>
      </c>
      <c r="AG51" s="59">
        <f ca="1"/>
        <v>0</v>
      </c>
      <c r="AH51" s="59">
        <f ca="1"/>
        <v>0</v>
      </c>
      <c r="AI51" s="59">
        <f ca="1"/>
        <v>0</v>
      </c>
      <c r="AJ51" s="59">
        <f ca="1"/>
        <v>0</v>
      </c>
      <c r="AK51" s="59">
        <f ca="1"/>
        <v>0</v>
      </c>
      <c r="AL51" s="59">
        <f ca="1"/>
        <v>0</v>
      </c>
      <c r="AM51" s="59">
        <f ca="1"/>
        <v>0</v>
      </c>
      <c r="AN51" s="59">
        <f ca="1"/>
        <v>0</v>
      </c>
      <c r="AO51" s="59">
        <f ca="1"/>
        <v>0</v>
      </c>
      <c r="AP51" s="59">
        <f ca="1"/>
        <v>0</v>
      </c>
      <c r="AQ51" s="59">
        <f ca="1"/>
        <v>0</v>
      </c>
      <c r="AR51" s="59">
        <f ca="1"/>
        <v>0</v>
      </c>
      <c r="AS51" s="59">
        <f ca="1"/>
        <v>0</v>
      </c>
      <c r="AT51" s="59">
        <f ca="1"/>
        <v>0</v>
      </c>
      <c r="AU51" s="59">
        <f ca="1"/>
        <v>0</v>
      </c>
      <c r="AV51" s="59">
        <f ca="1"/>
        <v>0</v>
      </c>
      <c r="AW51" s="59">
        <f ca="1"/>
        <v>0</v>
      </c>
      <c r="AX51" s="59">
        <f ca="1"/>
        <v>0</v>
      </c>
      <c r="AY51" s="59">
        <f ca="1"/>
        <v>0</v>
      </c>
      <c r="AZ51" s="59">
        <f ca="1"/>
        <v>0</v>
      </c>
      <c r="BA51" s="59"/>
      <c r="BS51" s="5">
        <f t="shared" si="0"/>
        <v>0</v>
      </c>
      <c r="BT51" s="5" t="str">
        <f t="shared" si="1"/>
        <v>2029A_Allg7</v>
      </c>
      <c r="BU51">
        <v>2029</v>
      </c>
      <c r="BV51" t="s">
        <v>85</v>
      </c>
      <c r="BW51">
        <v>7</v>
      </c>
      <c r="BX51">
        <v>2</v>
      </c>
      <c r="BZ51">
        <f>8/12</f>
        <v>0.66666666666666663</v>
      </c>
      <c r="CD51" s="5" t="str">
        <f t="shared" ca="1" si="4"/>
        <v>Amy</v>
      </c>
      <c r="CE51" s="5" t="str">
        <f t="shared" ca="1" si="5"/>
        <v>Säule 3b Beitrag</v>
      </c>
      <c r="CF51" s="5" t="str">
        <f t="shared" ca="1" si="6"/>
        <v>Amy - Säule 3b Beitrag</v>
      </c>
      <c r="CG51" s="5"/>
    </row>
    <row r="52" spans="1:85" x14ac:dyDescent="0.25">
      <c r="A52" s="57" t="str">
        <f ca="1"/>
        <v>Neues Säule 3a Gefäss</v>
      </c>
      <c r="B52" s="57">
        <f ca="1"/>
        <v>9</v>
      </c>
      <c r="C52" s="53" t="str">
        <f ca="1"/>
        <v>Amy</v>
      </c>
      <c r="D52" s="54">
        <f ca="1"/>
        <v>0.01</v>
      </c>
      <c r="E52" s="62">
        <f ca="1"/>
        <v>0</v>
      </c>
      <c r="F52" s="59">
        <f ca="1"/>
        <v>0</v>
      </c>
      <c r="G52" s="59">
        <f ca="1"/>
        <v>0</v>
      </c>
      <c r="H52" s="59">
        <f ca="1"/>
        <v>0</v>
      </c>
      <c r="I52" s="59">
        <f ca="1"/>
        <v>0</v>
      </c>
      <c r="J52" s="59">
        <f ca="1"/>
        <v>7056</v>
      </c>
      <c r="K52" s="59">
        <f ca="1"/>
        <v>14182.560000000001</v>
      </c>
      <c r="L52" s="59">
        <f ca="1"/>
        <v>19924.385600000001</v>
      </c>
      <c r="M52" s="59">
        <f ca="1"/>
        <v>0</v>
      </c>
      <c r="N52" s="59">
        <f ca="1"/>
        <v>0</v>
      </c>
      <c r="O52" s="59">
        <f ca="1"/>
        <v>0</v>
      </c>
      <c r="P52" s="59">
        <f ca="1"/>
        <v>0</v>
      </c>
      <c r="Q52" s="59">
        <f ca="1"/>
        <v>0</v>
      </c>
      <c r="R52" s="59">
        <f ca="1"/>
        <v>0</v>
      </c>
      <c r="S52" s="59">
        <f ca="1"/>
        <v>0</v>
      </c>
      <c r="T52" s="59">
        <f ca="1"/>
        <v>0</v>
      </c>
      <c r="U52" s="59">
        <f ca="1"/>
        <v>0</v>
      </c>
      <c r="V52" s="59">
        <f ca="1"/>
        <v>0</v>
      </c>
      <c r="W52" s="59">
        <f ca="1"/>
        <v>0</v>
      </c>
      <c r="X52" s="59">
        <f ca="1"/>
        <v>0</v>
      </c>
      <c r="Y52" s="59">
        <f ca="1"/>
        <v>0</v>
      </c>
      <c r="Z52" s="59">
        <f ca="1"/>
        <v>0</v>
      </c>
      <c r="AA52" s="59">
        <f ca="1"/>
        <v>0</v>
      </c>
      <c r="AB52" s="59">
        <f ca="1"/>
        <v>0</v>
      </c>
      <c r="AC52" s="59">
        <f ca="1"/>
        <v>0</v>
      </c>
      <c r="AD52" s="59">
        <f ca="1"/>
        <v>0</v>
      </c>
      <c r="AE52" s="59">
        <f ca="1"/>
        <v>0</v>
      </c>
      <c r="AF52" s="59">
        <f ca="1"/>
        <v>0</v>
      </c>
      <c r="AG52" s="59">
        <f ca="1"/>
        <v>0</v>
      </c>
      <c r="AH52" s="59">
        <f ca="1"/>
        <v>0</v>
      </c>
      <c r="AI52" s="59">
        <f ca="1"/>
        <v>0</v>
      </c>
      <c r="AJ52" s="59">
        <f ca="1"/>
        <v>0</v>
      </c>
      <c r="AK52" s="59">
        <f ca="1"/>
        <v>0</v>
      </c>
      <c r="AL52" s="59">
        <f ca="1"/>
        <v>0</v>
      </c>
      <c r="AM52" s="59">
        <f ca="1"/>
        <v>0</v>
      </c>
      <c r="AN52" s="59">
        <f ca="1"/>
        <v>0</v>
      </c>
      <c r="AO52" s="59">
        <f ca="1"/>
        <v>0</v>
      </c>
      <c r="AP52" s="59">
        <f ca="1"/>
        <v>0</v>
      </c>
      <c r="AQ52" s="59">
        <f ca="1"/>
        <v>0</v>
      </c>
      <c r="AR52" s="59">
        <f ca="1"/>
        <v>0</v>
      </c>
      <c r="AS52" s="59">
        <f ca="1"/>
        <v>0</v>
      </c>
      <c r="AT52" s="59">
        <f ca="1"/>
        <v>0</v>
      </c>
      <c r="AU52" s="59">
        <f ca="1"/>
        <v>0</v>
      </c>
      <c r="AV52" s="59">
        <f ca="1"/>
        <v>0</v>
      </c>
      <c r="AW52" s="59">
        <f ca="1"/>
        <v>0</v>
      </c>
      <c r="AX52" s="59">
        <f ca="1"/>
        <v>0</v>
      </c>
      <c r="AY52" s="59">
        <f ca="1"/>
        <v>0</v>
      </c>
      <c r="AZ52" s="59">
        <f ca="1"/>
        <v>0</v>
      </c>
      <c r="BA52" s="59"/>
      <c r="BS52" s="5">
        <f t="shared" si="0"/>
        <v>0</v>
      </c>
      <c r="BT52" s="5" t="str">
        <f t="shared" si="1"/>
        <v>2024V_Vorsorg1</v>
      </c>
      <c r="BU52">
        <v>2024</v>
      </c>
      <c r="BV52" t="s">
        <v>95</v>
      </c>
      <c r="BW52">
        <v>1</v>
      </c>
      <c r="BX52">
        <v>0</v>
      </c>
      <c r="CA52">
        <v>4945.2</v>
      </c>
      <c r="CD52" s="5" t="str">
        <f t="shared" ca="1" si="4"/>
        <v>Sheldon</v>
      </c>
      <c r="CE52" s="5" t="str">
        <f t="shared" ca="1" si="5"/>
        <v>Pensionskasse Caltec</v>
      </c>
      <c r="CF52" s="5" t="str">
        <f t="shared" ca="1" si="6"/>
        <v>Sheldon - Pensionskasse Caltec</v>
      </c>
      <c r="CG52" s="5"/>
    </row>
    <row r="53" spans="1:85" x14ac:dyDescent="0.25">
      <c r="A53" s="57" t="str">
        <f ca="1"/>
        <v>Pensionskasse Caltec</v>
      </c>
      <c r="B53" s="57">
        <f ca="1"/>
        <v>1</v>
      </c>
      <c r="C53" s="53" t="str">
        <f ca="1"/>
        <v>Sheldon</v>
      </c>
      <c r="D53" s="54">
        <f ca="1"/>
        <v>0.01</v>
      </c>
      <c r="E53" s="62">
        <f ca="1"/>
        <v>300000</v>
      </c>
      <c r="F53" s="59">
        <f ca="1"/>
        <v>307945.2</v>
      </c>
      <c r="G53" s="59">
        <f ca="1"/>
        <v>315969.85200000001</v>
      </c>
      <c r="H53" s="59">
        <f ca="1"/>
        <v>324074.75052</v>
      </c>
      <c r="I53" s="59">
        <f ca="1"/>
        <v>332260.69802519999</v>
      </c>
      <c r="J53" s="59">
        <f ca="1"/>
        <v>340528.50500545203</v>
      </c>
      <c r="K53" s="59">
        <f ca="1"/>
        <v>348878.99005550658</v>
      </c>
      <c r="L53" s="59">
        <f ca="1"/>
        <v>0</v>
      </c>
      <c r="M53" s="59">
        <f ca="1"/>
        <v>0</v>
      </c>
      <c r="N53" s="59">
        <f ca="1"/>
        <v>0</v>
      </c>
      <c r="O53" s="59">
        <f ca="1"/>
        <v>0</v>
      </c>
      <c r="P53" s="59">
        <f ca="1"/>
        <v>0</v>
      </c>
      <c r="Q53" s="59">
        <f ca="1"/>
        <v>0</v>
      </c>
      <c r="R53" s="59">
        <f ca="1"/>
        <v>0</v>
      </c>
      <c r="S53" s="59">
        <f ca="1"/>
        <v>0</v>
      </c>
      <c r="T53" s="59">
        <f ca="1"/>
        <v>0</v>
      </c>
      <c r="U53" s="59">
        <f ca="1"/>
        <v>0</v>
      </c>
      <c r="V53" s="59">
        <f ca="1"/>
        <v>0</v>
      </c>
      <c r="W53" s="59">
        <f ca="1"/>
        <v>0</v>
      </c>
      <c r="X53" s="59">
        <f ca="1"/>
        <v>0</v>
      </c>
      <c r="Y53" s="59">
        <f ca="1"/>
        <v>0</v>
      </c>
      <c r="Z53" s="59">
        <f ca="1"/>
        <v>0</v>
      </c>
      <c r="AA53" s="59">
        <f ca="1"/>
        <v>0</v>
      </c>
      <c r="AB53" s="59">
        <f ca="1"/>
        <v>0</v>
      </c>
      <c r="AC53" s="59">
        <f ca="1"/>
        <v>0</v>
      </c>
      <c r="AD53" s="59">
        <f ca="1"/>
        <v>0</v>
      </c>
      <c r="AE53" s="59">
        <f ca="1"/>
        <v>0</v>
      </c>
      <c r="AF53" s="59">
        <f ca="1"/>
        <v>0</v>
      </c>
      <c r="AG53" s="59">
        <f ca="1"/>
        <v>0</v>
      </c>
      <c r="AH53" s="59">
        <f ca="1"/>
        <v>0</v>
      </c>
      <c r="AI53" s="59">
        <f ca="1"/>
        <v>0</v>
      </c>
      <c r="AJ53" s="59">
        <f ca="1"/>
        <v>0</v>
      </c>
      <c r="AK53" s="59">
        <f ca="1"/>
        <v>0</v>
      </c>
      <c r="AL53" s="59">
        <f ca="1"/>
        <v>0</v>
      </c>
      <c r="AM53" s="59">
        <f ca="1"/>
        <v>0</v>
      </c>
      <c r="AN53" s="59">
        <f ca="1"/>
        <v>0</v>
      </c>
      <c r="AO53" s="59">
        <f ca="1"/>
        <v>0</v>
      </c>
      <c r="AP53" s="59">
        <f ca="1"/>
        <v>0</v>
      </c>
      <c r="AQ53" s="59">
        <f ca="1"/>
        <v>0</v>
      </c>
      <c r="AR53" s="59">
        <f ca="1"/>
        <v>0</v>
      </c>
      <c r="AS53" s="59">
        <f ca="1"/>
        <v>0</v>
      </c>
      <c r="AT53" s="59">
        <f ca="1"/>
        <v>0</v>
      </c>
      <c r="AU53" s="59">
        <f ca="1"/>
        <v>0</v>
      </c>
      <c r="AV53" s="59">
        <f ca="1"/>
        <v>0</v>
      </c>
      <c r="AW53" s="59">
        <f ca="1"/>
        <v>0</v>
      </c>
      <c r="AX53" s="59">
        <f ca="1"/>
        <v>0</v>
      </c>
      <c r="AY53" s="59">
        <f ca="1"/>
        <v>0</v>
      </c>
      <c r="AZ53" s="59">
        <f ca="1"/>
        <v>0</v>
      </c>
      <c r="BA53" s="59"/>
      <c r="BS53" s="5">
        <f t="shared" si="0"/>
        <v>0</v>
      </c>
      <c r="BT53" s="5" t="str">
        <f t="shared" si="1"/>
        <v>2025V_Vorsorg1</v>
      </c>
      <c r="BU53">
        <v>2025</v>
      </c>
      <c r="BV53" t="s">
        <v>95</v>
      </c>
      <c r="BW53">
        <v>1</v>
      </c>
      <c r="BX53">
        <v>0</v>
      </c>
      <c r="CA53">
        <v>4945.2</v>
      </c>
      <c r="CD53" s="5" t="str">
        <f t="shared" ca="1" si="4"/>
        <v>Sheldon</v>
      </c>
      <c r="CE53" s="5" t="str">
        <f t="shared" ca="1" si="5"/>
        <v>Pensionskasse Caltec</v>
      </c>
      <c r="CF53" s="5" t="str">
        <f t="shared" ca="1" si="6"/>
        <v>Sheldon - Pensionskasse Caltec</v>
      </c>
      <c r="CG53" s="5"/>
    </row>
    <row r="54" spans="1:85" x14ac:dyDescent="0.25">
      <c r="A54" s="57" t="str">
        <f ca="1"/>
        <v>PostFinance Säule 3a Depot I</v>
      </c>
      <c r="B54" s="57">
        <f ca="1"/>
        <v>3</v>
      </c>
      <c r="C54" s="53" t="str">
        <f ca="1"/>
        <v>Sheldon</v>
      </c>
      <c r="D54" s="54">
        <f ca="1"/>
        <v>3.5000000000000003E-2</v>
      </c>
      <c r="E54" s="62">
        <f ca="1"/>
        <v>40000</v>
      </c>
      <c r="F54" s="59">
        <f ca="1"/>
        <v>41400</v>
      </c>
      <c r="G54" s="59">
        <f ca="1"/>
        <v>42849</v>
      </c>
      <c r="H54" s="59">
        <f ca="1"/>
        <v>0</v>
      </c>
      <c r="I54" s="59">
        <f ca="1"/>
        <v>0</v>
      </c>
      <c r="J54" s="59">
        <f ca="1"/>
        <v>0</v>
      </c>
      <c r="K54" s="59">
        <f ca="1"/>
        <v>0</v>
      </c>
      <c r="L54" s="59">
        <f ca="1"/>
        <v>0</v>
      </c>
      <c r="M54" s="59">
        <f ca="1"/>
        <v>0</v>
      </c>
      <c r="N54" s="59">
        <f ca="1"/>
        <v>0</v>
      </c>
      <c r="O54" s="59">
        <f ca="1"/>
        <v>0</v>
      </c>
      <c r="P54" s="59">
        <f ca="1"/>
        <v>0</v>
      </c>
      <c r="Q54" s="59">
        <f ca="1"/>
        <v>0</v>
      </c>
      <c r="R54" s="59">
        <f ca="1"/>
        <v>0</v>
      </c>
      <c r="S54" s="59">
        <f ca="1"/>
        <v>0</v>
      </c>
      <c r="T54" s="59">
        <f ca="1"/>
        <v>0</v>
      </c>
      <c r="U54" s="59">
        <f ca="1"/>
        <v>0</v>
      </c>
      <c r="V54" s="59">
        <f ca="1"/>
        <v>0</v>
      </c>
      <c r="W54" s="59">
        <f ca="1"/>
        <v>0</v>
      </c>
      <c r="X54" s="59">
        <f ca="1"/>
        <v>0</v>
      </c>
      <c r="Y54" s="59">
        <f ca="1"/>
        <v>0</v>
      </c>
      <c r="Z54" s="59">
        <f ca="1"/>
        <v>0</v>
      </c>
      <c r="AA54" s="59">
        <f ca="1"/>
        <v>0</v>
      </c>
      <c r="AB54" s="59">
        <f ca="1"/>
        <v>0</v>
      </c>
      <c r="AC54" s="59">
        <f ca="1"/>
        <v>0</v>
      </c>
      <c r="AD54" s="59">
        <f ca="1"/>
        <v>0</v>
      </c>
      <c r="AE54" s="59">
        <f ca="1"/>
        <v>0</v>
      </c>
      <c r="AF54" s="59">
        <f ca="1"/>
        <v>0</v>
      </c>
      <c r="AG54" s="59">
        <f ca="1"/>
        <v>0</v>
      </c>
      <c r="AH54" s="59">
        <f ca="1"/>
        <v>0</v>
      </c>
      <c r="AI54" s="59">
        <f ca="1"/>
        <v>0</v>
      </c>
      <c r="AJ54" s="59">
        <f ca="1"/>
        <v>0</v>
      </c>
      <c r="AK54" s="59">
        <f ca="1"/>
        <v>0</v>
      </c>
      <c r="AL54" s="59">
        <f ca="1"/>
        <v>0</v>
      </c>
      <c r="AM54" s="59">
        <f ca="1"/>
        <v>0</v>
      </c>
      <c r="AN54" s="59">
        <f ca="1"/>
        <v>0</v>
      </c>
      <c r="AO54" s="59">
        <f ca="1"/>
        <v>0</v>
      </c>
      <c r="AP54" s="59">
        <f ca="1"/>
        <v>0</v>
      </c>
      <c r="AQ54" s="59">
        <f ca="1"/>
        <v>0</v>
      </c>
      <c r="AR54" s="59">
        <f ca="1"/>
        <v>0</v>
      </c>
      <c r="AS54" s="59">
        <f ca="1"/>
        <v>0</v>
      </c>
      <c r="AT54" s="59">
        <f ca="1"/>
        <v>0</v>
      </c>
      <c r="AU54" s="59">
        <f ca="1"/>
        <v>0</v>
      </c>
      <c r="AV54" s="59">
        <f ca="1"/>
        <v>0</v>
      </c>
      <c r="AW54" s="59">
        <f ca="1"/>
        <v>0</v>
      </c>
      <c r="AX54" s="59">
        <f ca="1"/>
        <v>0</v>
      </c>
      <c r="AY54" s="59">
        <f ca="1"/>
        <v>0</v>
      </c>
      <c r="AZ54" s="59">
        <f ca="1"/>
        <v>0</v>
      </c>
      <c r="BA54" s="59"/>
      <c r="BS54" s="5">
        <f t="shared" si="0"/>
        <v>0</v>
      </c>
      <c r="BT54" s="5" t="str">
        <f t="shared" si="1"/>
        <v>2026V_Vorsorg1</v>
      </c>
      <c r="BU54">
        <v>2026</v>
      </c>
      <c r="BV54" t="s">
        <v>95</v>
      </c>
      <c r="BW54">
        <v>1</v>
      </c>
      <c r="BX54">
        <v>0</v>
      </c>
      <c r="CA54">
        <v>4945.2</v>
      </c>
      <c r="CD54" s="5" t="str">
        <f t="shared" ca="1" si="4"/>
        <v>Sheldon</v>
      </c>
      <c r="CE54" s="5" t="str">
        <f t="shared" ca="1" si="5"/>
        <v>Pensionskasse Caltec</v>
      </c>
      <c r="CF54" s="5" t="str">
        <f t="shared" ca="1" si="6"/>
        <v>Sheldon - Pensionskasse Caltec</v>
      </c>
      <c r="CG54" s="5"/>
    </row>
    <row r="55" spans="1:85" x14ac:dyDescent="0.25">
      <c r="A55" s="57" t="str">
        <f ca="1"/>
        <v>PostFinance Säule 3a Depot II</v>
      </c>
      <c r="B55" s="57">
        <f ca="1"/>
        <v>4</v>
      </c>
      <c r="C55" s="53" t="str">
        <f ca="1"/>
        <v>Sheldon</v>
      </c>
      <c r="D55" s="54">
        <f ca="1"/>
        <v>3.5000000000000003E-2</v>
      </c>
      <c r="E55" s="62">
        <f ca="1"/>
        <v>20000</v>
      </c>
      <c r="F55" s="59">
        <f ca="1"/>
        <v>20700</v>
      </c>
      <c r="G55" s="59">
        <f ca="1"/>
        <v>0</v>
      </c>
      <c r="H55" s="59">
        <f ca="1"/>
        <v>0</v>
      </c>
      <c r="I55" s="59">
        <f ca="1"/>
        <v>0</v>
      </c>
      <c r="J55" s="59">
        <f ca="1"/>
        <v>0</v>
      </c>
      <c r="K55" s="59">
        <f ca="1"/>
        <v>0</v>
      </c>
      <c r="L55" s="59">
        <f ca="1"/>
        <v>0</v>
      </c>
      <c r="M55" s="59">
        <f ca="1"/>
        <v>0</v>
      </c>
      <c r="N55" s="59">
        <f ca="1"/>
        <v>0</v>
      </c>
      <c r="O55" s="59">
        <f ca="1"/>
        <v>0</v>
      </c>
      <c r="P55" s="59">
        <f ca="1"/>
        <v>0</v>
      </c>
      <c r="Q55" s="59">
        <f ca="1"/>
        <v>0</v>
      </c>
      <c r="R55" s="59">
        <f ca="1"/>
        <v>0</v>
      </c>
      <c r="S55" s="59">
        <f ca="1"/>
        <v>0</v>
      </c>
      <c r="T55" s="59">
        <f ca="1"/>
        <v>0</v>
      </c>
      <c r="U55" s="59">
        <f ca="1"/>
        <v>0</v>
      </c>
      <c r="V55" s="59">
        <f ca="1"/>
        <v>0</v>
      </c>
      <c r="W55" s="59">
        <f ca="1"/>
        <v>0</v>
      </c>
      <c r="X55" s="59">
        <f ca="1"/>
        <v>0</v>
      </c>
      <c r="Y55" s="59">
        <f ca="1"/>
        <v>0</v>
      </c>
      <c r="Z55" s="59">
        <f ca="1"/>
        <v>0</v>
      </c>
      <c r="AA55" s="59">
        <f ca="1"/>
        <v>0</v>
      </c>
      <c r="AB55" s="59">
        <f ca="1"/>
        <v>0</v>
      </c>
      <c r="AC55" s="59">
        <f ca="1"/>
        <v>0</v>
      </c>
      <c r="AD55" s="59">
        <f ca="1"/>
        <v>0</v>
      </c>
      <c r="AE55" s="59">
        <f ca="1"/>
        <v>0</v>
      </c>
      <c r="AF55" s="59">
        <f ca="1"/>
        <v>0</v>
      </c>
      <c r="AG55" s="59">
        <f ca="1"/>
        <v>0</v>
      </c>
      <c r="AH55" s="59">
        <f ca="1"/>
        <v>0</v>
      </c>
      <c r="AI55" s="59">
        <f ca="1"/>
        <v>0</v>
      </c>
      <c r="AJ55" s="59">
        <f ca="1"/>
        <v>0</v>
      </c>
      <c r="AK55" s="59">
        <f ca="1"/>
        <v>0</v>
      </c>
      <c r="AL55" s="59">
        <f ca="1"/>
        <v>0</v>
      </c>
      <c r="AM55" s="59">
        <f ca="1"/>
        <v>0</v>
      </c>
      <c r="AN55" s="59">
        <f ca="1"/>
        <v>0</v>
      </c>
      <c r="AO55" s="59">
        <f ca="1"/>
        <v>0</v>
      </c>
      <c r="AP55" s="59">
        <f ca="1"/>
        <v>0</v>
      </c>
      <c r="AQ55" s="59">
        <f ca="1"/>
        <v>0</v>
      </c>
      <c r="AR55" s="59">
        <f ca="1"/>
        <v>0</v>
      </c>
      <c r="AS55" s="59">
        <f ca="1"/>
        <v>0</v>
      </c>
      <c r="AT55" s="59">
        <f ca="1"/>
        <v>0</v>
      </c>
      <c r="AU55" s="59">
        <f ca="1"/>
        <v>0</v>
      </c>
      <c r="AV55" s="59">
        <f ca="1"/>
        <v>0</v>
      </c>
      <c r="AW55" s="59">
        <f ca="1"/>
        <v>0</v>
      </c>
      <c r="AX55" s="59">
        <f ca="1"/>
        <v>0</v>
      </c>
      <c r="AY55" s="59">
        <f ca="1"/>
        <v>0</v>
      </c>
      <c r="AZ55" s="59">
        <f ca="1"/>
        <v>0</v>
      </c>
      <c r="BA55" s="59"/>
      <c r="BS55" s="5">
        <f t="shared" si="0"/>
        <v>0</v>
      </c>
      <c r="BT55" s="5" t="str">
        <f t="shared" si="1"/>
        <v>2027V_Vorsorg1</v>
      </c>
      <c r="BU55">
        <v>2027</v>
      </c>
      <c r="BV55" t="s">
        <v>95</v>
      </c>
      <c r="BW55">
        <v>1</v>
      </c>
      <c r="BX55">
        <v>0</v>
      </c>
      <c r="CA55">
        <v>4945.2</v>
      </c>
      <c r="CD55" s="5" t="str">
        <f t="shared" ca="1" si="4"/>
        <v>Sheldon</v>
      </c>
      <c r="CE55" s="5" t="str">
        <f t="shared" ca="1" si="5"/>
        <v>Pensionskasse Caltec</v>
      </c>
      <c r="CF55" s="5" t="str">
        <f t="shared" ca="1" si="6"/>
        <v>Sheldon - Pensionskasse Caltec</v>
      </c>
      <c r="CG55" s="5"/>
    </row>
    <row r="56" spans="1:85" x14ac:dyDescent="0.25">
      <c r="A56" s="57" t="str">
        <f ca="1"/>
        <v>MigrosBank Säule 3a Konto</v>
      </c>
      <c r="B56" s="57">
        <f ca="1"/>
        <v>10</v>
      </c>
      <c r="C56" s="53" t="str">
        <f ca="1"/>
        <v>Sheldon</v>
      </c>
      <c r="D56" s="54">
        <f ca="1"/>
        <v>0.01</v>
      </c>
      <c r="E56" s="62">
        <f ca="1"/>
        <v>35000</v>
      </c>
      <c r="F56" s="59">
        <f ca="1"/>
        <v>35350</v>
      </c>
      <c r="G56" s="59">
        <f ca="1"/>
        <v>35703.5</v>
      </c>
      <c r="H56" s="59">
        <f ca="1"/>
        <v>36060.535000000003</v>
      </c>
      <c r="I56" s="59">
        <f ca="1"/>
        <v>36421.140350000001</v>
      </c>
      <c r="J56" s="59">
        <f ca="1"/>
        <v>36785.351753499999</v>
      </c>
      <c r="K56" s="59">
        <f ca="1"/>
        <v>37153.205271034996</v>
      </c>
      <c r="L56" s="59">
        <f ca="1"/>
        <v>0</v>
      </c>
      <c r="M56" s="59">
        <f ca="1"/>
        <v>0</v>
      </c>
      <c r="N56" s="59">
        <f ca="1"/>
        <v>0</v>
      </c>
      <c r="O56" s="59">
        <f ca="1"/>
        <v>0</v>
      </c>
      <c r="P56" s="59">
        <f ca="1"/>
        <v>0</v>
      </c>
      <c r="Q56" s="59">
        <f ca="1"/>
        <v>0</v>
      </c>
      <c r="R56" s="59">
        <f ca="1"/>
        <v>0</v>
      </c>
      <c r="S56" s="59">
        <f ca="1"/>
        <v>0</v>
      </c>
      <c r="T56" s="59">
        <f ca="1"/>
        <v>0</v>
      </c>
      <c r="U56" s="59">
        <f ca="1"/>
        <v>0</v>
      </c>
      <c r="V56" s="59">
        <f ca="1"/>
        <v>0</v>
      </c>
      <c r="W56" s="59">
        <f ca="1"/>
        <v>0</v>
      </c>
      <c r="X56" s="59">
        <f ca="1"/>
        <v>0</v>
      </c>
      <c r="Y56" s="59">
        <f ca="1"/>
        <v>0</v>
      </c>
      <c r="Z56" s="59">
        <f ca="1"/>
        <v>0</v>
      </c>
      <c r="AA56" s="59">
        <f ca="1"/>
        <v>0</v>
      </c>
      <c r="AB56" s="59">
        <f ca="1"/>
        <v>0</v>
      </c>
      <c r="AC56" s="59">
        <f ca="1"/>
        <v>0</v>
      </c>
      <c r="AD56" s="59">
        <f ca="1"/>
        <v>0</v>
      </c>
      <c r="AE56" s="59">
        <f ca="1"/>
        <v>0</v>
      </c>
      <c r="AF56" s="59">
        <f ca="1"/>
        <v>0</v>
      </c>
      <c r="AG56" s="59">
        <f ca="1"/>
        <v>0</v>
      </c>
      <c r="AH56" s="59">
        <f ca="1"/>
        <v>0</v>
      </c>
      <c r="AI56" s="59">
        <f ca="1"/>
        <v>0</v>
      </c>
      <c r="AJ56" s="59">
        <f ca="1"/>
        <v>0</v>
      </c>
      <c r="AK56" s="59">
        <f ca="1"/>
        <v>0</v>
      </c>
      <c r="AL56" s="59">
        <f ca="1"/>
        <v>0</v>
      </c>
      <c r="AM56" s="59">
        <f ca="1"/>
        <v>0</v>
      </c>
      <c r="AN56" s="59">
        <f ca="1"/>
        <v>0</v>
      </c>
      <c r="AO56" s="59">
        <f ca="1"/>
        <v>0</v>
      </c>
      <c r="AP56" s="59">
        <f ca="1"/>
        <v>0</v>
      </c>
      <c r="AQ56" s="59">
        <f ca="1"/>
        <v>0</v>
      </c>
      <c r="AR56" s="59">
        <f ca="1"/>
        <v>0</v>
      </c>
      <c r="AS56" s="59">
        <f ca="1"/>
        <v>0</v>
      </c>
      <c r="AT56" s="59">
        <f ca="1"/>
        <v>0</v>
      </c>
      <c r="AU56" s="59">
        <f ca="1"/>
        <v>0</v>
      </c>
      <c r="AV56" s="59">
        <f ca="1"/>
        <v>0</v>
      </c>
      <c r="AW56" s="59">
        <f ca="1"/>
        <v>0</v>
      </c>
      <c r="AX56" s="59">
        <f ca="1"/>
        <v>0</v>
      </c>
      <c r="AY56" s="59">
        <f ca="1"/>
        <v>0</v>
      </c>
      <c r="AZ56" s="59">
        <f ca="1"/>
        <v>0</v>
      </c>
      <c r="BA56" s="59"/>
      <c r="BS56" s="5">
        <f t="shared" si="0"/>
        <v>0</v>
      </c>
      <c r="BT56" s="5" t="str">
        <f t="shared" si="1"/>
        <v>2028V_Vorsorg1</v>
      </c>
      <c r="BU56">
        <v>2028</v>
      </c>
      <c r="BV56" t="s">
        <v>95</v>
      </c>
      <c r="BW56">
        <v>1</v>
      </c>
      <c r="CA56">
        <v>4945.2</v>
      </c>
      <c r="CD56" s="5" t="str">
        <f t="shared" ca="1" si="4"/>
        <v>Sheldon</v>
      </c>
      <c r="CE56" s="5" t="str">
        <f t="shared" ca="1" si="5"/>
        <v>Pensionskasse Caltec</v>
      </c>
      <c r="CF56" s="5" t="str">
        <f t="shared" ca="1" si="6"/>
        <v>Sheldon - Pensionskasse Caltec</v>
      </c>
      <c r="CG56" s="5"/>
    </row>
    <row r="57" spans="1:85" x14ac:dyDescent="0.25">
      <c r="A57" s="57" t="str">
        <f ca="1"/>
        <v>Neues Säule 3a Gefäss I</v>
      </c>
      <c r="B57" s="57">
        <f ca="1"/>
        <v>11</v>
      </c>
      <c r="C57" s="53" t="str">
        <f ca="1"/>
        <v>Sheldon</v>
      </c>
      <c r="D57" s="54">
        <f ca="1"/>
        <v>0.01</v>
      </c>
      <c r="E57" s="62">
        <f ca="1"/>
        <v>0</v>
      </c>
      <c r="F57" s="59">
        <f ca="1"/>
        <v>7056</v>
      </c>
      <c r="G57" s="59">
        <f ca="1"/>
        <v>14182.560000000001</v>
      </c>
      <c r="H57" s="59">
        <f ca="1"/>
        <v>14324.385600000001</v>
      </c>
      <c r="I57" s="59">
        <f ca="1"/>
        <v>0</v>
      </c>
      <c r="J57" s="59">
        <f ca="1"/>
        <v>0</v>
      </c>
      <c r="K57" s="59">
        <f ca="1"/>
        <v>0</v>
      </c>
      <c r="L57" s="59">
        <f ca="1"/>
        <v>0</v>
      </c>
      <c r="M57" s="59">
        <f ca="1"/>
        <v>0</v>
      </c>
      <c r="N57" s="59">
        <f ca="1"/>
        <v>0</v>
      </c>
      <c r="O57" s="59">
        <f ca="1"/>
        <v>0</v>
      </c>
      <c r="P57" s="59">
        <f ca="1"/>
        <v>0</v>
      </c>
      <c r="Q57" s="59">
        <f ca="1"/>
        <v>0</v>
      </c>
      <c r="R57" s="59">
        <f ca="1"/>
        <v>0</v>
      </c>
      <c r="S57" s="59">
        <f ca="1"/>
        <v>0</v>
      </c>
      <c r="T57" s="59">
        <f ca="1"/>
        <v>0</v>
      </c>
      <c r="U57" s="59">
        <f ca="1"/>
        <v>0</v>
      </c>
      <c r="V57" s="59">
        <f ca="1"/>
        <v>0</v>
      </c>
      <c r="W57" s="59">
        <f ca="1"/>
        <v>0</v>
      </c>
      <c r="X57" s="59">
        <f ca="1"/>
        <v>0</v>
      </c>
      <c r="Y57" s="59">
        <f ca="1"/>
        <v>0</v>
      </c>
      <c r="Z57" s="59">
        <f ca="1"/>
        <v>0</v>
      </c>
      <c r="AA57" s="59">
        <f ca="1"/>
        <v>0</v>
      </c>
      <c r="AB57" s="59">
        <f ca="1"/>
        <v>0</v>
      </c>
      <c r="AC57" s="59">
        <f ca="1"/>
        <v>0</v>
      </c>
      <c r="AD57" s="59">
        <f ca="1"/>
        <v>0</v>
      </c>
      <c r="AE57" s="59">
        <f ca="1"/>
        <v>0</v>
      </c>
      <c r="AF57" s="59">
        <f ca="1"/>
        <v>0</v>
      </c>
      <c r="AG57" s="59">
        <f ca="1"/>
        <v>0</v>
      </c>
      <c r="AH57" s="59">
        <f ca="1"/>
        <v>0</v>
      </c>
      <c r="AI57" s="59">
        <f ca="1"/>
        <v>0</v>
      </c>
      <c r="AJ57" s="59">
        <f ca="1"/>
        <v>0</v>
      </c>
      <c r="AK57" s="59">
        <f ca="1"/>
        <v>0</v>
      </c>
      <c r="AL57" s="59">
        <f ca="1"/>
        <v>0</v>
      </c>
      <c r="AM57" s="59">
        <f ca="1"/>
        <v>0</v>
      </c>
      <c r="AN57" s="59">
        <f ca="1"/>
        <v>0</v>
      </c>
      <c r="AO57" s="59">
        <f ca="1"/>
        <v>0</v>
      </c>
      <c r="AP57" s="59">
        <f ca="1"/>
        <v>0</v>
      </c>
      <c r="AQ57" s="59">
        <f ca="1"/>
        <v>0</v>
      </c>
      <c r="AR57" s="59">
        <f ca="1"/>
        <v>0</v>
      </c>
      <c r="AS57" s="59">
        <f ca="1"/>
        <v>0</v>
      </c>
      <c r="AT57" s="59">
        <f ca="1"/>
        <v>0</v>
      </c>
      <c r="AU57" s="59">
        <f ca="1"/>
        <v>0</v>
      </c>
      <c r="AV57" s="59">
        <f ca="1"/>
        <v>0</v>
      </c>
      <c r="AW57" s="59">
        <f ca="1"/>
        <v>0</v>
      </c>
      <c r="AX57" s="59">
        <f ca="1"/>
        <v>0</v>
      </c>
      <c r="AY57" s="59">
        <f ca="1"/>
        <v>0</v>
      </c>
      <c r="AZ57" s="59">
        <f ca="1"/>
        <v>0</v>
      </c>
      <c r="BA57" s="59"/>
      <c r="BS57" s="5">
        <f t="shared" si="0"/>
        <v>0</v>
      </c>
      <c r="BT57" s="5" t="str">
        <f t="shared" si="1"/>
        <v>2029V_Vorsorg1</v>
      </c>
      <c r="BU57">
        <v>2029</v>
      </c>
      <c r="BV57" t="s">
        <v>95</v>
      </c>
      <c r="BW57">
        <v>1</v>
      </c>
      <c r="CA57">
        <v>4945.2</v>
      </c>
      <c r="CD57" s="5" t="str">
        <f t="shared" ca="1" si="4"/>
        <v>Sheldon</v>
      </c>
      <c r="CE57" s="5" t="str">
        <f t="shared" ca="1" si="5"/>
        <v>Pensionskasse Caltec</v>
      </c>
      <c r="CF57" s="5" t="str">
        <f t="shared" ca="1" si="6"/>
        <v>Sheldon - Pensionskasse Caltec</v>
      </c>
      <c r="CG57" s="5"/>
    </row>
    <row r="58" spans="1:85" x14ac:dyDescent="0.25">
      <c r="A58" s="57" t="str">
        <f ca="1"/>
        <v>Neues Säule 3a Gefäss II</v>
      </c>
      <c r="B58" s="57">
        <f ca="1"/>
        <v>12</v>
      </c>
      <c r="C58" s="53" t="str">
        <f ca="1"/>
        <v>Sheldon</v>
      </c>
      <c r="D58" s="54">
        <f ca="1"/>
        <v>0.01</v>
      </c>
      <c r="E58" s="62">
        <f ca="1"/>
        <v>0</v>
      </c>
      <c r="F58" s="59">
        <f ca="1"/>
        <v>0</v>
      </c>
      <c r="G58" s="59">
        <f ca="1"/>
        <v>0</v>
      </c>
      <c r="H58" s="59">
        <f ca="1"/>
        <v>7056</v>
      </c>
      <c r="I58" s="59">
        <f ca="1"/>
        <v>14182.560000000001</v>
      </c>
      <c r="J58" s="59">
        <f ca="1"/>
        <v>21380.385600000001</v>
      </c>
      <c r="K58" s="59">
        <f ca="1"/>
        <v>21594.189456</v>
      </c>
      <c r="L58" s="59">
        <f ca="1"/>
        <v>28866.131350560001</v>
      </c>
      <c r="M58" s="59">
        <f ca="1"/>
        <v>29154.792664065601</v>
      </c>
      <c r="N58" s="59">
        <f ca="1"/>
        <v>0</v>
      </c>
      <c r="O58" s="59">
        <f ca="1"/>
        <v>0</v>
      </c>
      <c r="P58" s="59">
        <f ca="1"/>
        <v>0</v>
      </c>
      <c r="Q58" s="59">
        <f ca="1"/>
        <v>0</v>
      </c>
      <c r="R58" s="59">
        <f ca="1"/>
        <v>0</v>
      </c>
      <c r="S58" s="59">
        <f ca="1"/>
        <v>0</v>
      </c>
      <c r="T58" s="59">
        <f ca="1"/>
        <v>0</v>
      </c>
      <c r="U58" s="59">
        <f ca="1"/>
        <v>0</v>
      </c>
      <c r="V58" s="59">
        <f ca="1"/>
        <v>0</v>
      </c>
      <c r="W58" s="59">
        <f ca="1"/>
        <v>0</v>
      </c>
      <c r="X58" s="59">
        <f ca="1"/>
        <v>0</v>
      </c>
      <c r="Y58" s="59">
        <f ca="1"/>
        <v>0</v>
      </c>
      <c r="Z58" s="59">
        <f ca="1"/>
        <v>0</v>
      </c>
      <c r="AA58" s="59">
        <f ca="1"/>
        <v>0</v>
      </c>
      <c r="AB58" s="59">
        <f ca="1"/>
        <v>0</v>
      </c>
      <c r="AC58" s="59">
        <f ca="1"/>
        <v>0</v>
      </c>
      <c r="AD58" s="59">
        <f ca="1"/>
        <v>0</v>
      </c>
      <c r="AE58" s="59">
        <f ca="1"/>
        <v>0</v>
      </c>
      <c r="AF58" s="59">
        <f ca="1"/>
        <v>0</v>
      </c>
      <c r="AG58" s="59">
        <f ca="1"/>
        <v>0</v>
      </c>
      <c r="AH58" s="59">
        <f ca="1"/>
        <v>0</v>
      </c>
      <c r="AI58" s="59">
        <f ca="1"/>
        <v>0</v>
      </c>
      <c r="AJ58" s="59">
        <f ca="1"/>
        <v>0</v>
      </c>
      <c r="AK58" s="59">
        <f ca="1"/>
        <v>0</v>
      </c>
      <c r="AL58" s="59">
        <f ca="1"/>
        <v>0</v>
      </c>
      <c r="AM58" s="59">
        <f ca="1"/>
        <v>0</v>
      </c>
      <c r="AN58" s="59">
        <f ca="1"/>
        <v>0</v>
      </c>
      <c r="AO58" s="59">
        <f ca="1"/>
        <v>0</v>
      </c>
      <c r="AP58" s="59">
        <f ca="1"/>
        <v>0</v>
      </c>
      <c r="AQ58" s="59">
        <f ca="1"/>
        <v>0</v>
      </c>
      <c r="AR58" s="59">
        <f ca="1"/>
        <v>0</v>
      </c>
      <c r="AS58" s="59">
        <f ca="1"/>
        <v>0</v>
      </c>
      <c r="AT58" s="59">
        <f ca="1"/>
        <v>0</v>
      </c>
      <c r="AU58" s="59">
        <f ca="1"/>
        <v>0</v>
      </c>
      <c r="AV58" s="59">
        <f ca="1"/>
        <v>0</v>
      </c>
      <c r="AW58" s="59">
        <f ca="1"/>
        <v>0</v>
      </c>
      <c r="AX58" s="59">
        <f ca="1"/>
        <v>0</v>
      </c>
      <c r="AY58" s="59">
        <f ca="1"/>
        <v>0</v>
      </c>
      <c r="AZ58" s="59">
        <f ca="1"/>
        <v>0</v>
      </c>
      <c r="BA58" s="59"/>
      <c r="BS58" s="5">
        <f t="shared" si="0"/>
        <v>0</v>
      </c>
      <c r="BT58" s="5" t="str">
        <f t="shared" si="1"/>
        <v>2030V_Vorsorg1</v>
      </c>
      <c r="BU58">
        <v>2030</v>
      </c>
      <c r="BV58" t="s">
        <v>95</v>
      </c>
      <c r="BW58">
        <v>1</v>
      </c>
      <c r="BX58">
        <v>1</v>
      </c>
      <c r="BY58" s="12">
        <v>0</v>
      </c>
      <c r="CA58">
        <f>4945.2*9/12</f>
        <v>3708.8999999999996</v>
      </c>
      <c r="CB58" t="s">
        <v>252</v>
      </c>
      <c r="CC58">
        <v>1</v>
      </c>
      <c r="CD58" s="5" t="str">
        <f t="shared" ca="1" si="4"/>
        <v>Sheldon</v>
      </c>
      <c r="CE58" s="5" t="str">
        <f t="shared" ca="1" si="5"/>
        <v>Pensionskasse Caltec</v>
      </c>
      <c r="CF58" s="5" t="str">
        <f t="shared" ca="1" si="6"/>
        <v>Sheldon - Pensionskasse Caltec - Pensionierung, 100% Rentenbezug</v>
      </c>
      <c r="CG58" s="5"/>
    </row>
    <row r="59" spans="1:85" x14ac:dyDescent="0.25">
      <c r="A59" s="57" t="str">
        <f ca="1"/>
        <v>Neues Säule 3a Gefäss III</v>
      </c>
      <c r="B59" s="57">
        <f ca="1"/>
        <v>13</v>
      </c>
      <c r="C59" s="53" t="str">
        <f ca="1"/>
        <v>Sheldon</v>
      </c>
      <c r="D59" s="54">
        <f ca="1"/>
        <v>0.01</v>
      </c>
      <c r="E59" s="62">
        <f ca="1"/>
        <v>0</v>
      </c>
      <c r="F59" s="59">
        <f ca="1"/>
        <v>0</v>
      </c>
      <c r="G59" s="59">
        <f ca="1"/>
        <v>0</v>
      </c>
      <c r="H59" s="59">
        <f ca="1"/>
        <v>0</v>
      </c>
      <c r="I59" s="59">
        <f ca="1"/>
        <v>0</v>
      </c>
      <c r="J59" s="59">
        <f ca="1"/>
        <v>0</v>
      </c>
      <c r="K59" s="59">
        <f ca="1"/>
        <v>7056</v>
      </c>
      <c r="L59" s="59">
        <f ca="1"/>
        <v>0</v>
      </c>
      <c r="M59" s="59">
        <f ca="1"/>
        <v>0</v>
      </c>
      <c r="N59" s="59">
        <f ca="1"/>
        <v>0</v>
      </c>
      <c r="O59" s="59">
        <f ca="1"/>
        <v>0</v>
      </c>
      <c r="P59" s="59">
        <f ca="1"/>
        <v>0</v>
      </c>
      <c r="Q59" s="59">
        <f ca="1"/>
        <v>0</v>
      </c>
      <c r="R59" s="59">
        <f ca="1"/>
        <v>0</v>
      </c>
      <c r="S59" s="59">
        <f ca="1"/>
        <v>0</v>
      </c>
      <c r="T59" s="59">
        <f ca="1"/>
        <v>0</v>
      </c>
      <c r="U59" s="59">
        <f ca="1"/>
        <v>0</v>
      </c>
      <c r="V59" s="59">
        <f ca="1"/>
        <v>0</v>
      </c>
      <c r="W59" s="59">
        <f ca="1"/>
        <v>0</v>
      </c>
      <c r="X59" s="59">
        <f ca="1"/>
        <v>0</v>
      </c>
      <c r="Y59" s="59">
        <f ca="1"/>
        <v>0</v>
      </c>
      <c r="Z59" s="59">
        <f ca="1"/>
        <v>0</v>
      </c>
      <c r="AA59" s="59">
        <f ca="1"/>
        <v>0</v>
      </c>
      <c r="AB59" s="59">
        <f ca="1"/>
        <v>0</v>
      </c>
      <c r="AC59" s="59">
        <f ca="1"/>
        <v>0</v>
      </c>
      <c r="AD59" s="59">
        <f ca="1"/>
        <v>0</v>
      </c>
      <c r="AE59" s="59">
        <f ca="1"/>
        <v>0</v>
      </c>
      <c r="AF59" s="59">
        <f ca="1"/>
        <v>0</v>
      </c>
      <c r="AG59" s="59">
        <f ca="1"/>
        <v>0</v>
      </c>
      <c r="AH59" s="59">
        <f ca="1"/>
        <v>0</v>
      </c>
      <c r="AI59" s="59">
        <f ca="1"/>
        <v>0</v>
      </c>
      <c r="AJ59" s="59">
        <f ca="1"/>
        <v>0</v>
      </c>
      <c r="AK59" s="59">
        <f ca="1"/>
        <v>0</v>
      </c>
      <c r="AL59" s="59">
        <f ca="1"/>
        <v>0</v>
      </c>
      <c r="AM59" s="59">
        <f ca="1"/>
        <v>0</v>
      </c>
      <c r="AN59" s="59">
        <f ca="1"/>
        <v>0</v>
      </c>
      <c r="AO59" s="59">
        <f ca="1"/>
        <v>0</v>
      </c>
      <c r="AP59" s="59">
        <f ca="1"/>
        <v>0</v>
      </c>
      <c r="AQ59" s="59">
        <f ca="1"/>
        <v>0</v>
      </c>
      <c r="AR59" s="59">
        <f ca="1"/>
        <v>0</v>
      </c>
      <c r="AS59" s="59">
        <f ca="1"/>
        <v>0</v>
      </c>
      <c r="AT59" s="59">
        <f ca="1"/>
        <v>0</v>
      </c>
      <c r="AU59" s="59">
        <f ca="1"/>
        <v>0</v>
      </c>
      <c r="AV59" s="59">
        <f ca="1"/>
        <v>0</v>
      </c>
      <c r="AW59" s="59">
        <f ca="1"/>
        <v>0</v>
      </c>
      <c r="AX59" s="59">
        <f ca="1"/>
        <v>0</v>
      </c>
      <c r="AY59" s="59">
        <f ca="1"/>
        <v>0</v>
      </c>
      <c r="AZ59" s="59">
        <f ca="1"/>
        <v>0</v>
      </c>
      <c r="BA59" s="59"/>
      <c r="BS59" s="5">
        <f t="shared" si="0"/>
        <v>1</v>
      </c>
      <c r="BT59" s="5" t="str">
        <f t="shared" si="1"/>
        <v>2030E_Erwerb8</v>
      </c>
      <c r="BU59">
        <v>2030</v>
      </c>
      <c r="BV59" t="s">
        <v>74</v>
      </c>
      <c r="BW59">
        <v>8</v>
      </c>
      <c r="BX59">
        <v>1</v>
      </c>
      <c r="BY59" s="12">
        <f>12408*0.25</f>
        <v>3102</v>
      </c>
      <c r="CD59" s="5" t="str">
        <f t="shared" ca="1" si="4"/>
        <v>Sheldon</v>
      </c>
      <c r="CE59" s="5" t="str">
        <f t="shared" ca="1" si="5"/>
        <v>Rente aus Pensionskasse</v>
      </c>
      <c r="CF59" s="5" t="str">
        <f t="shared" ca="1" si="6"/>
        <v>Sheldon - Rente aus Pensionskasse</v>
      </c>
      <c r="CG59" s="5"/>
    </row>
    <row r="60" spans="1:85" hidden="1" x14ac:dyDescent="0.25">
      <c r="A60" s="57"/>
      <c r="B60" s="57"/>
      <c r="C60" s="53"/>
      <c r="D60" s="54"/>
      <c r="E60" s="62"/>
      <c r="F60" s="59"/>
      <c r="G60" s="59"/>
      <c r="H60" s="59"/>
      <c r="I60" s="59"/>
      <c r="J60" s="59"/>
      <c r="K60" s="59"/>
      <c r="L60" s="59"/>
      <c r="M60" s="59"/>
      <c r="N60" s="59"/>
      <c r="O60" s="59"/>
      <c r="P60" s="59"/>
      <c r="Q60" s="59"/>
      <c r="R60" s="59"/>
      <c r="S60" s="59"/>
      <c r="T60" s="59"/>
      <c r="U60" s="59"/>
      <c r="V60" s="59"/>
      <c r="W60" s="59"/>
      <c r="X60" s="59"/>
      <c r="Y60" s="59"/>
      <c r="Z60" s="59"/>
      <c r="AA60" s="59"/>
      <c r="AB60" s="59"/>
      <c r="AC60" s="59"/>
      <c r="AD60" s="59"/>
      <c r="AE60" s="59"/>
      <c r="AF60" s="59"/>
      <c r="AG60" s="59"/>
      <c r="AH60" s="59"/>
      <c r="AI60" s="59"/>
      <c r="AJ60" s="59"/>
      <c r="AK60" s="59"/>
      <c r="AL60" s="59"/>
      <c r="AM60" s="59"/>
      <c r="AN60" s="59"/>
      <c r="AO60" s="59"/>
      <c r="AP60" s="59"/>
      <c r="AQ60" s="59"/>
      <c r="AR60" s="59"/>
      <c r="AS60" s="59"/>
      <c r="AT60" s="59"/>
      <c r="AU60" s="59"/>
      <c r="AV60" s="59"/>
      <c r="AW60" s="59"/>
      <c r="AX60" s="59"/>
      <c r="AY60" s="59"/>
      <c r="AZ60" s="59"/>
      <c r="BA60" s="59"/>
      <c r="BS60" s="5">
        <f t="shared" si="0"/>
        <v>1</v>
      </c>
      <c r="BT60" s="5" t="str">
        <f t="shared" si="1"/>
        <v>2030E_Erwerb8</v>
      </c>
      <c r="BU60">
        <v>2030</v>
      </c>
      <c r="BV60" t="s">
        <v>74</v>
      </c>
      <c r="BW60">
        <v>8</v>
      </c>
      <c r="BX60">
        <v>1</v>
      </c>
      <c r="BY60" s="12">
        <v>12408</v>
      </c>
      <c r="CD60" s="5" t="str">
        <f t="shared" ca="1" si="4"/>
        <v>Sheldon</v>
      </c>
      <c r="CE60" s="5" t="str">
        <f t="shared" ca="1" si="5"/>
        <v>Rente aus Pensionskasse</v>
      </c>
      <c r="CF60" s="5" t="str">
        <f t="shared" ca="1" si="6"/>
        <v>Sheldon - Rente aus Pensionskasse</v>
      </c>
      <c r="CG60" s="5"/>
    </row>
    <row r="61" spans="1:85" hidden="1" x14ac:dyDescent="0.25">
      <c r="A61" s="57"/>
      <c r="B61" s="57"/>
      <c r="C61" s="53"/>
      <c r="D61" s="54"/>
      <c r="E61" s="62"/>
      <c r="F61" s="59"/>
      <c r="G61" s="59"/>
      <c r="H61" s="59"/>
      <c r="I61" s="59"/>
      <c r="J61" s="59"/>
      <c r="K61" s="59"/>
      <c r="L61" s="59"/>
      <c r="M61" s="59"/>
      <c r="N61" s="59"/>
      <c r="O61" s="59"/>
      <c r="P61" s="59"/>
      <c r="Q61" s="59"/>
      <c r="R61" s="59"/>
      <c r="S61" s="59"/>
      <c r="T61" s="59"/>
      <c r="U61" s="59"/>
      <c r="V61" s="59"/>
      <c r="W61" s="59"/>
      <c r="X61" s="59"/>
      <c r="Y61" s="59"/>
      <c r="Z61" s="59"/>
      <c r="AA61" s="59"/>
      <c r="AB61" s="59"/>
      <c r="AC61" s="59"/>
      <c r="AD61" s="59"/>
      <c r="AE61" s="59"/>
      <c r="AF61" s="59"/>
      <c r="AG61" s="59"/>
      <c r="AH61" s="59"/>
      <c r="AI61" s="59"/>
      <c r="AJ61" s="59"/>
      <c r="AK61" s="59"/>
      <c r="AL61" s="59"/>
      <c r="AM61" s="59"/>
      <c r="AN61" s="59"/>
      <c r="AO61" s="59"/>
      <c r="AP61" s="59"/>
      <c r="AQ61" s="59"/>
      <c r="AR61" s="59"/>
      <c r="AS61" s="59"/>
      <c r="AT61" s="59"/>
      <c r="AU61" s="59"/>
      <c r="AV61" s="59"/>
      <c r="AW61" s="59"/>
      <c r="AX61" s="59"/>
      <c r="AY61" s="59"/>
      <c r="AZ61" s="59"/>
      <c r="BA61" s="59"/>
      <c r="BS61" s="5">
        <f t="shared" si="0"/>
        <v>0</v>
      </c>
      <c r="BT61" s="5" t="str">
        <f t="shared" si="1"/>
        <v>2024V_Vorsorg11</v>
      </c>
      <c r="BU61">
        <v>2024</v>
      </c>
      <c r="BV61" t="s">
        <v>95</v>
      </c>
      <c r="BW61">
        <v>11</v>
      </c>
      <c r="BX61">
        <v>0</v>
      </c>
      <c r="CA61">
        <v>7056</v>
      </c>
      <c r="CB61" t="s">
        <v>254</v>
      </c>
      <c r="CC61">
        <v>1</v>
      </c>
      <c r="CD61" s="5" t="str">
        <f t="shared" ca="1" si="4"/>
        <v>Sheldon</v>
      </c>
      <c r="CE61" s="5" t="str">
        <f t="shared" ca="1" si="5"/>
        <v>Neues Säule 3a Gefäss I</v>
      </c>
      <c r="CF61" s="5" t="str">
        <f t="shared" ca="1" si="6"/>
        <v>Sheldon - Neues Säule 3a Gefäss I - Eröffnung neues Säule 3a Gefäss und Einzahlung Maximalbetrag</v>
      </c>
      <c r="CG61" s="5"/>
    </row>
    <row r="62" spans="1:85" hidden="1" x14ac:dyDescent="0.25">
      <c r="A62" s="57"/>
      <c r="B62" s="57"/>
      <c r="C62" s="53"/>
      <c r="D62" s="54"/>
      <c r="E62" s="62"/>
      <c r="F62" s="59"/>
      <c r="G62" s="59"/>
      <c r="H62" s="59"/>
      <c r="I62" s="59"/>
      <c r="J62" s="59"/>
      <c r="K62" s="59"/>
      <c r="L62" s="59"/>
      <c r="M62" s="59"/>
      <c r="N62" s="59"/>
      <c r="O62" s="59"/>
      <c r="P62" s="59"/>
      <c r="Q62" s="59"/>
      <c r="R62" s="59"/>
      <c r="S62" s="59"/>
      <c r="T62" s="59"/>
      <c r="U62" s="59"/>
      <c r="V62" s="59"/>
      <c r="W62" s="59"/>
      <c r="X62" s="59"/>
      <c r="Y62" s="59"/>
      <c r="Z62" s="59"/>
      <c r="AA62" s="59"/>
      <c r="AB62" s="59"/>
      <c r="AC62" s="59"/>
      <c r="AD62" s="59"/>
      <c r="AE62" s="59"/>
      <c r="AF62" s="59"/>
      <c r="AG62" s="59"/>
      <c r="AH62" s="59"/>
      <c r="AI62" s="59"/>
      <c r="AJ62" s="59"/>
      <c r="AK62" s="59"/>
      <c r="AL62" s="59"/>
      <c r="AM62" s="59"/>
      <c r="AN62" s="59"/>
      <c r="AO62" s="59"/>
      <c r="AP62" s="59"/>
      <c r="AQ62" s="59"/>
      <c r="AR62" s="59"/>
      <c r="AS62" s="59"/>
      <c r="AT62" s="59"/>
      <c r="AU62" s="59"/>
      <c r="AV62" s="59"/>
      <c r="AW62" s="59"/>
      <c r="AX62" s="59"/>
      <c r="AY62" s="59"/>
      <c r="AZ62" s="59"/>
      <c r="BA62" s="59"/>
      <c r="BS62" s="5">
        <f t="shared" si="0"/>
        <v>0</v>
      </c>
      <c r="BT62" s="5" t="str">
        <f t="shared" si="1"/>
        <v>2025V_Vorsorg11</v>
      </c>
      <c r="BU62">
        <v>2025</v>
      </c>
      <c r="BV62" t="s">
        <v>95</v>
      </c>
      <c r="BW62">
        <v>11</v>
      </c>
      <c r="BX62">
        <v>0</v>
      </c>
      <c r="CA62">
        <v>7056</v>
      </c>
      <c r="CB62" t="s">
        <v>243</v>
      </c>
      <c r="CC62">
        <v>1</v>
      </c>
      <c r="CD62" s="5" t="str">
        <f t="shared" ca="1" si="4"/>
        <v>Sheldon</v>
      </c>
      <c r="CE62" s="5" t="str">
        <f t="shared" ca="1" si="5"/>
        <v>Neues Säule 3a Gefäss I</v>
      </c>
      <c r="CF62" s="5" t="str">
        <f t="shared" ca="1" si="6"/>
        <v>Sheldon - Neues Säule 3a Gefäss I - Einzahlung Maximalbetrag</v>
      </c>
      <c r="CG62" s="5"/>
    </row>
    <row r="63" spans="1:85" hidden="1" x14ac:dyDescent="0.25">
      <c r="A63" s="57"/>
      <c r="B63" s="57"/>
      <c r="C63" s="53"/>
      <c r="D63" s="54"/>
      <c r="E63" s="62"/>
      <c r="F63" s="59"/>
      <c r="G63" s="59"/>
      <c r="H63" s="59"/>
      <c r="I63" s="59"/>
      <c r="J63" s="59"/>
      <c r="K63" s="59"/>
      <c r="L63" s="59"/>
      <c r="M63" s="59"/>
      <c r="N63" s="59"/>
      <c r="O63" s="59"/>
      <c r="P63" s="59"/>
      <c r="Q63" s="59"/>
      <c r="R63" s="59"/>
      <c r="S63" s="59"/>
      <c r="T63" s="59"/>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S63" s="5">
        <f t="shared" si="0"/>
        <v>0</v>
      </c>
      <c r="BT63" s="5" t="str">
        <f t="shared" si="1"/>
        <v>2026V_Vorsorg12</v>
      </c>
      <c r="BU63">
        <v>2026</v>
      </c>
      <c r="BV63" t="s">
        <v>95</v>
      </c>
      <c r="BW63">
        <v>12</v>
      </c>
      <c r="CA63">
        <v>7056</v>
      </c>
      <c r="CB63" t="s">
        <v>254</v>
      </c>
      <c r="CC63">
        <v>1</v>
      </c>
      <c r="CD63" s="5" t="str">
        <f t="shared" ca="1" si="4"/>
        <v>Sheldon</v>
      </c>
      <c r="CE63" s="5" t="str">
        <f t="shared" ca="1" si="5"/>
        <v>Neues Säule 3a Gefäss II</v>
      </c>
      <c r="CF63" s="5" t="str">
        <f t="shared" ca="1" si="6"/>
        <v>Sheldon - Neues Säule 3a Gefäss II - Eröffnung neues Säule 3a Gefäss und Einzahlung Maximalbetrag</v>
      </c>
      <c r="CG63" s="5"/>
    </row>
    <row r="64" spans="1:85" hidden="1" x14ac:dyDescent="0.25">
      <c r="A64" s="57"/>
      <c r="B64" s="57"/>
      <c r="C64" s="53"/>
      <c r="D64" s="54"/>
      <c r="E64" s="63"/>
      <c r="F64" s="59"/>
      <c r="G64" s="59"/>
      <c r="H64" s="59"/>
      <c r="I64" s="59"/>
      <c r="J64" s="59"/>
      <c r="K64" s="59"/>
      <c r="L64" s="59"/>
      <c r="M64" s="59"/>
      <c r="N64" s="59"/>
      <c r="O64" s="59"/>
      <c r="P64" s="59"/>
      <c r="Q64" s="59"/>
      <c r="R64" s="59"/>
      <c r="S64" s="59"/>
      <c r="T64" s="59"/>
      <c r="U64" s="59"/>
      <c r="V64" s="59"/>
      <c r="W64" s="59"/>
      <c r="X64" s="59"/>
      <c r="Y64" s="59"/>
      <c r="Z64" s="59"/>
      <c r="AA64" s="59"/>
      <c r="AB64" s="59"/>
      <c r="AC64" s="59"/>
      <c r="AD64" s="59"/>
      <c r="AE64" s="59"/>
      <c r="AF64" s="59"/>
      <c r="AG64" s="59"/>
      <c r="AH64" s="59"/>
      <c r="AI64" s="59"/>
      <c r="AJ64" s="59"/>
      <c r="AK64" s="59"/>
      <c r="AL64" s="59"/>
      <c r="AM64" s="59"/>
      <c r="AN64" s="59"/>
      <c r="AO64" s="59"/>
      <c r="AP64" s="59"/>
      <c r="AQ64" s="59"/>
      <c r="AR64" s="59"/>
      <c r="AS64" s="59"/>
      <c r="AT64" s="59"/>
      <c r="AU64" s="59"/>
      <c r="AV64" s="59"/>
      <c r="AW64" s="59"/>
      <c r="AX64" s="59"/>
      <c r="AY64" s="59"/>
      <c r="AZ64" s="59"/>
      <c r="BA64" s="59"/>
      <c r="BS64" s="5">
        <f t="shared" si="0"/>
        <v>0</v>
      </c>
      <c r="BT64" s="5" t="str">
        <f t="shared" si="1"/>
        <v>2027V_Vorsorg12</v>
      </c>
      <c r="BU64">
        <v>2027</v>
      </c>
      <c r="BV64" t="s">
        <v>95</v>
      </c>
      <c r="BW64">
        <v>12</v>
      </c>
      <c r="CA64">
        <v>7056</v>
      </c>
      <c r="CB64" t="s">
        <v>243</v>
      </c>
      <c r="CC64">
        <v>1</v>
      </c>
      <c r="CD64" s="5" t="str">
        <f t="shared" ca="1" si="4"/>
        <v>Sheldon</v>
      </c>
      <c r="CE64" s="5" t="str">
        <f t="shared" ca="1" si="5"/>
        <v>Neues Säule 3a Gefäss II</v>
      </c>
      <c r="CF64" s="5" t="str">
        <f t="shared" ca="1" si="6"/>
        <v>Sheldon - Neues Säule 3a Gefäss II - Einzahlung Maximalbetrag</v>
      </c>
      <c r="CG64" s="5"/>
    </row>
    <row r="65" spans="1:85" ht="27.6" customHeight="1" x14ac:dyDescent="0.25">
      <c r="A65" s="56" t="s">
        <v>60</v>
      </c>
      <c r="B65" s="57" t="s">
        <v>97</v>
      </c>
      <c r="C65" s="53"/>
      <c r="D65" s="54"/>
      <c r="E65" s="64">
        <f ca="1">SUM(E66:E69)</f>
        <v>1350000</v>
      </c>
      <c r="F65" s="58">
        <f ca="1">SUM(F66:F69)</f>
        <v>1350000</v>
      </c>
      <c r="G65" s="58">
        <f t="shared" ref="G65:BA65" ca="1" si="22">SUM(G66:G69)</f>
        <v>1350000</v>
      </c>
      <c r="H65" s="58">
        <f t="shared" ca="1" si="22"/>
        <v>1350000</v>
      </c>
      <c r="I65" s="58">
        <f t="shared" ca="1" si="22"/>
        <v>1350000</v>
      </c>
      <c r="J65" s="58">
        <f t="shared" ca="1" si="22"/>
        <v>1350000</v>
      </c>
      <c r="K65" s="58">
        <f t="shared" ca="1" si="22"/>
        <v>1350000</v>
      </c>
      <c r="L65" s="58">
        <f t="shared" ca="1" si="22"/>
        <v>1350000</v>
      </c>
      <c r="M65" s="58">
        <f t="shared" ca="1" si="22"/>
        <v>1350000</v>
      </c>
      <c r="N65" s="58">
        <f t="shared" ca="1" si="22"/>
        <v>1350000</v>
      </c>
      <c r="O65" s="58">
        <f t="shared" ca="1" si="22"/>
        <v>1350000</v>
      </c>
      <c r="P65" s="58">
        <f t="shared" ca="1" si="22"/>
        <v>1350000</v>
      </c>
      <c r="Q65" s="58">
        <f t="shared" ca="1" si="22"/>
        <v>1350000</v>
      </c>
      <c r="R65" s="58">
        <f t="shared" ca="1" si="22"/>
        <v>1350000</v>
      </c>
      <c r="S65" s="58">
        <f t="shared" ca="1" si="22"/>
        <v>1350000</v>
      </c>
      <c r="T65" s="58">
        <f t="shared" ca="1" si="22"/>
        <v>1350000</v>
      </c>
      <c r="U65" s="58">
        <f t="shared" ca="1" si="22"/>
        <v>1350000</v>
      </c>
      <c r="V65" s="58">
        <f t="shared" ca="1" si="22"/>
        <v>1350000</v>
      </c>
      <c r="W65" s="58">
        <f t="shared" ca="1" si="22"/>
        <v>1350000</v>
      </c>
      <c r="X65" s="58">
        <f t="shared" ca="1" si="22"/>
        <v>1350000</v>
      </c>
      <c r="Y65" s="58">
        <f t="shared" ca="1" si="22"/>
        <v>1350000</v>
      </c>
      <c r="Z65" s="58">
        <f t="shared" ca="1" si="22"/>
        <v>1350000</v>
      </c>
      <c r="AA65" s="58">
        <f t="shared" ca="1" si="22"/>
        <v>1350000</v>
      </c>
      <c r="AB65" s="58">
        <f t="shared" ca="1" si="22"/>
        <v>1350000</v>
      </c>
      <c r="AC65" s="58">
        <f t="shared" ca="1" si="22"/>
        <v>1350000</v>
      </c>
      <c r="AD65" s="58">
        <f t="shared" ca="1" si="22"/>
        <v>1350000</v>
      </c>
      <c r="AE65" s="58">
        <f t="shared" ca="1" si="22"/>
        <v>1350000</v>
      </c>
      <c r="AF65" s="58">
        <f t="shared" ca="1" si="22"/>
        <v>1350000</v>
      </c>
      <c r="AG65" s="58">
        <f t="shared" ca="1" si="22"/>
        <v>1350000</v>
      </c>
      <c r="AH65" s="58">
        <f t="shared" ca="1" si="22"/>
        <v>1350000</v>
      </c>
      <c r="AI65" s="58">
        <f t="shared" ca="1" si="22"/>
        <v>1350000</v>
      </c>
      <c r="AJ65" s="58">
        <f t="shared" ca="1" si="22"/>
        <v>1350000</v>
      </c>
      <c r="AK65" s="58">
        <f t="shared" ca="1" si="22"/>
        <v>1350000</v>
      </c>
      <c r="AL65" s="58">
        <f t="shared" ca="1" si="22"/>
        <v>1350000</v>
      </c>
      <c r="AM65" s="58">
        <f t="shared" ca="1" si="22"/>
        <v>1350000</v>
      </c>
      <c r="AN65" s="58">
        <f t="shared" ca="1" si="22"/>
        <v>1350000</v>
      </c>
      <c r="AO65" s="58">
        <f t="shared" ca="1" si="22"/>
        <v>1350000</v>
      </c>
      <c r="AP65" s="58">
        <f t="shared" ca="1" si="22"/>
        <v>1350000</v>
      </c>
      <c r="AQ65" s="58">
        <f t="shared" ca="1" si="22"/>
        <v>1350000</v>
      </c>
      <c r="AR65" s="58">
        <f t="shared" ca="1" si="22"/>
        <v>1350000</v>
      </c>
      <c r="AS65" s="58">
        <f t="shared" ca="1" si="22"/>
        <v>1350000</v>
      </c>
      <c r="AT65" s="58">
        <f t="shared" ca="1" si="22"/>
        <v>1350000</v>
      </c>
      <c r="AU65" s="58">
        <f t="shared" ca="1" si="22"/>
        <v>1350000</v>
      </c>
      <c r="AV65" s="58">
        <f t="shared" ca="1" si="22"/>
        <v>1350000</v>
      </c>
      <c r="AW65" s="58">
        <f t="shared" ca="1" si="22"/>
        <v>1350000</v>
      </c>
      <c r="AX65" s="58">
        <f t="shared" ca="1" si="22"/>
        <v>1350000</v>
      </c>
      <c r="AY65" s="58">
        <f t="shared" ca="1" si="22"/>
        <v>1350000</v>
      </c>
      <c r="AZ65" s="58">
        <f t="shared" ca="1" si="22"/>
        <v>1350000</v>
      </c>
      <c r="BA65" s="58">
        <f t="shared" ca="1" si="22"/>
        <v>1350000</v>
      </c>
      <c r="BS65" s="5">
        <f t="shared" si="0"/>
        <v>0</v>
      </c>
      <c r="BT65" s="5" t="str">
        <f t="shared" si="1"/>
        <v>2028V_Vorsorg12</v>
      </c>
      <c r="BU65">
        <v>2028</v>
      </c>
      <c r="BV65" t="s">
        <v>95</v>
      </c>
      <c r="BW65">
        <v>12</v>
      </c>
      <c r="CA65">
        <v>7056</v>
      </c>
      <c r="CB65" t="s">
        <v>243</v>
      </c>
      <c r="CC65">
        <v>1</v>
      </c>
      <c r="CD65" s="5" t="str">
        <f t="shared" ca="1" si="4"/>
        <v>Sheldon</v>
      </c>
      <c r="CE65" s="5" t="str">
        <f t="shared" ca="1" si="5"/>
        <v>Neues Säule 3a Gefäss II</v>
      </c>
      <c r="CF65" s="5" t="str">
        <f t="shared" ca="1" si="6"/>
        <v>Sheldon - Neues Säule 3a Gefäss II - Einzahlung Maximalbetrag</v>
      </c>
      <c r="CG65" s="5"/>
    </row>
    <row r="66" spans="1:85" x14ac:dyDescent="0.25">
      <c r="A66" s="57" t="str" cm="1">
        <f t="array" aca="1" ref="A66:A67" ca="1">INDIRECT($B65&amp;"[Titel]")</f>
        <v>Liegenschaft in New York</v>
      </c>
      <c r="B66" s="57" cm="1">
        <f t="array" aca="1" ref="B66:B67" ca="1">INDIRECT($B65&amp;"[Id]")</f>
        <v>2</v>
      </c>
      <c r="C66" s="53" t="str" cm="1">
        <f t="array" aca="1" ref="C66:C67" ca="1">INDIRECT($B65&amp;"[Zugehörigkeit Bezeichnung]")</f>
        <v>Amy</v>
      </c>
      <c r="D66" s="54" cm="1">
        <f t="array" aca="1" ref="D66:D67" ca="1">INDIRECT($B65&amp;"[Rendite / Zins]")</f>
        <v>0</v>
      </c>
      <c r="E66" s="62" cm="1">
        <f t="array" aca="1" ref="E66:E67" ca="1">INDIRECT($B65&amp;"[Betrag]")</f>
        <v>700000</v>
      </c>
      <c r="F66" s="59" cm="1">
        <f t="array" aca="1" ref="F66:F67" ca="1">_xlfn.SWITCH(IFERROR(VLOOKUP(F$3&amp;$B$65&amp;_xlfn.ANCHORARRAY($B66),$BT:$CA,5,0),0),
0,_xlfn.ANCHORARRAY(E66)*(1+_xlfn.ANCHORARRAY($D66))+SUMIF($BT:$BT,F$3&amp;$B$65&amp;_xlfn.ANCHORARRAY($B66),$CA:$CA),
1,VLOOKUP(F$3&amp;$B$65&amp;_xlfn.ANCHORARRAY($B66),$BT:$CA,6,0),
2,_xlfn.ANCHORARRAY(E66)*(1+_xlfn.ANCHORARRAY($D66))*VLOOKUP(F$3&amp;$B$65&amp;_xlfn.ANCHORARRAY($B66),$BT:$CA,7,0))</f>
        <v>700000</v>
      </c>
      <c r="G66" s="59" cm="1">
        <f t="array" aca="1" ref="G66:G67" ca="1">_xlfn.SWITCH(IFERROR(VLOOKUP(G$3&amp;$B$65&amp;_xlfn.ANCHORARRAY($B66),$BT:$CA,5,0),0),
0,_xlfn.ANCHORARRAY(F66)*(1+_xlfn.ANCHORARRAY($D66))+SUMIF($BT:$BT,G$3&amp;$B$65&amp;_xlfn.ANCHORARRAY($B66),$CA:$CA),
1,VLOOKUP(G$3&amp;$B$65&amp;_xlfn.ANCHORARRAY($B66),$BT:$CA,6,0),
2,_xlfn.ANCHORARRAY(F66)*(1+_xlfn.ANCHORARRAY($D66))*VLOOKUP(G$3&amp;$B$65&amp;_xlfn.ANCHORARRAY($B66),$BT:$CA,7,0))</f>
        <v>700000</v>
      </c>
      <c r="H66" s="59" cm="1">
        <f t="array" aca="1" ref="H66:H67" ca="1">_xlfn.SWITCH(IFERROR(VLOOKUP(H$3&amp;$B$65&amp;_xlfn.ANCHORARRAY($B66),$BT:$CA,5,0),0),
0,_xlfn.ANCHORARRAY(G66)*(1+_xlfn.ANCHORARRAY($D66))+SUMIF($BT:$BT,H$3&amp;$B$65&amp;_xlfn.ANCHORARRAY($B66),$CA:$CA),
1,VLOOKUP(H$3&amp;$B$65&amp;_xlfn.ANCHORARRAY($B66),$BT:$CA,6,0),
2,_xlfn.ANCHORARRAY(G66)*(1+_xlfn.ANCHORARRAY($D66))*VLOOKUP(H$3&amp;$B$65&amp;_xlfn.ANCHORARRAY($B66),$BT:$CA,7,0))</f>
        <v>700000</v>
      </c>
      <c r="I66" s="59" cm="1">
        <f t="array" aca="1" ref="I66:I67" ca="1">_xlfn.SWITCH(IFERROR(VLOOKUP(I$3&amp;$B$65&amp;_xlfn.ANCHORARRAY($B66),$BT:$CA,5,0),0),
0,_xlfn.ANCHORARRAY(H66)*(1+_xlfn.ANCHORARRAY($D66))+SUMIF($BT:$BT,I$3&amp;$B$65&amp;_xlfn.ANCHORARRAY($B66),$CA:$CA),
1,VLOOKUP(I$3&amp;$B$65&amp;_xlfn.ANCHORARRAY($B66),$BT:$CA,6,0),
2,_xlfn.ANCHORARRAY(H66)*(1+_xlfn.ANCHORARRAY($D66))*VLOOKUP(I$3&amp;$B$65&amp;_xlfn.ANCHORARRAY($B66),$BT:$CA,7,0))</f>
        <v>700000</v>
      </c>
      <c r="J66" s="59" cm="1">
        <f t="array" aca="1" ref="J66:J67" ca="1">_xlfn.SWITCH(IFERROR(VLOOKUP(J$3&amp;$B$65&amp;_xlfn.ANCHORARRAY($B66),$BT:$CA,5,0),0),
0,_xlfn.ANCHORARRAY(I66)*(1+_xlfn.ANCHORARRAY($D66))+SUMIF($BT:$BT,J$3&amp;$B$65&amp;_xlfn.ANCHORARRAY($B66),$CA:$CA),
1,VLOOKUP(J$3&amp;$B$65&amp;_xlfn.ANCHORARRAY($B66),$BT:$CA,6,0),
2,_xlfn.ANCHORARRAY(I66)*(1+_xlfn.ANCHORARRAY($D66))*VLOOKUP(J$3&amp;$B$65&amp;_xlfn.ANCHORARRAY($B66),$BT:$CA,7,0))</f>
        <v>700000</v>
      </c>
      <c r="K66" s="59" cm="1">
        <f t="array" aca="1" ref="K66:K67" ca="1">_xlfn.SWITCH(IFERROR(VLOOKUP(K$3&amp;$B$65&amp;_xlfn.ANCHORARRAY($B66),$BT:$CA,5,0),0),
0,_xlfn.ANCHORARRAY(J66)*(1+_xlfn.ANCHORARRAY($D66))+SUMIF($BT:$BT,K$3&amp;$B$65&amp;_xlfn.ANCHORARRAY($B66),$CA:$CA),
1,VLOOKUP(K$3&amp;$B$65&amp;_xlfn.ANCHORARRAY($B66),$BT:$CA,6,0),
2,_xlfn.ANCHORARRAY(J66)*(1+_xlfn.ANCHORARRAY($D66))*VLOOKUP(K$3&amp;$B$65&amp;_xlfn.ANCHORARRAY($B66),$BT:$CA,7,0))</f>
        <v>700000</v>
      </c>
      <c r="L66" s="59" cm="1">
        <f t="array" aca="1" ref="L66:L67" ca="1">_xlfn.SWITCH(IFERROR(VLOOKUP(L$3&amp;$B$65&amp;_xlfn.ANCHORARRAY($B66),$BT:$CA,5,0),0),
0,_xlfn.ANCHORARRAY(K66)*(1+_xlfn.ANCHORARRAY($D66))+SUMIF($BT:$BT,L$3&amp;$B$65&amp;_xlfn.ANCHORARRAY($B66),$CA:$CA),
1,VLOOKUP(L$3&amp;$B$65&amp;_xlfn.ANCHORARRAY($B66),$BT:$CA,6,0),
2,_xlfn.ANCHORARRAY(K66)*(1+_xlfn.ANCHORARRAY($D66))*VLOOKUP(L$3&amp;$B$65&amp;_xlfn.ANCHORARRAY($B66),$BT:$CA,7,0))</f>
        <v>700000</v>
      </c>
      <c r="M66" s="59" cm="1">
        <f t="array" aca="1" ref="M66:M67" ca="1">_xlfn.SWITCH(IFERROR(VLOOKUP(M$3&amp;$B$65&amp;_xlfn.ANCHORARRAY($B66),$BT:$CA,5,0),0),
0,_xlfn.ANCHORARRAY(L66)*(1+_xlfn.ANCHORARRAY($D66))+SUMIF($BT:$BT,M$3&amp;$B$65&amp;_xlfn.ANCHORARRAY($B66),$CA:$CA),
1,VLOOKUP(M$3&amp;$B$65&amp;_xlfn.ANCHORARRAY($B66),$BT:$CA,6,0),
2,_xlfn.ANCHORARRAY(L66)*(1+_xlfn.ANCHORARRAY($D66))*VLOOKUP(M$3&amp;$B$65&amp;_xlfn.ANCHORARRAY($B66),$BT:$CA,7,0))</f>
        <v>700000</v>
      </c>
      <c r="N66" s="59" cm="1">
        <f t="array" aca="1" ref="N66:N67" ca="1">_xlfn.SWITCH(IFERROR(VLOOKUP(N$3&amp;$B$65&amp;_xlfn.ANCHORARRAY($B66),$BT:$CA,5,0),0),
0,_xlfn.ANCHORARRAY(M66)*(1+_xlfn.ANCHORARRAY($D66))+SUMIF($BT:$BT,N$3&amp;$B$65&amp;_xlfn.ANCHORARRAY($B66),$CA:$CA),
1,VLOOKUP(N$3&amp;$B$65&amp;_xlfn.ANCHORARRAY($B66),$BT:$CA,6,0),
2,_xlfn.ANCHORARRAY(M66)*(1+_xlfn.ANCHORARRAY($D66))*VLOOKUP(N$3&amp;$B$65&amp;_xlfn.ANCHORARRAY($B66),$BT:$CA,7,0))</f>
        <v>700000</v>
      </c>
      <c r="O66" s="59" cm="1">
        <f t="array" aca="1" ref="O66:O67" ca="1">_xlfn.SWITCH(IFERROR(VLOOKUP(O$3&amp;$B$65&amp;_xlfn.ANCHORARRAY($B66),$BT:$CA,5,0),0),
0,_xlfn.ANCHORARRAY(N66)*(1+_xlfn.ANCHORARRAY($D66))+SUMIF($BT:$BT,O$3&amp;$B$65&amp;_xlfn.ANCHORARRAY($B66),$CA:$CA),
1,VLOOKUP(O$3&amp;$B$65&amp;_xlfn.ANCHORARRAY($B66),$BT:$CA,6,0),
2,_xlfn.ANCHORARRAY(N66)*(1+_xlfn.ANCHORARRAY($D66))*VLOOKUP(O$3&amp;$B$65&amp;_xlfn.ANCHORARRAY($B66),$BT:$CA,7,0))</f>
        <v>700000</v>
      </c>
      <c r="P66" s="59" cm="1">
        <f t="array" aca="1" ref="P66:P67" ca="1">_xlfn.SWITCH(IFERROR(VLOOKUP(P$3&amp;$B$65&amp;_xlfn.ANCHORARRAY($B66),$BT:$CA,5,0),0),
0,_xlfn.ANCHORARRAY(O66)*(1+_xlfn.ANCHORARRAY($D66))+SUMIF($BT:$BT,P$3&amp;$B$65&amp;_xlfn.ANCHORARRAY($B66),$CA:$CA),
1,VLOOKUP(P$3&amp;$B$65&amp;_xlfn.ANCHORARRAY($B66),$BT:$CA,6,0),
2,_xlfn.ANCHORARRAY(O66)*(1+_xlfn.ANCHORARRAY($D66))*VLOOKUP(P$3&amp;$B$65&amp;_xlfn.ANCHORARRAY($B66),$BT:$CA,7,0))</f>
        <v>700000</v>
      </c>
      <c r="Q66" s="59" cm="1">
        <f t="array" aca="1" ref="Q66:Q67" ca="1">_xlfn.SWITCH(IFERROR(VLOOKUP(Q$3&amp;$B$65&amp;_xlfn.ANCHORARRAY($B66),$BT:$CA,5,0),0),
0,_xlfn.ANCHORARRAY(P66)*(1+_xlfn.ANCHORARRAY($D66))+SUMIF($BT:$BT,Q$3&amp;$B$65&amp;_xlfn.ANCHORARRAY($B66),$CA:$CA),
1,VLOOKUP(Q$3&amp;$B$65&amp;_xlfn.ANCHORARRAY($B66),$BT:$CA,6,0),
2,_xlfn.ANCHORARRAY(P66)*(1+_xlfn.ANCHORARRAY($D66))*VLOOKUP(Q$3&amp;$B$65&amp;_xlfn.ANCHORARRAY($B66),$BT:$CA,7,0))</f>
        <v>700000</v>
      </c>
      <c r="R66" s="59" cm="1">
        <f t="array" aca="1" ref="R66:R67" ca="1">_xlfn.SWITCH(IFERROR(VLOOKUP(R$3&amp;$B$65&amp;_xlfn.ANCHORARRAY($B66),$BT:$CA,5,0),0),
0,_xlfn.ANCHORARRAY(Q66)*(1+_xlfn.ANCHORARRAY($D66))+SUMIF($BT:$BT,R$3&amp;$B$65&amp;_xlfn.ANCHORARRAY($B66),$CA:$CA),
1,VLOOKUP(R$3&amp;$B$65&amp;_xlfn.ANCHORARRAY($B66),$BT:$CA,6,0),
2,_xlfn.ANCHORARRAY(Q66)*(1+_xlfn.ANCHORARRAY($D66))*VLOOKUP(R$3&amp;$B$65&amp;_xlfn.ANCHORARRAY($B66),$BT:$CA,7,0))</f>
        <v>700000</v>
      </c>
      <c r="S66" s="59" cm="1">
        <f t="array" aca="1" ref="S66:S67" ca="1">_xlfn.SWITCH(IFERROR(VLOOKUP(S$3&amp;$B$65&amp;_xlfn.ANCHORARRAY($B66),$BT:$CA,5,0),0),
0,_xlfn.ANCHORARRAY(R66)*(1+_xlfn.ANCHORARRAY($D66))+SUMIF($BT:$BT,S$3&amp;$B$65&amp;_xlfn.ANCHORARRAY($B66),$CA:$CA),
1,VLOOKUP(S$3&amp;$B$65&amp;_xlfn.ANCHORARRAY($B66),$BT:$CA,6,0),
2,_xlfn.ANCHORARRAY(R66)*(1+_xlfn.ANCHORARRAY($D66))*VLOOKUP(S$3&amp;$B$65&amp;_xlfn.ANCHORARRAY($B66),$BT:$CA,7,0))</f>
        <v>700000</v>
      </c>
      <c r="T66" s="59" cm="1">
        <f t="array" aca="1" ref="T66:T67" ca="1">_xlfn.SWITCH(IFERROR(VLOOKUP(T$3&amp;$B$65&amp;_xlfn.ANCHORARRAY($B66),$BT:$CA,5,0),0),
0,_xlfn.ANCHORARRAY(S66)*(1+_xlfn.ANCHORARRAY($D66))+SUMIF($BT:$BT,T$3&amp;$B$65&amp;_xlfn.ANCHORARRAY($B66),$CA:$CA),
1,VLOOKUP(T$3&amp;$B$65&amp;_xlfn.ANCHORARRAY($B66),$BT:$CA,6,0),
2,_xlfn.ANCHORARRAY(S66)*(1+_xlfn.ANCHORARRAY($D66))*VLOOKUP(T$3&amp;$B$65&amp;_xlfn.ANCHORARRAY($B66),$BT:$CA,7,0))</f>
        <v>700000</v>
      </c>
      <c r="U66" s="59" cm="1">
        <f t="array" aca="1" ref="U66:U67" ca="1">_xlfn.SWITCH(IFERROR(VLOOKUP(U$3&amp;$B$65&amp;_xlfn.ANCHORARRAY($B66),$BT:$CA,5,0),0),
0,_xlfn.ANCHORARRAY(T66)*(1+_xlfn.ANCHORARRAY($D66))+SUMIF($BT:$BT,U$3&amp;$B$65&amp;_xlfn.ANCHORARRAY($B66),$CA:$CA),
1,VLOOKUP(U$3&amp;$B$65&amp;_xlfn.ANCHORARRAY($B66),$BT:$CA,6,0),
2,_xlfn.ANCHORARRAY(T66)*(1+_xlfn.ANCHORARRAY($D66))*VLOOKUP(U$3&amp;$B$65&amp;_xlfn.ANCHORARRAY($B66),$BT:$CA,7,0))</f>
        <v>700000</v>
      </c>
      <c r="V66" s="59" cm="1">
        <f t="array" aca="1" ref="V66:V67" ca="1">_xlfn.SWITCH(IFERROR(VLOOKUP(V$3&amp;$B$65&amp;_xlfn.ANCHORARRAY($B66),$BT:$CA,5,0),0),
0,_xlfn.ANCHORARRAY(U66)*(1+_xlfn.ANCHORARRAY($D66))+SUMIF($BT:$BT,V$3&amp;$B$65&amp;_xlfn.ANCHORARRAY($B66),$CA:$CA),
1,VLOOKUP(V$3&amp;$B$65&amp;_xlfn.ANCHORARRAY($B66),$BT:$CA,6,0),
2,_xlfn.ANCHORARRAY(U66)*(1+_xlfn.ANCHORARRAY($D66))*VLOOKUP(V$3&amp;$B$65&amp;_xlfn.ANCHORARRAY($B66),$BT:$CA,7,0))</f>
        <v>700000</v>
      </c>
      <c r="W66" s="59" cm="1">
        <f t="array" aca="1" ref="W66:W67" ca="1">_xlfn.SWITCH(IFERROR(VLOOKUP(W$3&amp;$B$65&amp;_xlfn.ANCHORARRAY($B66),$BT:$CA,5,0),0),
0,_xlfn.ANCHORARRAY(V66)*(1+_xlfn.ANCHORARRAY($D66))+SUMIF($BT:$BT,W$3&amp;$B$65&amp;_xlfn.ANCHORARRAY($B66),$CA:$CA),
1,VLOOKUP(W$3&amp;$B$65&amp;_xlfn.ANCHORARRAY($B66),$BT:$CA,6,0),
2,_xlfn.ANCHORARRAY(V66)*(1+_xlfn.ANCHORARRAY($D66))*VLOOKUP(W$3&amp;$B$65&amp;_xlfn.ANCHORARRAY($B66),$BT:$CA,7,0))</f>
        <v>700000</v>
      </c>
      <c r="X66" s="59" cm="1">
        <f t="array" aca="1" ref="X66:X67" ca="1">_xlfn.SWITCH(IFERROR(VLOOKUP(X$3&amp;$B$65&amp;_xlfn.ANCHORARRAY($B66),$BT:$CA,5,0),0),
0,_xlfn.ANCHORARRAY(W66)*(1+_xlfn.ANCHORARRAY($D66))+SUMIF($BT:$BT,X$3&amp;$B$65&amp;_xlfn.ANCHORARRAY($B66),$CA:$CA),
1,VLOOKUP(X$3&amp;$B$65&amp;_xlfn.ANCHORARRAY($B66),$BT:$CA,6,0),
2,_xlfn.ANCHORARRAY(W66)*(1+_xlfn.ANCHORARRAY($D66))*VLOOKUP(X$3&amp;$B$65&amp;_xlfn.ANCHORARRAY($B66),$BT:$CA,7,0))</f>
        <v>700000</v>
      </c>
      <c r="Y66" s="59" cm="1">
        <f t="array" aca="1" ref="Y66:Y67" ca="1">_xlfn.SWITCH(IFERROR(VLOOKUP(Y$3&amp;$B$65&amp;_xlfn.ANCHORARRAY($B66),$BT:$CA,5,0),0),
0,_xlfn.ANCHORARRAY(X66)*(1+_xlfn.ANCHORARRAY($D66))+SUMIF($BT:$BT,Y$3&amp;$B$65&amp;_xlfn.ANCHORARRAY($B66),$CA:$CA),
1,VLOOKUP(Y$3&amp;$B$65&amp;_xlfn.ANCHORARRAY($B66),$BT:$CA,6,0),
2,_xlfn.ANCHORARRAY(X66)*(1+_xlfn.ANCHORARRAY($D66))*VLOOKUP(Y$3&amp;$B$65&amp;_xlfn.ANCHORARRAY($B66),$BT:$CA,7,0))</f>
        <v>700000</v>
      </c>
      <c r="Z66" s="59" cm="1">
        <f t="array" aca="1" ref="Z66:Z67" ca="1">_xlfn.SWITCH(IFERROR(VLOOKUP(Z$3&amp;$B$65&amp;_xlfn.ANCHORARRAY($B66),$BT:$CA,5,0),0),
0,_xlfn.ANCHORARRAY(Y66)*(1+_xlfn.ANCHORARRAY($D66))+SUMIF($BT:$BT,Z$3&amp;$B$65&amp;_xlfn.ANCHORARRAY($B66),$CA:$CA),
1,VLOOKUP(Z$3&amp;$B$65&amp;_xlfn.ANCHORARRAY($B66),$BT:$CA,6,0),
2,_xlfn.ANCHORARRAY(Y66)*(1+_xlfn.ANCHORARRAY($D66))*VLOOKUP(Z$3&amp;$B$65&amp;_xlfn.ANCHORARRAY($B66),$BT:$CA,7,0))</f>
        <v>700000</v>
      </c>
      <c r="AA66" s="59" cm="1">
        <f t="array" aca="1" ref="AA66:AA67" ca="1">_xlfn.SWITCH(IFERROR(VLOOKUP(AA$3&amp;$B$65&amp;_xlfn.ANCHORARRAY($B66),$BT:$CA,5,0),0),
0,_xlfn.ANCHORARRAY(Z66)*(1+_xlfn.ANCHORARRAY($D66))+SUMIF($BT:$BT,AA$3&amp;$B$65&amp;_xlfn.ANCHORARRAY($B66),$CA:$CA),
1,VLOOKUP(AA$3&amp;$B$65&amp;_xlfn.ANCHORARRAY($B66),$BT:$CA,6,0),
2,_xlfn.ANCHORARRAY(Z66)*(1+_xlfn.ANCHORARRAY($D66))*VLOOKUP(AA$3&amp;$B$65&amp;_xlfn.ANCHORARRAY($B66),$BT:$CA,7,0))</f>
        <v>700000</v>
      </c>
      <c r="AB66" s="59" cm="1">
        <f t="array" aca="1" ref="AB66:AB67" ca="1">_xlfn.SWITCH(IFERROR(VLOOKUP(AB$3&amp;$B$65&amp;_xlfn.ANCHORARRAY($B66),$BT:$CA,5,0),0),
0,_xlfn.ANCHORARRAY(AA66)*(1+_xlfn.ANCHORARRAY($D66))+SUMIF($BT:$BT,AB$3&amp;$B$65&amp;_xlfn.ANCHORARRAY($B66),$CA:$CA),
1,VLOOKUP(AB$3&amp;$B$65&amp;_xlfn.ANCHORARRAY($B66),$BT:$CA,6,0),
2,_xlfn.ANCHORARRAY(AA66)*(1+_xlfn.ANCHORARRAY($D66))*VLOOKUP(AB$3&amp;$B$65&amp;_xlfn.ANCHORARRAY($B66),$BT:$CA,7,0))</f>
        <v>700000</v>
      </c>
      <c r="AC66" s="59" cm="1">
        <f t="array" aca="1" ref="AC66:AC67" ca="1">_xlfn.SWITCH(IFERROR(VLOOKUP(AC$3&amp;$B$65&amp;_xlfn.ANCHORARRAY($B66),$BT:$CA,5,0),0),
0,_xlfn.ANCHORARRAY(AB66)*(1+_xlfn.ANCHORARRAY($D66))+SUMIF($BT:$BT,AC$3&amp;$B$65&amp;_xlfn.ANCHORARRAY($B66),$CA:$CA),
1,VLOOKUP(AC$3&amp;$B$65&amp;_xlfn.ANCHORARRAY($B66),$BT:$CA,6,0),
2,_xlfn.ANCHORARRAY(AB66)*(1+_xlfn.ANCHORARRAY($D66))*VLOOKUP(AC$3&amp;$B$65&amp;_xlfn.ANCHORARRAY($B66),$BT:$CA,7,0))</f>
        <v>700000</v>
      </c>
      <c r="AD66" s="59" cm="1">
        <f t="array" aca="1" ref="AD66:AD67" ca="1">_xlfn.SWITCH(IFERROR(VLOOKUP(AD$3&amp;$B$65&amp;_xlfn.ANCHORARRAY($B66),$BT:$CA,5,0),0),
0,_xlfn.ANCHORARRAY(AC66)*(1+_xlfn.ANCHORARRAY($D66))+SUMIF($BT:$BT,AD$3&amp;$B$65&amp;_xlfn.ANCHORARRAY($B66),$CA:$CA),
1,VLOOKUP(AD$3&amp;$B$65&amp;_xlfn.ANCHORARRAY($B66),$BT:$CA,6,0),
2,_xlfn.ANCHORARRAY(AC66)*(1+_xlfn.ANCHORARRAY($D66))*VLOOKUP(AD$3&amp;$B$65&amp;_xlfn.ANCHORARRAY($B66),$BT:$CA,7,0))</f>
        <v>700000</v>
      </c>
      <c r="AE66" s="59" cm="1">
        <f t="array" aca="1" ref="AE66:AE67" ca="1">_xlfn.SWITCH(IFERROR(VLOOKUP(AE$3&amp;$B$65&amp;_xlfn.ANCHORARRAY($B66),$BT:$CA,5,0),0),
0,_xlfn.ANCHORARRAY(AD66)*(1+_xlfn.ANCHORARRAY($D66))+SUMIF($BT:$BT,AE$3&amp;$B$65&amp;_xlfn.ANCHORARRAY($B66),$CA:$CA),
1,VLOOKUP(AE$3&amp;$B$65&amp;_xlfn.ANCHORARRAY($B66),$BT:$CA,6,0),
2,_xlfn.ANCHORARRAY(AD66)*(1+_xlfn.ANCHORARRAY($D66))*VLOOKUP(AE$3&amp;$B$65&amp;_xlfn.ANCHORARRAY($B66),$BT:$CA,7,0))</f>
        <v>700000</v>
      </c>
      <c r="AF66" s="59" cm="1">
        <f t="array" aca="1" ref="AF66:AF67" ca="1">_xlfn.SWITCH(IFERROR(VLOOKUP(AF$3&amp;$B$65&amp;_xlfn.ANCHORARRAY($B66),$BT:$CA,5,0),0),
0,_xlfn.ANCHORARRAY(AE66)*(1+_xlfn.ANCHORARRAY($D66))+SUMIF($BT:$BT,AF$3&amp;$B$65&amp;_xlfn.ANCHORARRAY($B66),$CA:$CA),
1,VLOOKUP(AF$3&amp;$B$65&amp;_xlfn.ANCHORARRAY($B66),$BT:$CA,6,0),
2,_xlfn.ANCHORARRAY(AE66)*(1+_xlfn.ANCHORARRAY($D66))*VLOOKUP(AF$3&amp;$B$65&amp;_xlfn.ANCHORARRAY($B66),$BT:$CA,7,0))</f>
        <v>700000</v>
      </c>
      <c r="AG66" s="59" cm="1">
        <f t="array" aca="1" ref="AG66:AG67" ca="1">_xlfn.SWITCH(IFERROR(VLOOKUP(AG$3&amp;$B$65&amp;_xlfn.ANCHORARRAY($B66),$BT:$CA,5,0),0),
0,_xlfn.ANCHORARRAY(AF66)*(1+_xlfn.ANCHORARRAY($D66))+SUMIF($BT:$BT,AG$3&amp;$B$65&amp;_xlfn.ANCHORARRAY($B66),$CA:$CA),
1,VLOOKUP(AG$3&amp;$B$65&amp;_xlfn.ANCHORARRAY($B66),$BT:$CA,6,0),
2,_xlfn.ANCHORARRAY(AF66)*(1+_xlfn.ANCHORARRAY($D66))*VLOOKUP(AG$3&amp;$B$65&amp;_xlfn.ANCHORARRAY($B66),$BT:$CA,7,0))</f>
        <v>700000</v>
      </c>
      <c r="AH66" s="59" cm="1">
        <f t="array" aca="1" ref="AH66:AH67" ca="1">_xlfn.SWITCH(IFERROR(VLOOKUP(AH$3&amp;$B$65&amp;_xlfn.ANCHORARRAY($B66),$BT:$CA,5,0),0),
0,_xlfn.ANCHORARRAY(AG66)*(1+_xlfn.ANCHORARRAY($D66))+SUMIF($BT:$BT,AH$3&amp;$B$65&amp;_xlfn.ANCHORARRAY($B66),$CA:$CA),
1,VLOOKUP(AH$3&amp;$B$65&amp;_xlfn.ANCHORARRAY($B66),$BT:$CA,6,0),
2,_xlfn.ANCHORARRAY(AG66)*(1+_xlfn.ANCHORARRAY($D66))*VLOOKUP(AH$3&amp;$B$65&amp;_xlfn.ANCHORARRAY($B66),$BT:$CA,7,0))</f>
        <v>700000</v>
      </c>
      <c r="AI66" s="59" cm="1">
        <f t="array" aca="1" ref="AI66:AI67" ca="1">_xlfn.SWITCH(IFERROR(VLOOKUP(AI$3&amp;$B$65&amp;_xlfn.ANCHORARRAY($B66),$BT:$CA,5,0),0),
0,_xlfn.ANCHORARRAY(AH66)*(1+_xlfn.ANCHORARRAY($D66))+SUMIF($BT:$BT,AI$3&amp;$B$65&amp;_xlfn.ANCHORARRAY($B66),$CA:$CA),
1,VLOOKUP(AI$3&amp;$B$65&amp;_xlfn.ANCHORARRAY($B66),$BT:$CA,6,0),
2,_xlfn.ANCHORARRAY(AH66)*(1+_xlfn.ANCHORARRAY($D66))*VLOOKUP(AI$3&amp;$B$65&amp;_xlfn.ANCHORARRAY($B66),$BT:$CA,7,0))</f>
        <v>700000</v>
      </c>
      <c r="AJ66" s="59" cm="1">
        <f t="array" aca="1" ref="AJ66:AJ67" ca="1">_xlfn.SWITCH(IFERROR(VLOOKUP(AJ$3&amp;$B$65&amp;_xlfn.ANCHORARRAY($B66),$BT:$CA,5,0),0),
0,_xlfn.ANCHORARRAY(AI66)*(1+_xlfn.ANCHORARRAY($D66))+SUMIF($BT:$BT,AJ$3&amp;$B$65&amp;_xlfn.ANCHORARRAY($B66),$CA:$CA),
1,VLOOKUP(AJ$3&amp;$B$65&amp;_xlfn.ANCHORARRAY($B66),$BT:$CA,6,0),
2,_xlfn.ANCHORARRAY(AI66)*(1+_xlfn.ANCHORARRAY($D66))*VLOOKUP(AJ$3&amp;$B$65&amp;_xlfn.ANCHORARRAY($B66),$BT:$CA,7,0))</f>
        <v>700000</v>
      </c>
      <c r="AK66" s="59" cm="1">
        <f t="array" aca="1" ref="AK66:AK67" ca="1">_xlfn.SWITCH(IFERROR(VLOOKUP(AK$3&amp;$B$65&amp;_xlfn.ANCHORARRAY($B66),$BT:$CA,5,0),0),
0,_xlfn.ANCHORARRAY(AJ66)*(1+_xlfn.ANCHORARRAY($D66))+SUMIF($BT:$BT,AK$3&amp;$B$65&amp;_xlfn.ANCHORARRAY($B66),$CA:$CA),
1,VLOOKUP(AK$3&amp;$B$65&amp;_xlfn.ANCHORARRAY($B66),$BT:$CA,6,0),
2,_xlfn.ANCHORARRAY(AJ66)*(1+_xlfn.ANCHORARRAY($D66))*VLOOKUP(AK$3&amp;$B$65&amp;_xlfn.ANCHORARRAY($B66),$BT:$CA,7,0))</f>
        <v>700000</v>
      </c>
      <c r="AL66" s="59" cm="1">
        <f t="array" aca="1" ref="AL66:AL67" ca="1">_xlfn.SWITCH(IFERROR(VLOOKUP(AL$3&amp;$B$65&amp;_xlfn.ANCHORARRAY($B66),$BT:$CA,5,0),0),
0,_xlfn.ANCHORARRAY(AK66)*(1+_xlfn.ANCHORARRAY($D66))+SUMIF($BT:$BT,AL$3&amp;$B$65&amp;_xlfn.ANCHORARRAY($B66),$CA:$CA),
1,VLOOKUP(AL$3&amp;$B$65&amp;_xlfn.ANCHORARRAY($B66),$BT:$CA,6,0),
2,_xlfn.ANCHORARRAY(AK66)*(1+_xlfn.ANCHORARRAY($D66))*VLOOKUP(AL$3&amp;$B$65&amp;_xlfn.ANCHORARRAY($B66),$BT:$CA,7,0))</f>
        <v>700000</v>
      </c>
      <c r="AM66" s="59" cm="1">
        <f t="array" aca="1" ref="AM66:AM67" ca="1">_xlfn.SWITCH(IFERROR(VLOOKUP(AM$3&amp;$B$65&amp;_xlfn.ANCHORARRAY($B66),$BT:$CA,5,0),0),
0,_xlfn.ANCHORARRAY(AL66)*(1+_xlfn.ANCHORARRAY($D66))+SUMIF($BT:$BT,AM$3&amp;$B$65&amp;_xlfn.ANCHORARRAY($B66),$CA:$CA),
1,VLOOKUP(AM$3&amp;$B$65&amp;_xlfn.ANCHORARRAY($B66),$BT:$CA,6,0),
2,_xlfn.ANCHORARRAY(AL66)*(1+_xlfn.ANCHORARRAY($D66))*VLOOKUP(AM$3&amp;$B$65&amp;_xlfn.ANCHORARRAY($B66),$BT:$CA,7,0))</f>
        <v>700000</v>
      </c>
      <c r="AN66" s="59" cm="1">
        <f t="array" aca="1" ref="AN66:AN67" ca="1">_xlfn.SWITCH(IFERROR(VLOOKUP(AN$3&amp;$B$65&amp;_xlfn.ANCHORARRAY($B66),$BT:$CA,5,0),0),
0,_xlfn.ANCHORARRAY(AM66)*(1+_xlfn.ANCHORARRAY($D66))+SUMIF($BT:$BT,AN$3&amp;$B$65&amp;_xlfn.ANCHORARRAY($B66),$CA:$CA),
1,VLOOKUP(AN$3&amp;$B$65&amp;_xlfn.ANCHORARRAY($B66),$BT:$CA,6,0),
2,_xlfn.ANCHORARRAY(AM66)*(1+_xlfn.ANCHORARRAY($D66))*VLOOKUP(AN$3&amp;$B$65&amp;_xlfn.ANCHORARRAY($B66),$BT:$CA,7,0))</f>
        <v>700000</v>
      </c>
      <c r="AO66" s="59" cm="1">
        <f t="array" aca="1" ref="AO66:AO67" ca="1">_xlfn.SWITCH(IFERROR(VLOOKUP(AO$3&amp;$B$65&amp;_xlfn.ANCHORARRAY($B66),$BT:$CA,5,0),0),
0,_xlfn.ANCHORARRAY(AN66)*(1+_xlfn.ANCHORARRAY($D66))+SUMIF($BT:$BT,AO$3&amp;$B$65&amp;_xlfn.ANCHORARRAY($B66),$CA:$CA),
1,VLOOKUP(AO$3&amp;$B$65&amp;_xlfn.ANCHORARRAY($B66),$BT:$CA,6,0),
2,_xlfn.ANCHORARRAY(AN66)*(1+_xlfn.ANCHORARRAY($D66))*VLOOKUP(AO$3&amp;$B$65&amp;_xlfn.ANCHORARRAY($B66),$BT:$CA,7,0))</f>
        <v>700000</v>
      </c>
      <c r="AP66" s="59" cm="1">
        <f t="array" aca="1" ref="AP66:AP67" ca="1">_xlfn.SWITCH(IFERROR(VLOOKUP(AP$3&amp;$B$65&amp;_xlfn.ANCHORARRAY($B66),$BT:$CA,5,0),0),
0,_xlfn.ANCHORARRAY(AO66)*(1+_xlfn.ANCHORARRAY($D66))+SUMIF($BT:$BT,AP$3&amp;$B$65&amp;_xlfn.ANCHORARRAY($B66),$CA:$CA),
1,VLOOKUP(AP$3&amp;$B$65&amp;_xlfn.ANCHORARRAY($B66),$BT:$CA,6,0),
2,_xlfn.ANCHORARRAY(AO66)*(1+_xlfn.ANCHORARRAY($D66))*VLOOKUP(AP$3&amp;$B$65&amp;_xlfn.ANCHORARRAY($B66),$BT:$CA,7,0))</f>
        <v>700000</v>
      </c>
      <c r="AQ66" s="59" cm="1">
        <f t="array" aca="1" ref="AQ66:AQ67" ca="1">_xlfn.SWITCH(IFERROR(VLOOKUP(AQ$3&amp;$B$65&amp;_xlfn.ANCHORARRAY($B66),$BT:$CA,5,0),0),
0,_xlfn.ANCHORARRAY(AP66)*(1+_xlfn.ANCHORARRAY($D66))+SUMIF($BT:$BT,AQ$3&amp;$B$65&amp;_xlfn.ANCHORARRAY($B66),$CA:$CA),
1,VLOOKUP(AQ$3&amp;$B$65&amp;_xlfn.ANCHORARRAY($B66),$BT:$CA,6,0),
2,_xlfn.ANCHORARRAY(AP66)*(1+_xlfn.ANCHORARRAY($D66))*VLOOKUP(AQ$3&amp;$B$65&amp;_xlfn.ANCHORARRAY($B66),$BT:$CA,7,0))</f>
        <v>700000</v>
      </c>
      <c r="AR66" s="59" cm="1">
        <f t="array" aca="1" ref="AR66:AR67" ca="1">_xlfn.SWITCH(IFERROR(VLOOKUP(AR$3&amp;$B$65&amp;_xlfn.ANCHORARRAY($B66),$BT:$CA,5,0),0),
0,_xlfn.ANCHORARRAY(AQ66)*(1+_xlfn.ANCHORARRAY($D66))+SUMIF($BT:$BT,AR$3&amp;$B$65&amp;_xlfn.ANCHORARRAY($B66),$CA:$CA),
1,VLOOKUP(AR$3&amp;$B$65&amp;_xlfn.ANCHORARRAY($B66),$BT:$CA,6,0),
2,_xlfn.ANCHORARRAY(AQ66)*(1+_xlfn.ANCHORARRAY($D66))*VLOOKUP(AR$3&amp;$B$65&amp;_xlfn.ANCHORARRAY($B66),$BT:$CA,7,0))</f>
        <v>700000</v>
      </c>
      <c r="AS66" s="59" cm="1">
        <f t="array" aca="1" ref="AS66:AS67" ca="1">_xlfn.SWITCH(IFERROR(VLOOKUP(AS$3&amp;$B$65&amp;_xlfn.ANCHORARRAY($B66),$BT:$CA,5,0),0),
0,_xlfn.ANCHORARRAY(AR66)*(1+_xlfn.ANCHORARRAY($D66))+SUMIF($BT:$BT,AS$3&amp;$B$65&amp;_xlfn.ANCHORARRAY($B66),$CA:$CA),
1,VLOOKUP(AS$3&amp;$B$65&amp;_xlfn.ANCHORARRAY($B66),$BT:$CA,6,0),
2,_xlfn.ANCHORARRAY(AR66)*(1+_xlfn.ANCHORARRAY($D66))*VLOOKUP(AS$3&amp;$B$65&amp;_xlfn.ANCHORARRAY($B66),$BT:$CA,7,0))</f>
        <v>700000</v>
      </c>
      <c r="AT66" s="59" cm="1">
        <f t="array" aca="1" ref="AT66:AT67" ca="1">_xlfn.SWITCH(IFERROR(VLOOKUP(AT$3&amp;$B$65&amp;_xlfn.ANCHORARRAY($B66),$BT:$CA,5,0),0),
0,_xlfn.ANCHORARRAY(AS66)*(1+_xlfn.ANCHORARRAY($D66))+SUMIF($BT:$BT,AT$3&amp;$B$65&amp;_xlfn.ANCHORARRAY($B66),$CA:$CA),
1,VLOOKUP(AT$3&amp;$B$65&amp;_xlfn.ANCHORARRAY($B66),$BT:$CA,6,0),
2,_xlfn.ANCHORARRAY(AS66)*(1+_xlfn.ANCHORARRAY($D66))*VLOOKUP(AT$3&amp;$B$65&amp;_xlfn.ANCHORARRAY($B66),$BT:$CA,7,0))</f>
        <v>700000</v>
      </c>
      <c r="AU66" s="59" cm="1">
        <f t="array" aca="1" ref="AU66:AU67" ca="1">_xlfn.SWITCH(IFERROR(VLOOKUP(AU$3&amp;$B$65&amp;_xlfn.ANCHORARRAY($B66),$BT:$CA,5,0),0),
0,_xlfn.ANCHORARRAY(AT66)*(1+_xlfn.ANCHORARRAY($D66))+SUMIF($BT:$BT,AU$3&amp;$B$65&amp;_xlfn.ANCHORARRAY($B66),$CA:$CA),
1,VLOOKUP(AU$3&amp;$B$65&amp;_xlfn.ANCHORARRAY($B66),$BT:$CA,6,0),
2,_xlfn.ANCHORARRAY(AT66)*(1+_xlfn.ANCHORARRAY($D66))*VLOOKUP(AU$3&amp;$B$65&amp;_xlfn.ANCHORARRAY($B66),$BT:$CA,7,0))</f>
        <v>700000</v>
      </c>
      <c r="AV66" s="59" cm="1">
        <f t="array" aca="1" ref="AV66:AV67" ca="1">_xlfn.SWITCH(IFERROR(VLOOKUP(AV$3&amp;$B$65&amp;_xlfn.ANCHORARRAY($B66),$BT:$CA,5,0),0),
0,_xlfn.ANCHORARRAY(AU66)*(1+_xlfn.ANCHORARRAY($D66))+SUMIF($BT:$BT,AV$3&amp;$B$65&amp;_xlfn.ANCHORARRAY($B66),$CA:$CA),
1,VLOOKUP(AV$3&amp;$B$65&amp;_xlfn.ANCHORARRAY($B66),$BT:$CA,6,0),
2,_xlfn.ANCHORARRAY(AU66)*(1+_xlfn.ANCHORARRAY($D66))*VLOOKUP(AV$3&amp;$B$65&amp;_xlfn.ANCHORARRAY($B66),$BT:$CA,7,0))</f>
        <v>700000</v>
      </c>
      <c r="AW66" s="59" cm="1">
        <f t="array" aca="1" ref="AW66:AW67" ca="1">_xlfn.SWITCH(IFERROR(VLOOKUP(AW$3&amp;$B$65&amp;_xlfn.ANCHORARRAY($B66),$BT:$CA,5,0),0),
0,_xlfn.ANCHORARRAY(AV66)*(1+_xlfn.ANCHORARRAY($D66))+SUMIF($BT:$BT,AW$3&amp;$B$65&amp;_xlfn.ANCHORARRAY($B66),$CA:$CA),
1,VLOOKUP(AW$3&amp;$B$65&amp;_xlfn.ANCHORARRAY($B66),$BT:$CA,6,0),
2,_xlfn.ANCHORARRAY(AV66)*(1+_xlfn.ANCHORARRAY($D66))*VLOOKUP(AW$3&amp;$B$65&amp;_xlfn.ANCHORARRAY($B66),$BT:$CA,7,0))</f>
        <v>700000</v>
      </c>
      <c r="AX66" s="59" cm="1">
        <f t="array" aca="1" ref="AX66:AX67" ca="1">_xlfn.SWITCH(IFERROR(VLOOKUP(AX$3&amp;$B$65&amp;_xlfn.ANCHORARRAY($B66),$BT:$CA,5,0),0),
0,_xlfn.ANCHORARRAY(AW66)*(1+_xlfn.ANCHORARRAY($D66))+SUMIF($BT:$BT,AX$3&amp;$B$65&amp;_xlfn.ANCHORARRAY($B66),$CA:$CA),
1,VLOOKUP(AX$3&amp;$B$65&amp;_xlfn.ANCHORARRAY($B66),$BT:$CA,6,0),
2,_xlfn.ANCHORARRAY(AW66)*(1+_xlfn.ANCHORARRAY($D66))*VLOOKUP(AX$3&amp;$B$65&amp;_xlfn.ANCHORARRAY($B66),$BT:$CA,7,0))</f>
        <v>700000</v>
      </c>
      <c r="AY66" s="59" cm="1">
        <f t="array" aca="1" ref="AY66:AY67" ca="1">_xlfn.SWITCH(IFERROR(VLOOKUP(AY$3&amp;$B$65&amp;_xlfn.ANCHORARRAY($B66),$BT:$CA,5,0),0),
0,_xlfn.ANCHORARRAY(AX66)*(1+_xlfn.ANCHORARRAY($D66))+SUMIF($BT:$BT,AY$3&amp;$B$65&amp;_xlfn.ANCHORARRAY($B66),$CA:$CA),
1,VLOOKUP(AY$3&amp;$B$65&amp;_xlfn.ANCHORARRAY($B66),$BT:$CA,6,0),
2,_xlfn.ANCHORARRAY(AX66)*(1+_xlfn.ANCHORARRAY($D66))*VLOOKUP(AY$3&amp;$B$65&amp;_xlfn.ANCHORARRAY($B66),$BT:$CA,7,0))</f>
        <v>700000</v>
      </c>
      <c r="AZ66" s="59" cm="1">
        <f t="array" aca="1" ref="AZ66:AZ67" ca="1">_xlfn.SWITCH(IFERROR(VLOOKUP(AZ$3&amp;$B$65&amp;_xlfn.ANCHORARRAY($B66),$BT:$CA,5,0),0),
0,_xlfn.ANCHORARRAY(AY66)*(1+_xlfn.ANCHORARRAY($D66))+SUMIF($BT:$BT,AZ$3&amp;$B$65&amp;_xlfn.ANCHORARRAY($B66),$CA:$CA),
1,VLOOKUP(AZ$3&amp;$B$65&amp;_xlfn.ANCHORARRAY($B66),$BT:$CA,6,0),
2,_xlfn.ANCHORARRAY(AY66)*(1+_xlfn.ANCHORARRAY($D66))*VLOOKUP(AZ$3&amp;$B$65&amp;_xlfn.ANCHORARRAY($B66),$BT:$CA,7,0))</f>
        <v>700000</v>
      </c>
      <c r="BA66" s="59" cm="1">
        <f t="array" aca="1" ref="BA66:BA67" ca="1">_xlfn.SWITCH(IFERROR(VLOOKUP(BA$3&amp;$B$65&amp;_xlfn.ANCHORARRAY($B66),$BT:$CA,5,0),0),
0,_xlfn.ANCHORARRAY(AZ66)*(1+_xlfn.ANCHORARRAY($D66))+SUMIF($BT:$BT,BA$3&amp;$B$65&amp;_xlfn.ANCHORARRAY($B66),$CA:$CA),
1,VLOOKUP(BA$3&amp;$B$65&amp;_xlfn.ANCHORARRAY($B66),$BT:$CA,6,0),
2,_xlfn.ANCHORARRAY(AZ66)*(1+_xlfn.ANCHORARRAY($D66))*VLOOKUP(BA$3&amp;$B$65&amp;_xlfn.ANCHORARRAY($B66),$BT:$CA,7,0))</f>
        <v>700000</v>
      </c>
      <c r="BS66" s="5">
        <f t="shared" ref="BS66:BS79" si="23">COUNTIF(BT:BT,BT66)-1</f>
        <v>0</v>
      </c>
      <c r="BT66" s="5" t="str">
        <f t="shared" ref="BT66:BT81" si="24">BU66&amp;BV66&amp;BW66</f>
        <v>2029V_Vorsorg13</v>
      </c>
      <c r="BU66">
        <v>2029</v>
      </c>
      <c r="BV66" t="s">
        <v>95</v>
      </c>
      <c r="BW66">
        <v>13</v>
      </c>
      <c r="BX66">
        <v>0</v>
      </c>
      <c r="CA66">
        <v>7056</v>
      </c>
      <c r="CB66" t="s">
        <v>254</v>
      </c>
      <c r="CC66">
        <v>1</v>
      </c>
      <c r="CD66" s="5" t="str">
        <f t="shared" ca="1" si="4"/>
        <v>Sheldon</v>
      </c>
      <c r="CE66" s="5" t="str">
        <f t="shared" ca="1" si="5"/>
        <v>Neues Säule 3a Gefäss III</v>
      </c>
      <c r="CF66" s="5" t="str">
        <f t="shared" ca="1" si="6"/>
        <v>Sheldon - Neues Säule 3a Gefäss III - Eröffnung neues Säule 3a Gefäss und Einzahlung Maximalbetrag</v>
      </c>
      <c r="CG66" s="5"/>
    </row>
    <row r="67" spans="1:85" x14ac:dyDescent="0.25">
      <c r="A67" s="57" t="str">
        <f ca="1"/>
        <v>Liegenschaft Pasadena</v>
      </c>
      <c r="B67" s="57">
        <f ca="1"/>
        <v>1</v>
      </c>
      <c r="C67" s="53" t="str">
        <f ca="1"/>
        <v>Sheldon</v>
      </c>
      <c r="D67" s="54">
        <f ca="1"/>
        <v>0</v>
      </c>
      <c r="E67" s="62">
        <f ca="1"/>
        <v>650000</v>
      </c>
      <c r="F67" s="59">
        <f ca="1"/>
        <v>650000</v>
      </c>
      <c r="G67" s="59">
        <f ca="1"/>
        <v>650000</v>
      </c>
      <c r="H67" s="59">
        <f ca="1"/>
        <v>650000</v>
      </c>
      <c r="I67" s="59">
        <f ca="1"/>
        <v>650000</v>
      </c>
      <c r="J67" s="59">
        <f ca="1"/>
        <v>650000</v>
      </c>
      <c r="K67" s="59">
        <f ca="1"/>
        <v>650000</v>
      </c>
      <c r="L67" s="59">
        <f ca="1"/>
        <v>650000</v>
      </c>
      <c r="M67" s="59">
        <f ca="1"/>
        <v>650000</v>
      </c>
      <c r="N67" s="59">
        <f ca="1"/>
        <v>650000</v>
      </c>
      <c r="O67" s="59">
        <f ca="1"/>
        <v>650000</v>
      </c>
      <c r="P67" s="59">
        <f ca="1"/>
        <v>650000</v>
      </c>
      <c r="Q67" s="59">
        <f ca="1"/>
        <v>650000</v>
      </c>
      <c r="R67" s="59">
        <f ca="1"/>
        <v>650000</v>
      </c>
      <c r="S67" s="59">
        <f ca="1"/>
        <v>650000</v>
      </c>
      <c r="T67" s="59">
        <f ca="1"/>
        <v>650000</v>
      </c>
      <c r="U67" s="59">
        <f ca="1"/>
        <v>650000</v>
      </c>
      <c r="V67" s="59">
        <f ca="1"/>
        <v>650000</v>
      </c>
      <c r="W67" s="59">
        <f ca="1"/>
        <v>650000</v>
      </c>
      <c r="X67" s="59">
        <f ca="1"/>
        <v>650000</v>
      </c>
      <c r="Y67" s="59">
        <f ca="1"/>
        <v>650000</v>
      </c>
      <c r="Z67" s="59">
        <f ca="1"/>
        <v>650000</v>
      </c>
      <c r="AA67" s="59">
        <f ca="1"/>
        <v>650000</v>
      </c>
      <c r="AB67" s="59">
        <f ca="1"/>
        <v>650000</v>
      </c>
      <c r="AC67" s="59">
        <f ca="1"/>
        <v>650000</v>
      </c>
      <c r="AD67" s="59">
        <f ca="1"/>
        <v>650000</v>
      </c>
      <c r="AE67" s="59">
        <f ca="1"/>
        <v>650000</v>
      </c>
      <c r="AF67" s="59">
        <f ca="1"/>
        <v>650000</v>
      </c>
      <c r="AG67" s="59">
        <f ca="1"/>
        <v>650000</v>
      </c>
      <c r="AH67" s="59">
        <f ca="1"/>
        <v>650000</v>
      </c>
      <c r="AI67" s="59">
        <f ca="1"/>
        <v>650000</v>
      </c>
      <c r="AJ67" s="59">
        <f ca="1"/>
        <v>650000</v>
      </c>
      <c r="AK67" s="59">
        <f ca="1"/>
        <v>650000</v>
      </c>
      <c r="AL67" s="59">
        <f ca="1"/>
        <v>650000</v>
      </c>
      <c r="AM67" s="59">
        <f ca="1"/>
        <v>650000</v>
      </c>
      <c r="AN67" s="59">
        <f ca="1"/>
        <v>650000</v>
      </c>
      <c r="AO67" s="59">
        <f ca="1"/>
        <v>650000</v>
      </c>
      <c r="AP67" s="59">
        <f ca="1"/>
        <v>650000</v>
      </c>
      <c r="AQ67" s="59">
        <f ca="1"/>
        <v>650000</v>
      </c>
      <c r="AR67" s="59">
        <f ca="1"/>
        <v>650000</v>
      </c>
      <c r="AS67" s="59">
        <f ca="1"/>
        <v>650000</v>
      </c>
      <c r="AT67" s="59">
        <f ca="1"/>
        <v>650000</v>
      </c>
      <c r="AU67" s="59">
        <f ca="1"/>
        <v>650000</v>
      </c>
      <c r="AV67" s="59">
        <f ca="1"/>
        <v>650000</v>
      </c>
      <c r="AW67" s="59">
        <f ca="1"/>
        <v>650000</v>
      </c>
      <c r="AX67" s="59">
        <f ca="1"/>
        <v>650000</v>
      </c>
      <c r="AY67" s="59">
        <f ca="1"/>
        <v>650000</v>
      </c>
      <c r="AZ67" s="59">
        <f ca="1"/>
        <v>650000</v>
      </c>
      <c r="BA67" s="59">
        <f ca="1"/>
        <v>650000</v>
      </c>
      <c r="BS67" s="5">
        <f t="shared" si="23"/>
        <v>0</v>
      </c>
      <c r="BT67" s="5" t="str">
        <f t="shared" si="24"/>
        <v>2030V_Vorsorg13</v>
      </c>
      <c r="BU67">
        <v>2030</v>
      </c>
      <c r="BV67" t="s">
        <v>95</v>
      </c>
      <c r="BW67">
        <v>13</v>
      </c>
      <c r="BX67">
        <v>1</v>
      </c>
      <c r="BY67" s="12">
        <v>0</v>
      </c>
      <c r="CB67" t="s">
        <v>244</v>
      </c>
      <c r="CC67">
        <v>1</v>
      </c>
      <c r="CD67" s="5" t="str">
        <f t="shared" ca="1" si="4"/>
        <v>Sheldon</v>
      </c>
      <c r="CE67" s="5" t="str">
        <f t="shared" ca="1" si="5"/>
        <v>Neues Säule 3a Gefäss III</v>
      </c>
      <c r="CF67" s="5" t="str">
        <f t="shared" ref="CF67:CF130" ca="1" si="25">_xlfn.TEXTJOIN(" - ",TRUE,CD67,CE67,CB67)</f>
        <v>Sheldon - Neues Säule 3a Gefäss III - Bezug</v>
      </c>
      <c r="CG67" s="5"/>
    </row>
    <row r="68" spans="1:85" hidden="1" x14ac:dyDescent="0.25">
      <c r="A68" s="57"/>
      <c r="B68" s="57"/>
      <c r="C68" s="53"/>
      <c r="D68" s="54"/>
      <c r="E68" s="62"/>
      <c r="F68" s="59"/>
      <c r="G68" s="59"/>
      <c r="H68" s="59"/>
      <c r="I68" s="59"/>
      <c r="J68" s="59"/>
      <c r="K68" s="59"/>
      <c r="L68" s="59"/>
      <c r="M68" s="59"/>
      <c r="N68" s="59"/>
      <c r="O68" s="59"/>
      <c r="P68" s="59"/>
      <c r="Q68" s="59"/>
      <c r="R68" s="59"/>
      <c r="S68" s="59"/>
      <c r="T68" s="59"/>
      <c r="U68" s="59"/>
      <c r="V68" s="59"/>
      <c r="W68" s="59"/>
      <c r="X68" s="59"/>
      <c r="Y68" s="59"/>
      <c r="Z68" s="59"/>
      <c r="AA68" s="59"/>
      <c r="AB68" s="59"/>
      <c r="AC68" s="59"/>
      <c r="AD68" s="59"/>
      <c r="AE68" s="59"/>
      <c r="AF68" s="59"/>
      <c r="AG68" s="59"/>
      <c r="AH68" s="59"/>
      <c r="AI68" s="59"/>
      <c r="AJ68" s="59"/>
      <c r="AK68" s="59"/>
      <c r="AL68" s="59"/>
      <c r="AM68" s="59"/>
      <c r="AN68" s="59"/>
      <c r="AO68" s="59"/>
      <c r="AP68" s="59"/>
      <c r="AQ68" s="59"/>
      <c r="AR68" s="59"/>
      <c r="AS68" s="59"/>
      <c r="AT68" s="59"/>
      <c r="AU68" s="59"/>
      <c r="AV68" s="59"/>
      <c r="AW68" s="59"/>
      <c r="AX68" s="59"/>
      <c r="AY68" s="59"/>
      <c r="AZ68" s="59"/>
      <c r="BA68" s="59"/>
      <c r="BS68" s="5">
        <f t="shared" si="23"/>
        <v>0</v>
      </c>
      <c r="BT68" s="5" t="str">
        <f t="shared" si="24"/>
        <v>2030V_Vorsorg12</v>
      </c>
      <c r="BU68">
        <v>2030</v>
      </c>
      <c r="BV68" t="s">
        <v>95</v>
      </c>
      <c r="BW68">
        <v>12</v>
      </c>
      <c r="CA68">
        <v>7056</v>
      </c>
      <c r="CB68" t="s">
        <v>243</v>
      </c>
      <c r="CC68">
        <v>1</v>
      </c>
      <c r="CD68" s="5" t="str">
        <f t="shared" ref="CD68:CD131" ca="1" si="26">INDEX(INDIRECT($BV68&amp;"[Zugehörigkeit Bezeichnung]"),MATCH($BW68,INDIRECT($BV68&amp;"[Id]"),0))</f>
        <v>Sheldon</v>
      </c>
      <c r="CE68" s="5" t="str">
        <f t="shared" ref="CE68:CE131" ca="1" si="27">INDEX(INDIRECT($BV68&amp;"[Titel]"),MATCH($BW68,INDIRECT($BV68&amp;"[Id]"),0))</f>
        <v>Neues Säule 3a Gefäss II</v>
      </c>
      <c r="CF68" s="5" t="str">
        <f t="shared" ca="1" si="25"/>
        <v>Sheldon - Neues Säule 3a Gefäss II - Einzahlung Maximalbetrag</v>
      </c>
      <c r="CG68" s="5"/>
    </row>
    <row r="69" spans="1:85" hidden="1" x14ac:dyDescent="0.25">
      <c r="A69" s="57"/>
      <c r="B69" s="57"/>
      <c r="C69" s="53"/>
      <c r="D69" s="54"/>
      <c r="E69" s="62"/>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c r="AE69" s="59"/>
      <c r="AF69" s="59"/>
      <c r="AG69" s="59"/>
      <c r="AH69" s="59"/>
      <c r="AI69" s="59"/>
      <c r="AJ69" s="59"/>
      <c r="AK69" s="59"/>
      <c r="AL69" s="59"/>
      <c r="AM69" s="59"/>
      <c r="AN69" s="59"/>
      <c r="AO69" s="59"/>
      <c r="AP69" s="59"/>
      <c r="AQ69" s="59"/>
      <c r="AR69" s="59"/>
      <c r="AS69" s="59"/>
      <c r="AT69" s="59"/>
      <c r="AU69" s="59"/>
      <c r="AV69" s="59"/>
      <c r="AW69" s="59"/>
      <c r="AX69" s="59"/>
      <c r="AY69" s="59"/>
      <c r="AZ69" s="59"/>
      <c r="BA69" s="59"/>
      <c r="BS69" s="5">
        <f t="shared" si="23"/>
        <v>0</v>
      </c>
      <c r="BT69" s="5" t="str">
        <f t="shared" si="24"/>
        <v>2025V_Vorsorg4</v>
      </c>
      <c r="BU69">
        <v>2025</v>
      </c>
      <c r="BV69" t="s">
        <v>95</v>
      </c>
      <c r="BW69">
        <v>4</v>
      </c>
      <c r="BX69">
        <v>1</v>
      </c>
      <c r="BY69" s="12">
        <v>0</v>
      </c>
      <c r="CB69" t="s">
        <v>244</v>
      </c>
      <c r="CC69">
        <v>1</v>
      </c>
      <c r="CD69" s="5" t="str">
        <f t="shared" ca="1" si="26"/>
        <v>Sheldon</v>
      </c>
      <c r="CE69" s="5" t="str">
        <f t="shared" ca="1" si="27"/>
        <v>PostFinance Säule 3a Depot II</v>
      </c>
      <c r="CF69" s="5" t="str">
        <f t="shared" ca="1" si="25"/>
        <v>Sheldon - PostFinance Säule 3a Depot II - Bezug</v>
      </c>
      <c r="CG69" s="5"/>
    </row>
    <row r="70" spans="1:85" ht="27.6" customHeight="1" x14ac:dyDescent="0.25">
      <c r="A70" s="56" t="s">
        <v>98</v>
      </c>
      <c r="B70" s="57" t="s">
        <v>99</v>
      </c>
      <c r="C70" s="53"/>
      <c r="D70" s="54"/>
      <c r="E70" s="64">
        <f ca="1">SUM(E71:E81)</f>
        <v>-880000</v>
      </c>
      <c r="F70" s="58">
        <f ca="1">SUM(F71:F81)</f>
        <v>-880000</v>
      </c>
      <c r="G70" s="58">
        <f t="shared" ref="G70:BA70" ca="1" si="28">SUM(G71:G81)</f>
        <v>-880000</v>
      </c>
      <c r="H70" s="58">
        <f t="shared" ca="1" si="28"/>
        <v>-880000</v>
      </c>
      <c r="I70" s="58">
        <f t="shared" ca="1" si="28"/>
        <v>-880000</v>
      </c>
      <c r="J70" s="58">
        <f t="shared" ca="1" si="28"/>
        <v>-880000</v>
      </c>
      <c r="K70" s="58">
        <f t="shared" ca="1" si="28"/>
        <v>-880000</v>
      </c>
      <c r="L70" s="58">
        <f t="shared" ca="1" si="28"/>
        <v>-880000</v>
      </c>
      <c r="M70" s="58">
        <f t="shared" ca="1" si="28"/>
        <v>-880000</v>
      </c>
      <c r="N70" s="58">
        <f t="shared" ca="1" si="28"/>
        <v>-880000</v>
      </c>
      <c r="O70" s="58">
        <f t="shared" ca="1" si="28"/>
        <v>-880000</v>
      </c>
      <c r="P70" s="58">
        <f t="shared" ca="1" si="28"/>
        <v>-880000</v>
      </c>
      <c r="Q70" s="58">
        <f t="shared" ca="1" si="28"/>
        <v>-880000</v>
      </c>
      <c r="R70" s="58">
        <f t="shared" ca="1" si="28"/>
        <v>-880000</v>
      </c>
      <c r="S70" s="58">
        <f t="shared" ca="1" si="28"/>
        <v>-880000</v>
      </c>
      <c r="T70" s="58">
        <f t="shared" ca="1" si="28"/>
        <v>-880000</v>
      </c>
      <c r="U70" s="58">
        <f t="shared" ca="1" si="28"/>
        <v>-880000</v>
      </c>
      <c r="V70" s="58">
        <f t="shared" ca="1" si="28"/>
        <v>-880000</v>
      </c>
      <c r="W70" s="58">
        <f t="shared" ca="1" si="28"/>
        <v>-880000</v>
      </c>
      <c r="X70" s="58">
        <f t="shared" ca="1" si="28"/>
        <v>-880000</v>
      </c>
      <c r="Y70" s="58">
        <f t="shared" ca="1" si="28"/>
        <v>-880000</v>
      </c>
      <c r="Z70" s="58">
        <f t="shared" ca="1" si="28"/>
        <v>-880000</v>
      </c>
      <c r="AA70" s="58">
        <f t="shared" ca="1" si="28"/>
        <v>-880000</v>
      </c>
      <c r="AB70" s="58">
        <f t="shared" ca="1" si="28"/>
        <v>-880000</v>
      </c>
      <c r="AC70" s="58">
        <f t="shared" ca="1" si="28"/>
        <v>-880000</v>
      </c>
      <c r="AD70" s="58">
        <f t="shared" ca="1" si="28"/>
        <v>-880000</v>
      </c>
      <c r="AE70" s="58">
        <f t="shared" ca="1" si="28"/>
        <v>-880000</v>
      </c>
      <c r="AF70" s="58">
        <f t="shared" ca="1" si="28"/>
        <v>-880000</v>
      </c>
      <c r="AG70" s="58">
        <f t="shared" ca="1" si="28"/>
        <v>-880000</v>
      </c>
      <c r="AH70" s="58">
        <f t="shared" ca="1" si="28"/>
        <v>-880000</v>
      </c>
      <c r="AI70" s="58">
        <f t="shared" ca="1" si="28"/>
        <v>-880000</v>
      </c>
      <c r="AJ70" s="58">
        <f t="shared" ca="1" si="28"/>
        <v>-880000</v>
      </c>
      <c r="AK70" s="58">
        <f t="shared" ca="1" si="28"/>
        <v>-880000</v>
      </c>
      <c r="AL70" s="58">
        <f t="shared" ca="1" si="28"/>
        <v>-880000</v>
      </c>
      <c r="AM70" s="58">
        <f t="shared" ca="1" si="28"/>
        <v>-880000</v>
      </c>
      <c r="AN70" s="58">
        <f t="shared" ca="1" si="28"/>
        <v>-880000</v>
      </c>
      <c r="AO70" s="58">
        <f t="shared" ca="1" si="28"/>
        <v>-880000</v>
      </c>
      <c r="AP70" s="58">
        <f t="shared" ca="1" si="28"/>
        <v>-880000</v>
      </c>
      <c r="AQ70" s="58">
        <f t="shared" ca="1" si="28"/>
        <v>-880000</v>
      </c>
      <c r="AR70" s="58">
        <f t="shared" ca="1" si="28"/>
        <v>-880000</v>
      </c>
      <c r="AS70" s="58">
        <f t="shared" ca="1" si="28"/>
        <v>-880000</v>
      </c>
      <c r="AT70" s="58">
        <f t="shared" ca="1" si="28"/>
        <v>-880000</v>
      </c>
      <c r="AU70" s="58">
        <f t="shared" ca="1" si="28"/>
        <v>-880000</v>
      </c>
      <c r="AV70" s="58">
        <f t="shared" ca="1" si="28"/>
        <v>-880000</v>
      </c>
      <c r="AW70" s="58">
        <f t="shared" ca="1" si="28"/>
        <v>-880000</v>
      </c>
      <c r="AX70" s="58">
        <f t="shared" ca="1" si="28"/>
        <v>-880000</v>
      </c>
      <c r="AY70" s="58">
        <f t="shared" ca="1" si="28"/>
        <v>-880000</v>
      </c>
      <c r="AZ70" s="58">
        <f t="shared" ca="1" si="28"/>
        <v>-880000</v>
      </c>
      <c r="BA70" s="58">
        <f t="shared" ca="1" si="28"/>
        <v>-880000</v>
      </c>
      <c r="BS70" s="5">
        <f t="shared" si="23"/>
        <v>0</v>
      </c>
      <c r="BT70" s="5" t="str">
        <f t="shared" si="24"/>
        <v>2026V_Vorsorg3</v>
      </c>
      <c r="BU70">
        <v>2026</v>
      </c>
      <c r="BV70" t="s">
        <v>95</v>
      </c>
      <c r="BW70">
        <v>3</v>
      </c>
      <c r="BX70">
        <v>1</v>
      </c>
      <c r="BY70" s="12">
        <v>0</v>
      </c>
      <c r="CB70" t="s">
        <v>244</v>
      </c>
      <c r="CC70">
        <v>1</v>
      </c>
      <c r="CD70" s="5" t="str">
        <f t="shared" ca="1" si="26"/>
        <v>Sheldon</v>
      </c>
      <c r="CE70" s="5" t="str">
        <f t="shared" ca="1" si="27"/>
        <v>PostFinance Säule 3a Depot I</v>
      </c>
      <c r="CF70" s="5" t="str">
        <f t="shared" ca="1" si="25"/>
        <v>Sheldon - PostFinance Säule 3a Depot I - Bezug</v>
      </c>
      <c r="CG70" s="5"/>
    </row>
    <row r="71" spans="1:85" x14ac:dyDescent="0.25">
      <c r="A71" s="57" t="str" cm="1">
        <f t="array" aca="1" ref="A71:A75" ca="1">INDIRECT($B70&amp;"[Titel]")</f>
        <v>MigrosBank SARON</v>
      </c>
      <c r="B71" s="57" cm="1">
        <f t="array" aca="1" ref="B71:B75" ca="1">INDIRECT($B70&amp;"[Id]")</f>
        <v>1</v>
      </c>
      <c r="C71" s="53" t="str" cm="1">
        <f t="array" aca="1" ref="C71:C75" ca="1">INDIRECT($B70&amp;"[Zugehörigkeit Bezeichnung]")</f>
        <v>Amy</v>
      </c>
      <c r="D71" s="54" cm="1">
        <f t="array" aca="1" ref="D71:D75" ca="1">INDIRECT($B70&amp;"[Rendite / Zins]")</f>
        <v>0.02</v>
      </c>
      <c r="E71" s="62" cm="1">
        <f t="array" aca="1" ref="E71:E75" ca="1">INDIRECT($B70&amp;"[Betrag]")</f>
        <v>-180000</v>
      </c>
      <c r="F71" s="59" cm="1">
        <f t="array" aca="1" ref="F71:F75" ca="1">_xlfn.SWITCH(IFERROR(VLOOKUP(F$3&amp;$B$70&amp;_xlfn.ANCHORARRAY($B71),$BT:$CA,5,0),0),
0,_xlfn.ANCHORARRAY(E71)+SUMIF($BT:$BT,F$3&amp;$B$70&amp;_xlfn.ANCHORARRAY($B71),$CA:$CA),
1,VLOOKUP(F$3&amp;$B$70&amp;_xlfn.ANCHORARRAY($B71),$BT:$CA,6,0),
2,_xlfn.ANCHORARRAY(E71)*VLOOKUP(F$3&amp;$B$70&amp;_xlfn.ANCHORARRAY($B71),$BT:$CA,7,0))</f>
        <v>-180000</v>
      </c>
      <c r="G71" s="59" cm="1">
        <f t="array" aca="1" ref="G71:G75" ca="1">_xlfn.SWITCH(IFERROR(VLOOKUP(G$3&amp;$B$70&amp;_xlfn.ANCHORARRAY($B71),$BT:$CA,5,0),0),
0,_xlfn.ANCHORARRAY(F71)+SUMIF($BT:$BT,G$3&amp;$B$70&amp;_xlfn.ANCHORARRAY($B71),$CA:$CA),
1,VLOOKUP(G$3&amp;$B$70&amp;_xlfn.ANCHORARRAY($B71),$BT:$CA,6,0),
2,_xlfn.ANCHORARRAY(F71)*VLOOKUP(G$3&amp;$B$70&amp;_xlfn.ANCHORARRAY($B71),$BT:$CA,7,0))</f>
        <v>-180000</v>
      </c>
      <c r="H71" s="59" cm="1">
        <f t="array" aca="1" ref="H71:H75" ca="1">_xlfn.SWITCH(IFERROR(VLOOKUP(H$3&amp;$B$70&amp;_xlfn.ANCHORARRAY($B71),$BT:$CA,5,0),0),
0,_xlfn.ANCHORARRAY(G71)+SUMIF($BT:$BT,H$3&amp;$B$70&amp;_xlfn.ANCHORARRAY($B71),$CA:$CA),
1,VLOOKUP(H$3&amp;$B$70&amp;_xlfn.ANCHORARRAY($B71),$BT:$CA,6,0),
2,_xlfn.ANCHORARRAY(G71)*VLOOKUP(H$3&amp;$B$70&amp;_xlfn.ANCHORARRAY($B71),$BT:$CA,7,0))</f>
        <v>-180000</v>
      </c>
      <c r="I71" s="59" cm="1">
        <f t="array" aca="1" ref="I71:I75" ca="1">_xlfn.SWITCH(IFERROR(VLOOKUP(I$3&amp;$B$70&amp;_xlfn.ANCHORARRAY($B71),$BT:$CA,5,0),0),
0,_xlfn.ANCHORARRAY(H71)+SUMIF($BT:$BT,I$3&amp;$B$70&amp;_xlfn.ANCHORARRAY($B71),$CA:$CA),
1,VLOOKUP(I$3&amp;$B$70&amp;_xlfn.ANCHORARRAY($B71),$BT:$CA,6,0),
2,_xlfn.ANCHORARRAY(H71)*VLOOKUP(I$3&amp;$B$70&amp;_xlfn.ANCHORARRAY($B71),$BT:$CA,7,0))</f>
        <v>-180000</v>
      </c>
      <c r="J71" s="59" cm="1">
        <f t="array" aca="1" ref="J71:J75" ca="1">_xlfn.SWITCH(IFERROR(VLOOKUP(J$3&amp;$B$70&amp;_xlfn.ANCHORARRAY($B71),$BT:$CA,5,0),0),
0,_xlfn.ANCHORARRAY(I71)+SUMIF($BT:$BT,J$3&amp;$B$70&amp;_xlfn.ANCHORARRAY($B71),$CA:$CA),
1,VLOOKUP(J$3&amp;$B$70&amp;_xlfn.ANCHORARRAY($B71),$BT:$CA,6,0),
2,_xlfn.ANCHORARRAY(I71)*VLOOKUP(J$3&amp;$B$70&amp;_xlfn.ANCHORARRAY($B71),$BT:$CA,7,0))</f>
        <v>0</v>
      </c>
      <c r="K71" s="59" cm="1">
        <f t="array" aca="1" ref="K71:K75" ca="1">_xlfn.SWITCH(IFERROR(VLOOKUP(K$3&amp;$B$70&amp;_xlfn.ANCHORARRAY($B71),$BT:$CA,5,0),0),
0,_xlfn.ANCHORARRAY(J71)+SUMIF($BT:$BT,K$3&amp;$B$70&amp;_xlfn.ANCHORARRAY($B71),$CA:$CA),
1,VLOOKUP(K$3&amp;$B$70&amp;_xlfn.ANCHORARRAY($B71),$BT:$CA,6,0),
2,_xlfn.ANCHORARRAY(J71)*VLOOKUP(K$3&amp;$B$70&amp;_xlfn.ANCHORARRAY($B71),$BT:$CA,7,0))</f>
        <v>0</v>
      </c>
      <c r="L71" s="59" cm="1">
        <f t="array" aca="1" ref="L71:L75" ca="1">_xlfn.SWITCH(IFERROR(VLOOKUP(L$3&amp;$B$70&amp;_xlfn.ANCHORARRAY($B71),$BT:$CA,5,0),0),
0,_xlfn.ANCHORARRAY(K71)+SUMIF($BT:$BT,L$3&amp;$B$70&amp;_xlfn.ANCHORARRAY($B71),$CA:$CA),
1,VLOOKUP(L$3&amp;$B$70&amp;_xlfn.ANCHORARRAY($B71),$BT:$CA,6,0),
2,_xlfn.ANCHORARRAY(K71)*VLOOKUP(L$3&amp;$B$70&amp;_xlfn.ANCHORARRAY($B71),$BT:$CA,7,0))</f>
        <v>0</v>
      </c>
      <c r="M71" s="59" cm="1">
        <f t="array" aca="1" ref="M71:M75" ca="1">_xlfn.SWITCH(IFERROR(VLOOKUP(M$3&amp;$B$70&amp;_xlfn.ANCHORARRAY($B71),$BT:$CA,5,0),0),
0,_xlfn.ANCHORARRAY(L71)+SUMIF($BT:$BT,M$3&amp;$B$70&amp;_xlfn.ANCHORARRAY($B71),$CA:$CA),
1,VLOOKUP(M$3&amp;$B$70&amp;_xlfn.ANCHORARRAY($B71),$BT:$CA,6,0),
2,_xlfn.ANCHORARRAY(L71)*VLOOKUP(M$3&amp;$B$70&amp;_xlfn.ANCHORARRAY($B71),$BT:$CA,7,0))</f>
        <v>0</v>
      </c>
      <c r="N71" s="59" cm="1">
        <f t="array" aca="1" ref="N71:N75" ca="1">_xlfn.SWITCH(IFERROR(VLOOKUP(N$3&amp;$B$70&amp;_xlfn.ANCHORARRAY($B71),$BT:$CA,5,0),0),
0,_xlfn.ANCHORARRAY(M71)+SUMIF($BT:$BT,N$3&amp;$B$70&amp;_xlfn.ANCHORARRAY($B71),$CA:$CA),
1,VLOOKUP(N$3&amp;$B$70&amp;_xlfn.ANCHORARRAY($B71),$BT:$CA,6,0),
2,_xlfn.ANCHORARRAY(M71)*VLOOKUP(N$3&amp;$B$70&amp;_xlfn.ANCHORARRAY($B71),$BT:$CA,7,0))</f>
        <v>0</v>
      </c>
      <c r="O71" s="59" cm="1">
        <f t="array" aca="1" ref="O71:O75" ca="1">_xlfn.SWITCH(IFERROR(VLOOKUP(O$3&amp;$B$70&amp;_xlfn.ANCHORARRAY($B71),$BT:$CA,5,0),0),
0,_xlfn.ANCHORARRAY(N71)+SUMIF($BT:$BT,O$3&amp;$B$70&amp;_xlfn.ANCHORARRAY($B71),$CA:$CA),
1,VLOOKUP(O$3&amp;$B$70&amp;_xlfn.ANCHORARRAY($B71),$BT:$CA,6,0),
2,_xlfn.ANCHORARRAY(N71)*VLOOKUP(O$3&amp;$B$70&amp;_xlfn.ANCHORARRAY($B71),$BT:$CA,7,0))</f>
        <v>0</v>
      </c>
      <c r="P71" s="59" cm="1">
        <f t="array" aca="1" ref="P71:P75" ca="1">_xlfn.SWITCH(IFERROR(VLOOKUP(P$3&amp;$B$70&amp;_xlfn.ANCHORARRAY($B71),$BT:$CA,5,0),0),
0,_xlfn.ANCHORARRAY(O71)+SUMIF($BT:$BT,P$3&amp;$B$70&amp;_xlfn.ANCHORARRAY($B71),$CA:$CA),
1,VLOOKUP(P$3&amp;$B$70&amp;_xlfn.ANCHORARRAY($B71),$BT:$CA,6,0),
2,_xlfn.ANCHORARRAY(O71)*VLOOKUP(P$3&amp;$B$70&amp;_xlfn.ANCHORARRAY($B71),$BT:$CA,7,0))</f>
        <v>0</v>
      </c>
      <c r="Q71" s="59" cm="1">
        <f t="array" aca="1" ref="Q71:Q75" ca="1">_xlfn.SWITCH(IFERROR(VLOOKUP(Q$3&amp;$B$70&amp;_xlfn.ANCHORARRAY($B71),$BT:$CA,5,0),0),
0,_xlfn.ANCHORARRAY(P71)+SUMIF($BT:$BT,Q$3&amp;$B$70&amp;_xlfn.ANCHORARRAY($B71),$CA:$CA),
1,VLOOKUP(Q$3&amp;$B$70&amp;_xlfn.ANCHORARRAY($B71),$BT:$CA,6,0),
2,_xlfn.ANCHORARRAY(P71)*VLOOKUP(Q$3&amp;$B$70&amp;_xlfn.ANCHORARRAY($B71),$BT:$CA,7,0))</f>
        <v>0</v>
      </c>
      <c r="R71" s="59" cm="1">
        <f t="array" aca="1" ref="R71:R75" ca="1">_xlfn.SWITCH(IFERROR(VLOOKUP(R$3&amp;$B$70&amp;_xlfn.ANCHORARRAY($B71),$BT:$CA,5,0),0),
0,_xlfn.ANCHORARRAY(Q71)+SUMIF($BT:$BT,R$3&amp;$B$70&amp;_xlfn.ANCHORARRAY($B71),$CA:$CA),
1,VLOOKUP(R$3&amp;$B$70&amp;_xlfn.ANCHORARRAY($B71),$BT:$CA,6,0),
2,_xlfn.ANCHORARRAY(Q71)*VLOOKUP(R$3&amp;$B$70&amp;_xlfn.ANCHORARRAY($B71),$BT:$CA,7,0))</f>
        <v>0</v>
      </c>
      <c r="S71" s="59" cm="1">
        <f t="array" aca="1" ref="S71:S75" ca="1">_xlfn.SWITCH(IFERROR(VLOOKUP(S$3&amp;$B$70&amp;_xlfn.ANCHORARRAY($B71),$BT:$CA,5,0),0),
0,_xlfn.ANCHORARRAY(R71)+SUMIF($BT:$BT,S$3&amp;$B$70&amp;_xlfn.ANCHORARRAY($B71),$CA:$CA),
1,VLOOKUP(S$3&amp;$B$70&amp;_xlfn.ANCHORARRAY($B71),$BT:$CA,6,0),
2,_xlfn.ANCHORARRAY(R71)*VLOOKUP(S$3&amp;$B$70&amp;_xlfn.ANCHORARRAY($B71),$BT:$CA,7,0))</f>
        <v>0</v>
      </c>
      <c r="T71" s="59" cm="1">
        <f t="array" aca="1" ref="T71:T75" ca="1">_xlfn.SWITCH(IFERROR(VLOOKUP(T$3&amp;$B$70&amp;_xlfn.ANCHORARRAY($B71),$BT:$CA,5,0),0),
0,_xlfn.ANCHORARRAY(S71)+SUMIF($BT:$BT,T$3&amp;$B$70&amp;_xlfn.ANCHORARRAY($B71),$CA:$CA),
1,VLOOKUP(T$3&amp;$B$70&amp;_xlfn.ANCHORARRAY($B71),$BT:$CA,6,0),
2,_xlfn.ANCHORARRAY(S71)*VLOOKUP(T$3&amp;$B$70&amp;_xlfn.ANCHORARRAY($B71),$BT:$CA,7,0))</f>
        <v>0</v>
      </c>
      <c r="U71" s="59" cm="1">
        <f t="array" aca="1" ref="U71:U75" ca="1">_xlfn.SWITCH(IFERROR(VLOOKUP(U$3&amp;$B$70&amp;_xlfn.ANCHORARRAY($B71),$BT:$CA,5,0),0),
0,_xlfn.ANCHORARRAY(T71)+SUMIF($BT:$BT,U$3&amp;$B$70&amp;_xlfn.ANCHORARRAY($B71),$CA:$CA),
1,VLOOKUP(U$3&amp;$B$70&amp;_xlfn.ANCHORARRAY($B71),$BT:$CA,6,0),
2,_xlfn.ANCHORARRAY(T71)*VLOOKUP(U$3&amp;$B$70&amp;_xlfn.ANCHORARRAY($B71),$BT:$CA,7,0))</f>
        <v>0</v>
      </c>
      <c r="V71" s="59" cm="1">
        <f t="array" aca="1" ref="V71:V75" ca="1">_xlfn.SWITCH(IFERROR(VLOOKUP(V$3&amp;$B$70&amp;_xlfn.ANCHORARRAY($B71),$BT:$CA,5,0),0),
0,_xlfn.ANCHORARRAY(U71)+SUMIF($BT:$BT,V$3&amp;$B$70&amp;_xlfn.ANCHORARRAY($B71),$CA:$CA),
1,VLOOKUP(V$3&amp;$B$70&amp;_xlfn.ANCHORARRAY($B71),$BT:$CA,6,0),
2,_xlfn.ANCHORARRAY(U71)*VLOOKUP(V$3&amp;$B$70&amp;_xlfn.ANCHORARRAY($B71),$BT:$CA,7,0))</f>
        <v>0</v>
      </c>
      <c r="W71" s="59" cm="1">
        <f t="array" aca="1" ref="W71:W75" ca="1">_xlfn.SWITCH(IFERROR(VLOOKUP(W$3&amp;$B$70&amp;_xlfn.ANCHORARRAY($B71),$BT:$CA,5,0),0),
0,_xlfn.ANCHORARRAY(V71)+SUMIF($BT:$BT,W$3&amp;$B$70&amp;_xlfn.ANCHORARRAY($B71),$CA:$CA),
1,VLOOKUP(W$3&amp;$B$70&amp;_xlfn.ANCHORARRAY($B71),$BT:$CA,6,0),
2,_xlfn.ANCHORARRAY(V71)*VLOOKUP(W$3&amp;$B$70&amp;_xlfn.ANCHORARRAY($B71),$BT:$CA,7,0))</f>
        <v>0</v>
      </c>
      <c r="X71" s="59" cm="1">
        <f t="array" aca="1" ref="X71:X75" ca="1">_xlfn.SWITCH(IFERROR(VLOOKUP(X$3&amp;$B$70&amp;_xlfn.ANCHORARRAY($B71),$BT:$CA,5,0),0),
0,_xlfn.ANCHORARRAY(W71)+SUMIF($BT:$BT,X$3&amp;$B$70&amp;_xlfn.ANCHORARRAY($B71),$CA:$CA),
1,VLOOKUP(X$3&amp;$B$70&amp;_xlfn.ANCHORARRAY($B71),$BT:$CA,6,0),
2,_xlfn.ANCHORARRAY(W71)*VLOOKUP(X$3&amp;$B$70&amp;_xlfn.ANCHORARRAY($B71),$BT:$CA,7,0))</f>
        <v>0</v>
      </c>
      <c r="Y71" s="59" cm="1">
        <f t="array" aca="1" ref="Y71:Y75" ca="1">_xlfn.SWITCH(IFERROR(VLOOKUP(Y$3&amp;$B$70&amp;_xlfn.ANCHORARRAY($B71),$BT:$CA,5,0),0),
0,_xlfn.ANCHORARRAY(X71)+SUMIF($BT:$BT,Y$3&amp;$B$70&amp;_xlfn.ANCHORARRAY($B71),$CA:$CA),
1,VLOOKUP(Y$3&amp;$B$70&amp;_xlfn.ANCHORARRAY($B71),$BT:$CA,6,0),
2,_xlfn.ANCHORARRAY(X71)*VLOOKUP(Y$3&amp;$B$70&amp;_xlfn.ANCHORARRAY($B71),$BT:$CA,7,0))</f>
        <v>0</v>
      </c>
      <c r="Z71" s="59" cm="1">
        <f t="array" aca="1" ref="Z71:Z75" ca="1">_xlfn.SWITCH(IFERROR(VLOOKUP(Z$3&amp;$B$70&amp;_xlfn.ANCHORARRAY($B71),$BT:$CA,5,0),0),
0,_xlfn.ANCHORARRAY(Y71)+SUMIF($BT:$BT,Z$3&amp;$B$70&amp;_xlfn.ANCHORARRAY($B71),$CA:$CA),
1,VLOOKUP(Z$3&amp;$B$70&amp;_xlfn.ANCHORARRAY($B71),$BT:$CA,6,0),
2,_xlfn.ANCHORARRAY(Y71)*VLOOKUP(Z$3&amp;$B$70&amp;_xlfn.ANCHORARRAY($B71),$BT:$CA,7,0))</f>
        <v>0</v>
      </c>
      <c r="AA71" s="59" cm="1">
        <f t="array" aca="1" ref="AA71:AA75" ca="1">_xlfn.SWITCH(IFERROR(VLOOKUP(AA$3&amp;$B$70&amp;_xlfn.ANCHORARRAY($B71),$BT:$CA,5,0),0),
0,_xlfn.ANCHORARRAY(Z71)+SUMIF($BT:$BT,AA$3&amp;$B$70&amp;_xlfn.ANCHORARRAY($B71),$CA:$CA),
1,VLOOKUP(AA$3&amp;$B$70&amp;_xlfn.ANCHORARRAY($B71),$BT:$CA,6,0),
2,_xlfn.ANCHORARRAY(Z71)*VLOOKUP(AA$3&amp;$B$70&amp;_xlfn.ANCHORARRAY($B71),$BT:$CA,7,0))</f>
        <v>0</v>
      </c>
      <c r="AB71" s="59" cm="1">
        <f t="array" aca="1" ref="AB71:AB75" ca="1">_xlfn.SWITCH(IFERROR(VLOOKUP(AB$3&amp;$B$70&amp;_xlfn.ANCHORARRAY($B71),$BT:$CA,5,0),0),
0,_xlfn.ANCHORARRAY(AA71)+SUMIF($BT:$BT,AB$3&amp;$B$70&amp;_xlfn.ANCHORARRAY($B71),$CA:$CA),
1,VLOOKUP(AB$3&amp;$B$70&amp;_xlfn.ANCHORARRAY($B71),$BT:$CA,6,0),
2,_xlfn.ANCHORARRAY(AA71)*VLOOKUP(AB$3&amp;$B$70&amp;_xlfn.ANCHORARRAY($B71),$BT:$CA,7,0))</f>
        <v>0</v>
      </c>
      <c r="AC71" s="59" cm="1">
        <f t="array" aca="1" ref="AC71:AC75" ca="1">_xlfn.SWITCH(IFERROR(VLOOKUP(AC$3&amp;$B$70&amp;_xlfn.ANCHORARRAY($B71),$BT:$CA,5,0),0),
0,_xlfn.ANCHORARRAY(AB71)+SUMIF($BT:$BT,AC$3&amp;$B$70&amp;_xlfn.ANCHORARRAY($B71),$CA:$CA),
1,VLOOKUP(AC$3&amp;$B$70&amp;_xlfn.ANCHORARRAY($B71),$BT:$CA,6,0),
2,_xlfn.ANCHORARRAY(AB71)*VLOOKUP(AC$3&amp;$B$70&amp;_xlfn.ANCHORARRAY($B71),$BT:$CA,7,0))</f>
        <v>0</v>
      </c>
      <c r="AD71" s="59" cm="1">
        <f t="array" aca="1" ref="AD71:AD75" ca="1">_xlfn.SWITCH(IFERROR(VLOOKUP(AD$3&amp;$B$70&amp;_xlfn.ANCHORARRAY($B71),$BT:$CA,5,0),0),
0,_xlfn.ANCHORARRAY(AC71)+SUMIF($BT:$BT,AD$3&amp;$B$70&amp;_xlfn.ANCHORARRAY($B71),$CA:$CA),
1,VLOOKUP(AD$3&amp;$B$70&amp;_xlfn.ANCHORARRAY($B71),$BT:$CA,6,0),
2,_xlfn.ANCHORARRAY(AC71)*VLOOKUP(AD$3&amp;$B$70&amp;_xlfn.ANCHORARRAY($B71),$BT:$CA,7,0))</f>
        <v>0</v>
      </c>
      <c r="AE71" s="59" cm="1">
        <f t="array" aca="1" ref="AE71:AE75" ca="1">_xlfn.SWITCH(IFERROR(VLOOKUP(AE$3&amp;$B$70&amp;_xlfn.ANCHORARRAY($B71),$BT:$CA,5,0),0),
0,_xlfn.ANCHORARRAY(AD71)+SUMIF($BT:$BT,AE$3&amp;$B$70&amp;_xlfn.ANCHORARRAY($B71),$CA:$CA),
1,VLOOKUP(AE$3&amp;$B$70&amp;_xlfn.ANCHORARRAY($B71),$BT:$CA,6,0),
2,_xlfn.ANCHORARRAY(AD71)*VLOOKUP(AE$3&amp;$B$70&amp;_xlfn.ANCHORARRAY($B71),$BT:$CA,7,0))</f>
        <v>0</v>
      </c>
      <c r="AF71" s="59" cm="1">
        <f t="array" aca="1" ref="AF71:AF75" ca="1">_xlfn.SWITCH(IFERROR(VLOOKUP(AF$3&amp;$B$70&amp;_xlfn.ANCHORARRAY($B71),$BT:$CA,5,0),0),
0,_xlfn.ANCHORARRAY(AE71)+SUMIF($BT:$BT,AF$3&amp;$B$70&amp;_xlfn.ANCHORARRAY($B71),$CA:$CA),
1,VLOOKUP(AF$3&amp;$B$70&amp;_xlfn.ANCHORARRAY($B71),$BT:$CA,6,0),
2,_xlfn.ANCHORARRAY(AE71)*VLOOKUP(AF$3&amp;$B$70&amp;_xlfn.ANCHORARRAY($B71),$BT:$CA,7,0))</f>
        <v>0</v>
      </c>
      <c r="AG71" s="59" cm="1">
        <f t="array" aca="1" ref="AG71:AG75" ca="1">_xlfn.SWITCH(IFERROR(VLOOKUP(AG$3&amp;$B$70&amp;_xlfn.ANCHORARRAY($B71),$BT:$CA,5,0),0),
0,_xlfn.ANCHORARRAY(AF71)+SUMIF($BT:$BT,AG$3&amp;$B$70&amp;_xlfn.ANCHORARRAY($B71),$CA:$CA),
1,VLOOKUP(AG$3&amp;$B$70&amp;_xlfn.ANCHORARRAY($B71),$BT:$CA,6,0),
2,_xlfn.ANCHORARRAY(AF71)*VLOOKUP(AG$3&amp;$B$70&amp;_xlfn.ANCHORARRAY($B71),$BT:$CA,7,0))</f>
        <v>0</v>
      </c>
      <c r="AH71" s="59" cm="1">
        <f t="array" aca="1" ref="AH71:AH75" ca="1">_xlfn.SWITCH(IFERROR(VLOOKUP(AH$3&amp;$B$70&amp;_xlfn.ANCHORARRAY($B71),$BT:$CA,5,0),0),
0,_xlfn.ANCHORARRAY(AG71)+SUMIF($BT:$BT,AH$3&amp;$B$70&amp;_xlfn.ANCHORARRAY($B71),$CA:$CA),
1,VLOOKUP(AH$3&amp;$B$70&amp;_xlfn.ANCHORARRAY($B71),$BT:$CA,6,0),
2,_xlfn.ANCHORARRAY(AG71)*VLOOKUP(AH$3&amp;$B$70&amp;_xlfn.ANCHORARRAY($B71),$BT:$CA,7,0))</f>
        <v>0</v>
      </c>
      <c r="AI71" s="59" cm="1">
        <f t="array" aca="1" ref="AI71:AI75" ca="1">_xlfn.SWITCH(IFERROR(VLOOKUP(AI$3&amp;$B$70&amp;_xlfn.ANCHORARRAY($B71),$BT:$CA,5,0),0),
0,_xlfn.ANCHORARRAY(AH71)+SUMIF($BT:$BT,AI$3&amp;$B$70&amp;_xlfn.ANCHORARRAY($B71),$CA:$CA),
1,VLOOKUP(AI$3&amp;$B$70&amp;_xlfn.ANCHORARRAY($B71),$BT:$CA,6,0),
2,_xlfn.ANCHORARRAY(AH71)*VLOOKUP(AI$3&amp;$B$70&amp;_xlfn.ANCHORARRAY($B71),$BT:$CA,7,0))</f>
        <v>0</v>
      </c>
      <c r="AJ71" s="59" cm="1">
        <f t="array" aca="1" ref="AJ71:AJ75" ca="1">_xlfn.SWITCH(IFERROR(VLOOKUP(AJ$3&amp;$B$70&amp;_xlfn.ANCHORARRAY($B71),$BT:$CA,5,0),0),
0,_xlfn.ANCHORARRAY(AI71)+SUMIF($BT:$BT,AJ$3&amp;$B$70&amp;_xlfn.ANCHORARRAY($B71),$CA:$CA),
1,VLOOKUP(AJ$3&amp;$B$70&amp;_xlfn.ANCHORARRAY($B71),$BT:$CA,6,0),
2,_xlfn.ANCHORARRAY(AI71)*VLOOKUP(AJ$3&amp;$B$70&amp;_xlfn.ANCHORARRAY($B71),$BT:$CA,7,0))</f>
        <v>0</v>
      </c>
      <c r="AK71" s="59" cm="1">
        <f t="array" aca="1" ref="AK71:AK75" ca="1">_xlfn.SWITCH(IFERROR(VLOOKUP(AK$3&amp;$B$70&amp;_xlfn.ANCHORARRAY($B71),$BT:$CA,5,0),0),
0,_xlfn.ANCHORARRAY(AJ71)+SUMIF($BT:$BT,AK$3&amp;$B$70&amp;_xlfn.ANCHORARRAY($B71),$CA:$CA),
1,VLOOKUP(AK$3&amp;$B$70&amp;_xlfn.ANCHORARRAY($B71),$BT:$CA,6,0),
2,_xlfn.ANCHORARRAY(AJ71)*VLOOKUP(AK$3&amp;$B$70&amp;_xlfn.ANCHORARRAY($B71),$BT:$CA,7,0))</f>
        <v>0</v>
      </c>
      <c r="AL71" s="59" cm="1">
        <f t="array" aca="1" ref="AL71:AL75" ca="1">_xlfn.SWITCH(IFERROR(VLOOKUP(AL$3&amp;$B$70&amp;_xlfn.ANCHORARRAY($B71),$BT:$CA,5,0),0),
0,_xlfn.ANCHORARRAY(AK71)+SUMIF($BT:$BT,AL$3&amp;$B$70&amp;_xlfn.ANCHORARRAY($B71),$CA:$CA),
1,VLOOKUP(AL$3&amp;$B$70&amp;_xlfn.ANCHORARRAY($B71),$BT:$CA,6,0),
2,_xlfn.ANCHORARRAY(AK71)*VLOOKUP(AL$3&amp;$B$70&amp;_xlfn.ANCHORARRAY($B71),$BT:$CA,7,0))</f>
        <v>0</v>
      </c>
      <c r="AM71" s="59" cm="1">
        <f t="array" aca="1" ref="AM71:AM75" ca="1">_xlfn.SWITCH(IFERROR(VLOOKUP(AM$3&amp;$B$70&amp;_xlfn.ANCHORARRAY($B71),$BT:$CA,5,0),0),
0,_xlfn.ANCHORARRAY(AL71)+SUMIF($BT:$BT,AM$3&amp;$B$70&amp;_xlfn.ANCHORARRAY($B71),$CA:$CA),
1,VLOOKUP(AM$3&amp;$B$70&amp;_xlfn.ANCHORARRAY($B71),$BT:$CA,6,0),
2,_xlfn.ANCHORARRAY(AL71)*VLOOKUP(AM$3&amp;$B$70&amp;_xlfn.ANCHORARRAY($B71),$BT:$CA,7,0))</f>
        <v>0</v>
      </c>
      <c r="AN71" s="59" cm="1">
        <f t="array" aca="1" ref="AN71:AN75" ca="1">_xlfn.SWITCH(IFERROR(VLOOKUP(AN$3&amp;$B$70&amp;_xlfn.ANCHORARRAY($B71),$BT:$CA,5,0),0),
0,_xlfn.ANCHORARRAY(AM71)+SUMIF($BT:$BT,AN$3&amp;$B$70&amp;_xlfn.ANCHORARRAY($B71),$CA:$CA),
1,VLOOKUP(AN$3&amp;$B$70&amp;_xlfn.ANCHORARRAY($B71),$BT:$CA,6,0),
2,_xlfn.ANCHORARRAY(AM71)*VLOOKUP(AN$3&amp;$B$70&amp;_xlfn.ANCHORARRAY($B71),$BT:$CA,7,0))</f>
        <v>0</v>
      </c>
      <c r="AO71" s="59" cm="1">
        <f t="array" aca="1" ref="AO71:AO75" ca="1">_xlfn.SWITCH(IFERROR(VLOOKUP(AO$3&amp;$B$70&amp;_xlfn.ANCHORARRAY($B71),$BT:$CA,5,0),0),
0,_xlfn.ANCHORARRAY(AN71)+SUMIF($BT:$BT,AO$3&amp;$B$70&amp;_xlfn.ANCHORARRAY($B71),$CA:$CA),
1,VLOOKUP(AO$3&amp;$B$70&amp;_xlfn.ANCHORARRAY($B71),$BT:$CA,6,0),
2,_xlfn.ANCHORARRAY(AN71)*VLOOKUP(AO$3&amp;$B$70&amp;_xlfn.ANCHORARRAY($B71),$BT:$CA,7,0))</f>
        <v>0</v>
      </c>
      <c r="AP71" s="59" cm="1">
        <f t="array" aca="1" ref="AP71:AP75" ca="1">_xlfn.SWITCH(IFERROR(VLOOKUP(AP$3&amp;$B$70&amp;_xlfn.ANCHORARRAY($B71),$BT:$CA,5,0),0),
0,_xlfn.ANCHORARRAY(AO71)+SUMIF($BT:$BT,AP$3&amp;$B$70&amp;_xlfn.ANCHORARRAY($B71),$CA:$CA),
1,VLOOKUP(AP$3&amp;$B$70&amp;_xlfn.ANCHORARRAY($B71),$BT:$CA,6,0),
2,_xlfn.ANCHORARRAY(AO71)*VLOOKUP(AP$3&amp;$B$70&amp;_xlfn.ANCHORARRAY($B71),$BT:$CA,7,0))</f>
        <v>0</v>
      </c>
      <c r="AQ71" s="59" cm="1">
        <f t="array" aca="1" ref="AQ71:AQ75" ca="1">_xlfn.SWITCH(IFERROR(VLOOKUP(AQ$3&amp;$B$70&amp;_xlfn.ANCHORARRAY($B71),$BT:$CA,5,0),0),
0,_xlfn.ANCHORARRAY(AP71)+SUMIF($BT:$BT,AQ$3&amp;$B$70&amp;_xlfn.ANCHORARRAY($B71),$CA:$CA),
1,VLOOKUP(AQ$3&amp;$B$70&amp;_xlfn.ANCHORARRAY($B71),$BT:$CA,6,0),
2,_xlfn.ANCHORARRAY(AP71)*VLOOKUP(AQ$3&amp;$B$70&amp;_xlfn.ANCHORARRAY($B71),$BT:$CA,7,0))</f>
        <v>0</v>
      </c>
      <c r="AR71" s="59" cm="1">
        <f t="array" aca="1" ref="AR71:AR75" ca="1">_xlfn.SWITCH(IFERROR(VLOOKUP(AR$3&amp;$B$70&amp;_xlfn.ANCHORARRAY($B71),$BT:$CA,5,0),0),
0,_xlfn.ANCHORARRAY(AQ71)+SUMIF($BT:$BT,AR$3&amp;$B$70&amp;_xlfn.ANCHORARRAY($B71),$CA:$CA),
1,VLOOKUP(AR$3&amp;$B$70&amp;_xlfn.ANCHORARRAY($B71),$BT:$CA,6,0),
2,_xlfn.ANCHORARRAY(AQ71)*VLOOKUP(AR$3&amp;$B$70&amp;_xlfn.ANCHORARRAY($B71),$BT:$CA,7,0))</f>
        <v>0</v>
      </c>
      <c r="AS71" s="59" cm="1">
        <f t="array" aca="1" ref="AS71:AS75" ca="1">_xlfn.SWITCH(IFERROR(VLOOKUP(AS$3&amp;$B$70&amp;_xlfn.ANCHORARRAY($B71),$BT:$CA,5,0),0),
0,_xlfn.ANCHORARRAY(AR71)+SUMIF($BT:$BT,AS$3&amp;$B$70&amp;_xlfn.ANCHORARRAY($B71),$CA:$CA),
1,VLOOKUP(AS$3&amp;$B$70&amp;_xlfn.ANCHORARRAY($B71),$BT:$CA,6,0),
2,_xlfn.ANCHORARRAY(AR71)*VLOOKUP(AS$3&amp;$B$70&amp;_xlfn.ANCHORARRAY($B71),$BT:$CA,7,0))</f>
        <v>0</v>
      </c>
      <c r="AT71" s="59" cm="1">
        <f t="array" aca="1" ref="AT71:AT75" ca="1">_xlfn.SWITCH(IFERROR(VLOOKUP(AT$3&amp;$B$70&amp;_xlfn.ANCHORARRAY($B71),$BT:$CA,5,0),0),
0,_xlfn.ANCHORARRAY(AS71)+SUMIF($BT:$BT,AT$3&amp;$B$70&amp;_xlfn.ANCHORARRAY($B71),$CA:$CA),
1,VLOOKUP(AT$3&amp;$B$70&amp;_xlfn.ANCHORARRAY($B71),$BT:$CA,6,0),
2,_xlfn.ANCHORARRAY(AS71)*VLOOKUP(AT$3&amp;$B$70&amp;_xlfn.ANCHORARRAY($B71),$BT:$CA,7,0))</f>
        <v>0</v>
      </c>
      <c r="AU71" s="59" cm="1">
        <f t="array" aca="1" ref="AU71:AU75" ca="1">_xlfn.SWITCH(IFERROR(VLOOKUP(AU$3&amp;$B$70&amp;_xlfn.ANCHORARRAY($B71),$BT:$CA,5,0),0),
0,_xlfn.ANCHORARRAY(AT71)+SUMIF($BT:$BT,AU$3&amp;$B$70&amp;_xlfn.ANCHORARRAY($B71),$CA:$CA),
1,VLOOKUP(AU$3&amp;$B$70&amp;_xlfn.ANCHORARRAY($B71),$BT:$CA,6,0),
2,_xlfn.ANCHORARRAY(AT71)*VLOOKUP(AU$3&amp;$B$70&amp;_xlfn.ANCHORARRAY($B71),$BT:$CA,7,0))</f>
        <v>0</v>
      </c>
      <c r="AV71" s="59" cm="1">
        <f t="array" aca="1" ref="AV71:AV75" ca="1">_xlfn.SWITCH(IFERROR(VLOOKUP(AV$3&amp;$B$70&amp;_xlfn.ANCHORARRAY($B71),$BT:$CA,5,0),0),
0,_xlfn.ANCHORARRAY(AU71)+SUMIF($BT:$BT,AV$3&amp;$B$70&amp;_xlfn.ANCHORARRAY($B71),$CA:$CA),
1,VLOOKUP(AV$3&amp;$B$70&amp;_xlfn.ANCHORARRAY($B71),$BT:$CA,6,0),
2,_xlfn.ANCHORARRAY(AU71)*VLOOKUP(AV$3&amp;$B$70&amp;_xlfn.ANCHORARRAY($B71),$BT:$CA,7,0))</f>
        <v>0</v>
      </c>
      <c r="AW71" s="59" cm="1">
        <f t="array" aca="1" ref="AW71:AW75" ca="1">_xlfn.SWITCH(IFERROR(VLOOKUP(AW$3&amp;$B$70&amp;_xlfn.ANCHORARRAY($B71),$BT:$CA,5,0),0),
0,_xlfn.ANCHORARRAY(AV71)+SUMIF($BT:$BT,AW$3&amp;$B$70&amp;_xlfn.ANCHORARRAY($B71),$CA:$CA),
1,VLOOKUP(AW$3&amp;$B$70&amp;_xlfn.ANCHORARRAY($B71),$BT:$CA,6,0),
2,_xlfn.ANCHORARRAY(AV71)*VLOOKUP(AW$3&amp;$B$70&amp;_xlfn.ANCHORARRAY($B71),$BT:$CA,7,0))</f>
        <v>0</v>
      </c>
      <c r="AX71" s="59" cm="1">
        <f t="array" aca="1" ref="AX71:AX75" ca="1">_xlfn.SWITCH(IFERROR(VLOOKUP(AX$3&amp;$B$70&amp;_xlfn.ANCHORARRAY($B71),$BT:$CA,5,0),0),
0,_xlfn.ANCHORARRAY(AW71)+SUMIF($BT:$BT,AX$3&amp;$B$70&amp;_xlfn.ANCHORARRAY($B71),$CA:$CA),
1,VLOOKUP(AX$3&amp;$B$70&amp;_xlfn.ANCHORARRAY($B71),$BT:$CA,6,0),
2,_xlfn.ANCHORARRAY(AW71)*VLOOKUP(AX$3&amp;$B$70&amp;_xlfn.ANCHORARRAY($B71),$BT:$CA,7,0))</f>
        <v>0</v>
      </c>
      <c r="AY71" s="59" cm="1">
        <f t="array" aca="1" ref="AY71:AY75" ca="1">_xlfn.SWITCH(IFERROR(VLOOKUP(AY$3&amp;$B$70&amp;_xlfn.ANCHORARRAY($B71),$BT:$CA,5,0),0),
0,_xlfn.ANCHORARRAY(AX71)+SUMIF($BT:$BT,AY$3&amp;$B$70&amp;_xlfn.ANCHORARRAY($B71),$CA:$CA),
1,VLOOKUP(AY$3&amp;$B$70&amp;_xlfn.ANCHORARRAY($B71),$BT:$CA,6,0),
2,_xlfn.ANCHORARRAY(AX71)*VLOOKUP(AY$3&amp;$B$70&amp;_xlfn.ANCHORARRAY($B71),$BT:$CA,7,0))</f>
        <v>0</v>
      </c>
      <c r="AZ71" s="59" cm="1">
        <f t="array" aca="1" ref="AZ71:AZ75" ca="1">_xlfn.SWITCH(IFERROR(VLOOKUP(AZ$3&amp;$B$70&amp;_xlfn.ANCHORARRAY($B71),$BT:$CA,5,0),0),
0,_xlfn.ANCHORARRAY(AY71)+SUMIF($BT:$BT,AZ$3&amp;$B$70&amp;_xlfn.ANCHORARRAY($B71),$CA:$CA),
1,VLOOKUP(AZ$3&amp;$B$70&amp;_xlfn.ANCHORARRAY($B71),$BT:$CA,6,0),
2,_xlfn.ANCHORARRAY(AY71)*VLOOKUP(AZ$3&amp;$B$70&amp;_xlfn.ANCHORARRAY($B71),$BT:$CA,7,0))</f>
        <v>0</v>
      </c>
      <c r="BA71" s="59" cm="1">
        <f t="array" aca="1" ref="BA71:BA75" ca="1">_xlfn.SWITCH(IFERROR(VLOOKUP(BA$3&amp;$B$70&amp;_xlfn.ANCHORARRAY($B71),$BT:$CA,5,0),0),
0,_xlfn.ANCHORARRAY(AZ71)+SUMIF($BT:$BT,BA$3&amp;$B$70&amp;_xlfn.ANCHORARRAY($B71),$CA:$CA),
1,VLOOKUP(BA$3&amp;$B$70&amp;_xlfn.ANCHORARRAY($B71),$BT:$CA,6,0),
2,_xlfn.ANCHORARRAY(AZ71)*VLOOKUP(BA$3&amp;$B$70&amp;_xlfn.ANCHORARRAY($B71),$BT:$CA,7,0))</f>
        <v>0</v>
      </c>
      <c r="BS71" s="5">
        <f t="shared" si="23"/>
        <v>0</v>
      </c>
      <c r="BT71" s="5" t="str">
        <f t="shared" si="24"/>
        <v>2027V_Vorsorg11</v>
      </c>
      <c r="BU71">
        <v>2027</v>
      </c>
      <c r="BV71" t="s">
        <v>95</v>
      </c>
      <c r="BW71">
        <v>11</v>
      </c>
      <c r="BX71">
        <v>1</v>
      </c>
      <c r="BY71" s="12">
        <v>0</v>
      </c>
      <c r="CB71" t="s">
        <v>244</v>
      </c>
      <c r="CC71">
        <v>1</v>
      </c>
      <c r="CD71" s="5" t="str">
        <f t="shared" ca="1" si="26"/>
        <v>Sheldon</v>
      </c>
      <c r="CE71" s="5" t="str">
        <f t="shared" ca="1" si="27"/>
        <v>Neues Säule 3a Gefäss I</v>
      </c>
      <c r="CF71" s="5" t="str">
        <f t="shared" ca="1" si="25"/>
        <v>Sheldon - Neues Säule 3a Gefäss I - Bezug</v>
      </c>
      <c r="CG71" s="5"/>
    </row>
    <row r="72" spans="1:85" x14ac:dyDescent="0.25">
      <c r="A72" s="57" t="str">
        <f ca="1"/>
        <v>MigrosBank Festhypo</v>
      </c>
      <c r="B72" s="57">
        <f ca="1"/>
        <v>2</v>
      </c>
      <c r="C72" s="53" t="str">
        <f ca="1"/>
        <v>Amy</v>
      </c>
      <c r="D72" s="54">
        <f ca="1"/>
        <v>1.2500000000000001E-2</v>
      </c>
      <c r="E72" s="62">
        <f ca="1"/>
        <v>-200000</v>
      </c>
      <c r="F72" s="59">
        <f ca="1"/>
        <v>-200000</v>
      </c>
      <c r="G72" s="59">
        <f ca="1"/>
        <v>-200000</v>
      </c>
      <c r="H72" s="59">
        <f ca="1"/>
        <v>-200000</v>
      </c>
      <c r="I72" s="59">
        <f ca="1"/>
        <v>0</v>
      </c>
      <c r="J72" s="59">
        <f ca="1"/>
        <v>0</v>
      </c>
      <c r="K72" s="59">
        <f ca="1"/>
        <v>0</v>
      </c>
      <c r="L72" s="59">
        <f ca="1"/>
        <v>0</v>
      </c>
      <c r="M72" s="59">
        <f ca="1"/>
        <v>0</v>
      </c>
      <c r="N72" s="59">
        <f ca="1"/>
        <v>0</v>
      </c>
      <c r="O72" s="59">
        <f ca="1"/>
        <v>0</v>
      </c>
      <c r="P72" s="59">
        <f ca="1"/>
        <v>0</v>
      </c>
      <c r="Q72" s="59">
        <f ca="1"/>
        <v>0</v>
      </c>
      <c r="R72" s="59">
        <f ca="1"/>
        <v>0</v>
      </c>
      <c r="S72" s="59">
        <f ca="1"/>
        <v>0</v>
      </c>
      <c r="T72" s="59">
        <f ca="1"/>
        <v>0</v>
      </c>
      <c r="U72" s="59">
        <f ca="1"/>
        <v>0</v>
      </c>
      <c r="V72" s="59">
        <f ca="1"/>
        <v>0</v>
      </c>
      <c r="W72" s="59">
        <f ca="1"/>
        <v>0</v>
      </c>
      <c r="X72" s="59">
        <f ca="1"/>
        <v>0</v>
      </c>
      <c r="Y72" s="59">
        <f ca="1"/>
        <v>0</v>
      </c>
      <c r="Z72" s="59">
        <f ca="1"/>
        <v>0</v>
      </c>
      <c r="AA72" s="59">
        <f ca="1"/>
        <v>0</v>
      </c>
      <c r="AB72" s="59">
        <f ca="1"/>
        <v>0</v>
      </c>
      <c r="AC72" s="59">
        <f ca="1"/>
        <v>0</v>
      </c>
      <c r="AD72" s="59">
        <f ca="1"/>
        <v>0</v>
      </c>
      <c r="AE72" s="59">
        <f ca="1"/>
        <v>0</v>
      </c>
      <c r="AF72" s="59">
        <f ca="1"/>
        <v>0</v>
      </c>
      <c r="AG72" s="59">
        <f ca="1"/>
        <v>0</v>
      </c>
      <c r="AH72" s="59">
        <f ca="1"/>
        <v>0</v>
      </c>
      <c r="AI72" s="59">
        <f ca="1"/>
        <v>0</v>
      </c>
      <c r="AJ72" s="59">
        <f ca="1"/>
        <v>0</v>
      </c>
      <c r="AK72" s="59">
        <f ca="1"/>
        <v>0</v>
      </c>
      <c r="AL72" s="59">
        <f ca="1"/>
        <v>0</v>
      </c>
      <c r="AM72" s="59">
        <f ca="1"/>
        <v>0</v>
      </c>
      <c r="AN72" s="59">
        <f ca="1"/>
        <v>0</v>
      </c>
      <c r="AO72" s="59">
        <f ca="1"/>
        <v>0</v>
      </c>
      <c r="AP72" s="59">
        <f ca="1"/>
        <v>0</v>
      </c>
      <c r="AQ72" s="59">
        <f ca="1"/>
        <v>0</v>
      </c>
      <c r="AR72" s="59">
        <f ca="1"/>
        <v>0</v>
      </c>
      <c r="AS72" s="59">
        <f ca="1"/>
        <v>0</v>
      </c>
      <c r="AT72" s="59">
        <f ca="1"/>
        <v>0</v>
      </c>
      <c r="AU72" s="59">
        <f ca="1"/>
        <v>0</v>
      </c>
      <c r="AV72" s="59">
        <f ca="1"/>
        <v>0</v>
      </c>
      <c r="AW72" s="59">
        <f ca="1"/>
        <v>0</v>
      </c>
      <c r="AX72" s="59">
        <f ca="1"/>
        <v>0</v>
      </c>
      <c r="AY72" s="59">
        <f ca="1"/>
        <v>0</v>
      </c>
      <c r="AZ72" s="59">
        <f ca="1"/>
        <v>0</v>
      </c>
      <c r="BA72" s="59">
        <f ca="1"/>
        <v>0</v>
      </c>
      <c r="BS72" s="5">
        <f t="shared" si="23"/>
        <v>0</v>
      </c>
      <c r="BT72" s="5" t="str">
        <f t="shared" si="24"/>
        <v>2030V_Vorsorg10</v>
      </c>
      <c r="BU72">
        <v>2030</v>
      </c>
      <c r="BV72" t="s">
        <v>95</v>
      </c>
      <c r="BW72">
        <v>10</v>
      </c>
      <c r="BX72">
        <v>1</v>
      </c>
      <c r="BY72" s="12">
        <v>0</v>
      </c>
      <c r="CB72" t="s">
        <v>244</v>
      </c>
      <c r="CC72">
        <v>1</v>
      </c>
      <c r="CD72" s="5" t="str">
        <f t="shared" ca="1" si="26"/>
        <v>Sheldon</v>
      </c>
      <c r="CE72" s="5" t="str">
        <f t="shared" ca="1" si="27"/>
        <v>MigrosBank Säule 3a Konto</v>
      </c>
      <c r="CF72" s="5" t="str">
        <f t="shared" ca="1" si="25"/>
        <v>Sheldon - MigrosBank Säule 3a Konto - Bezug</v>
      </c>
      <c r="CG72" s="5"/>
    </row>
    <row r="73" spans="1:85" x14ac:dyDescent="0.25">
      <c r="A73" s="57" t="str">
        <f ca="1"/>
        <v>MigrosBank Festhypo II</v>
      </c>
      <c r="B73" s="57">
        <f ca="1"/>
        <v>3</v>
      </c>
      <c r="C73" s="53" t="str">
        <f ca="1"/>
        <v>Amy</v>
      </c>
      <c r="D73" s="54">
        <f ca="1"/>
        <v>1.1900000000000001E-2</v>
      </c>
      <c r="E73" s="62">
        <f ca="1"/>
        <v>-200000</v>
      </c>
      <c r="F73" s="59">
        <f ca="1"/>
        <v>-200000</v>
      </c>
      <c r="G73" s="59">
        <f ca="1"/>
        <v>-200000</v>
      </c>
      <c r="H73" s="59">
        <f ca="1"/>
        <v>-200000</v>
      </c>
      <c r="I73" s="59">
        <f ca="1"/>
        <v>-200000</v>
      </c>
      <c r="J73" s="59">
        <f ca="1"/>
        <v>-200000</v>
      </c>
      <c r="K73" s="59">
        <f ca="1"/>
        <v>0</v>
      </c>
      <c r="L73" s="59">
        <f ca="1"/>
        <v>0</v>
      </c>
      <c r="M73" s="59">
        <f ca="1"/>
        <v>0</v>
      </c>
      <c r="N73" s="59">
        <f ca="1"/>
        <v>0</v>
      </c>
      <c r="O73" s="59">
        <f ca="1"/>
        <v>0</v>
      </c>
      <c r="P73" s="59">
        <f ca="1"/>
        <v>0</v>
      </c>
      <c r="Q73" s="59">
        <f ca="1"/>
        <v>0</v>
      </c>
      <c r="R73" s="59">
        <f ca="1"/>
        <v>0</v>
      </c>
      <c r="S73" s="59">
        <f ca="1"/>
        <v>0</v>
      </c>
      <c r="T73" s="59">
        <f ca="1"/>
        <v>0</v>
      </c>
      <c r="U73" s="59">
        <f ca="1"/>
        <v>0</v>
      </c>
      <c r="V73" s="59">
        <f ca="1"/>
        <v>0</v>
      </c>
      <c r="W73" s="59">
        <f ca="1"/>
        <v>0</v>
      </c>
      <c r="X73" s="59">
        <f ca="1"/>
        <v>0</v>
      </c>
      <c r="Y73" s="59">
        <f ca="1"/>
        <v>0</v>
      </c>
      <c r="Z73" s="59">
        <f ca="1"/>
        <v>0</v>
      </c>
      <c r="AA73" s="59">
        <f ca="1"/>
        <v>0</v>
      </c>
      <c r="AB73" s="59">
        <f ca="1"/>
        <v>0</v>
      </c>
      <c r="AC73" s="59">
        <f ca="1"/>
        <v>0</v>
      </c>
      <c r="AD73" s="59">
        <f ca="1"/>
        <v>0</v>
      </c>
      <c r="AE73" s="59">
        <f ca="1"/>
        <v>0</v>
      </c>
      <c r="AF73" s="59">
        <f ca="1"/>
        <v>0</v>
      </c>
      <c r="AG73" s="59">
        <f ca="1"/>
        <v>0</v>
      </c>
      <c r="AH73" s="59">
        <f ca="1"/>
        <v>0</v>
      </c>
      <c r="AI73" s="59">
        <f ca="1"/>
        <v>0</v>
      </c>
      <c r="AJ73" s="59">
        <f ca="1"/>
        <v>0</v>
      </c>
      <c r="AK73" s="59">
        <f ca="1"/>
        <v>0</v>
      </c>
      <c r="AL73" s="59">
        <f ca="1"/>
        <v>0</v>
      </c>
      <c r="AM73" s="59">
        <f ca="1"/>
        <v>0</v>
      </c>
      <c r="AN73" s="59">
        <f ca="1"/>
        <v>0</v>
      </c>
      <c r="AO73" s="59">
        <f ca="1"/>
        <v>0</v>
      </c>
      <c r="AP73" s="59">
        <f ca="1"/>
        <v>0</v>
      </c>
      <c r="AQ73" s="59">
        <f ca="1"/>
        <v>0</v>
      </c>
      <c r="AR73" s="59">
        <f ca="1"/>
        <v>0</v>
      </c>
      <c r="AS73" s="59">
        <f ca="1"/>
        <v>0</v>
      </c>
      <c r="AT73" s="59">
        <f ca="1"/>
        <v>0</v>
      </c>
      <c r="AU73" s="59">
        <f ca="1"/>
        <v>0</v>
      </c>
      <c r="AV73" s="59">
        <f ca="1"/>
        <v>0</v>
      </c>
      <c r="AW73" s="59">
        <f ca="1"/>
        <v>0</v>
      </c>
      <c r="AX73" s="59">
        <f ca="1"/>
        <v>0</v>
      </c>
      <c r="AY73" s="59">
        <f ca="1"/>
        <v>0</v>
      </c>
      <c r="AZ73" s="59">
        <f ca="1"/>
        <v>0</v>
      </c>
      <c r="BA73" s="59">
        <f ca="1"/>
        <v>0</v>
      </c>
      <c r="BS73" s="5">
        <f t="shared" si="23"/>
        <v>0</v>
      </c>
      <c r="BT73" s="5" t="str">
        <f t="shared" si="24"/>
        <v>2032V_Vorsorg12</v>
      </c>
      <c r="BU73">
        <v>2032</v>
      </c>
      <c r="BV73" t="s">
        <v>95</v>
      </c>
      <c r="BW73">
        <v>12</v>
      </c>
      <c r="BX73">
        <v>1</v>
      </c>
      <c r="BY73" s="12">
        <v>0</v>
      </c>
      <c r="CB73" t="s">
        <v>244</v>
      </c>
      <c r="CC73">
        <v>1</v>
      </c>
      <c r="CD73" s="5" t="str">
        <f t="shared" ca="1" si="26"/>
        <v>Sheldon</v>
      </c>
      <c r="CE73" s="5" t="str">
        <f t="shared" ca="1" si="27"/>
        <v>Neues Säule 3a Gefäss II</v>
      </c>
      <c r="CF73" s="5" t="str">
        <f t="shared" ca="1" si="25"/>
        <v>Sheldon - Neues Säule 3a Gefäss II - Bezug</v>
      </c>
      <c r="CG73" s="5"/>
    </row>
    <row r="74" spans="1:85" x14ac:dyDescent="0.25">
      <c r="A74" s="66" t="str">
        <f ca="1"/>
        <v>PostFinance Festhypo</v>
      </c>
      <c r="B74" s="66">
        <f ca="1"/>
        <v>4</v>
      </c>
      <c r="C74" s="67" t="str">
        <f ca="1"/>
        <v>Sheldon</v>
      </c>
      <c r="D74" s="68">
        <f ca="1"/>
        <v>1.9699999999999999E-2</v>
      </c>
      <c r="E74" s="62">
        <f ca="1"/>
        <v>-300000</v>
      </c>
      <c r="F74" s="70">
        <f ca="1"/>
        <v>-300000</v>
      </c>
      <c r="G74" s="70">
        <f ca="1"/>
        <v>-300000</v>
      </c>
      <c r="H74" s="70">
        <f ca="1"/>
        <v>-300000</v>
      </c>
      <c r="I74" s="70">
        <f ca="1"/>
        <v>-300000</v>
      </c>
      <c r="J74" s="70">
        <f ca="1"/>
        <v>-300000</v>
      </c>
      <c r="K74" s="70">
        <f ca="1"/>
        <v>0</v>
      </c>
      <c r="L74" s="70">
        <f ca="1"/>
        <v>0</v>
      </c>
      <c r="M74" s="70">
        <f ca="1"/>
        <v>0</v>
      </c>
      <c r="N74" s="70">
        <f ca="1"/>
        <v>0</v>
      </c>
      <c r="O74" s="70">
        <f ca="1"/>
        <v>0</v>
      </c>
      <c r="P74" s="70">
        <f ca="1"/>
        <v>0</v>
      </c>
      <c r="Q74" s="70">
        <f ca="1"/>
        <v>0</v>
      </c>
      <c r="R74" s="70">
        <f ca="1"/>
        <v>0</v>
      </c>
      <c r="S74" s="70">
        <f ca="1"/>
        <v>0</v>
      </c>
      <c r="T74" s="70">
        <f ca="1"/>
        <v>0</v>
      </c>
      <c r="U74" s="70">
        <f ca="1"/>
        <v>0</v>
      </c>
      <c r="V74" s="70">
        <f ca="1"/>
        <v>0</v>
      </c>
      <c r="W74" s="70">
        <f ca="1"/>
        <v>0</v>
      </c>
      <c r="X74" s="70">
        <f ca="1"/>
        <v>0</v>
      </c>
      <c r="Y74" s="70">
        <f ca="1"/>
        <v>0</v>
      </c>
      <c r="Z74" s="70">
        <f ca="1"/>
        <v>0</v>
      </c>
      <c r="AA74" s="70">
        <f ca="1"/>
        <v>0</v>
      </c>
      <c r="AB74" s="70">
        <f ca="1"/>
        <v>0</v>
      </c>
      <c r="AC74" s="70">
        <f ca="1"/>
        <v>0</v>
      </c>
      <c r="AD74" s="70">
        <f ca="1"/>
        <v>0</v>
      </c>
      <c r="AE74" s="70">
        <f ca="1"/>
        <v>0</v>
      </c>
      <c r="AF74" s="70">
        <f ca="1"/>
        <v>0</v>
      </c>
      <c r="AG74" s="70">
        <f ca="1"/>
        <v>0</v>
      </c>
      <c r="AH74" s="70">
        <f ca="1"/>
        <v>0</v>
      </c>
      <c r="AI74" s="70">
        <f ca="1"/>
        <v>0</v>
      </c>
      <c r="AJ74" s="70">
        <f ca="1"/>
        <v>0</v>
      </c>
      <c r="AK74" s="70">
        <f ca="1"/>
        <v>0</v>
      </c>
      <c r="AL74" s="70">
        <f ca="1"/>
        <v>0</v>
      </c>
      <c r="AM74" s="70">
        <f ca="1"/>
        <v>0</v>
      </c>
      <c r="AN74" s="70">
        <f ca="1"/>
        <v>0</v>
      </c>
      <c r="AO74" s="70">
        <f ca="1"/>
        <v>0</v>
      </c>
      <c r="AP74" s="70">
        <f ca="1"/>
        <v>0</v>
      </c>
      <c r="AQ74" s="70">
        <f ca="1"/>
        <v>0</v>
      </c>
      <c r="AR74" s="70">
        <f ca="1"/>
        <v>0</v>
      </c>
      <c r="AS74" s="70">
        <f ca="1"/>
        <v>0</v>
      </c>
      <c r="AT74" s="70">
        <f ca="1"/>
        <v>0</v>
      </c>
      <c r="AU74" s="70">
        <f ca="1"/>
        <v>0</v>
      </c>
      <c r="AV74" s="70">
        <f ca="1"/>
        <v>0</v>
      </c>
      <c r="AW74" s="70">
        <f ca="1"/>
        <v>0</v>
      </c>
      <c r="AX74" s="70">
        <f ca="1"/>
        <v>0</v>
      </c>
      <c r="AY74" s="70">
        <f ca="1"/>
        <v>0</v>
      </c>
      <c r="AZ74" s="70">
        <f ca="1"/>
        <v>0</v>
      </c>
      <c r="BA74" s="70">
        <f ca="1"/>
        <v>0</v>
      </c>
      <c r="BS74" s="5">
        <f t="shared" si="23"/>
        <v>0</v>
      </c>
      <c r="BT74" s="5" t="str">
        <f t="shared" si="24"/>
        <v>2031A_Allg5</v>
      </c>
      <c r="BU74">
        <v>2031</v>
      </c>
      <c r="BV74" t="s">
        <v>85</v>
      </c>
      <c r="BW74">
        <v>5</v>
      </c>
      <c r="BX74">
        <v>1</v>
      </c>
      <c r="BY74" s="12">
        <v>0</v>
      </c>
      <c r="CD74" s="5" t="str">
        <f t="shared" ca="1" si="26"/>
        <v>Sheldon</v>
      </c>
      <c r="CE74" s="5" t="str">
        <f t="shared" ca="1" si="27"/>
        <v>Säule 3a Beitrag</v>
      </c>
      <c r="CF74" s="5" t="str">
        <f t="shared" ca="1" si="25"/>
        <v>Sheldon - Säule 3a Beitrag</v>
      </c>
      <c r="CG74" s="5"/>
    </row>
    <row r="75" spans="1:85" x14ac:dyDescent="0.25">
      <c r="A75" s="66" t="str">
        <f ca="1"/>
        <v>Nachfolgehypothek</v>
      </c>
      <c r="B75" s="66">
        <f ca="1"/>
        <v>5</v>
      </c>
      <c r="C75" s="67" t="str">
        <f ca="1"/>
        <v>-</v>
      </c>
      <c r="D75" s="68">
        <f ca="1"/>
        <v>0.02</v>
      </c>
      <c r="E75" s="62">
        <f ca="1"/>
        <v>0</v>
      </c>
      <c r="F75" s="70">
        <f ca="1"/>
        <v>0</v>
      </c>
      <c r="G75" s="70">
        <f ca="1"/>
        <v>0</v>
      </c>
      <c r="H75" s="70">
        <f ca="1"/>
        <v>0</v>
      </c>
      <c r="I75" s="70">
        <f ca="1"/>
        <v>-200000</v>
      </c>
      <c r="J75" s="70">
        <f ca="1"/>
        <v>-380000</v>
      </c>
      <c r="K75" s="70">
        <f ca="1"/>
        <v>-880000</v>
      </c>
      <c r="L75" s="70">
        <f ca="1"/>
        <v>-880000</v>
      </c>
      <c r="M75" s="70">
        <f ca="1"/>
        <v>-880000</v>
      </c>
      <c r="N75" s="70">
        <f ca="1"/>
        <v>-880000</v>
      </c>
      <c r="O75" s="70">
        <f ca="1"/>
        <v>-880000</v>
      </c>
      <c r="P75" s="70">
        <f ca="1"/>
        <v>-880000</v>
      </c>
      <c r="Q75" s="70">
        <f ca="1"/>
        <v>-880000</v>
      </c>
      <c r="R75" s="70">
        <f ca="1"/>
        <v>-880000</v>
      </c>
      <c r="S75" s="70">
        <f ca="1"/>
        <v>-880000</v>
      </c>
      <c r="T75" s="70">
        <f ca="1"/>
        <v>-880000</v>
      </c>
      <c r="U75" s="70">
        <f ca="1"/>
        <v>-880000</v>
      </c>
      <c r="V75" s="70">
        <f ca="1"/>
        <v>-880000</v>
      </c>
      <c r="W75" s="70">
        <f ca="1"/>
        <v>-880000</v>
      </c>
      <c r="X75" s="70">
        <f ca="1"/>
        <v>-880000</v>
      </c>
      <c r="Y75" s="70">
        <f ca="1"/>
        <v>-880000</v>
      </c>
      <c r="Z75" s="70">
        <f ca="1"/>
        <v>-880000</v>
      </c>
      <c r="AA75" s="70">
        <f ca="1"/>
        <v>-880000</v>
      </c>
      <c r="AB75" s="70">
        <f ca="1"/>
        <v>-880000</v>
      </c>
      <c r="AC75" s="70">
        <f ca="1"/>
        <v>-880000</v>
      </c>
      <c r="AD75" s="70">
        <f ca="1"/>
        <v>-880000</v>
      </c>
      <c r="AE75" s="70">
        <f ca="1"/>
        <v>-880000</v>
      </c>
      <c r="AF75" s="70">
        <f ca="1"/>
        <v>-880000</v>
      </c>
      <c r="AG75" s="70">
        <f ca="1"/>
        <v>-880000</v>
      </c>
      <c r="AH75" s="70">
        <f ca="1"/>
        <v>-880000</v>
      </c>
      <c r="AI75" s="70">
        <f ca="1"/>
        <v>-880000</v>
      </c>
      <c r="AJ75" s="70">
        <f ca="1"/>
        <v>-880000</v>
      </c>
      <c r="AK75" s="70">
        <f ca="1"/>
        <v>-880000</v>
      </c>
      <c r="AL75" s="70">
        <f ca="1"/>
        <v>-880000</v>
      </c>
      <c r="AM75" s="70">
        <f ca="1"/>
        <v>-880000</v>
      </c>
      <c r="AN75" s="70">
        <f ca="1"/>
        <v>-880000</v>
      </c>
      <c r="AO75" s="70">
        <f ca="1"/>
        <v>-880000</v>
      </c>
      <c r="AP75" s="70">
        <f ca="1"/>
        <v>-880000</v>
      </c>
      <c r="AQ75" s="70">
        <f ca="1"/>
        <v>-880000</v>
      </c>
      <c r="AR75" s="70">
        <f ca="1"/>
        <v>-880000</v>
      </c>
      <c r="AS75" s="70">
        <f ca="1"/>
        <v>-880000</v>
      </c>
      <c r="AT75" s="70">
        <f ca="1"/>
        <v>-880000</v>
      </c>
      <c r="AU75" s="70">
        <f ca="1"/>
        <v>-880000</v>
      </c>
      <c r="AV75" s="70">
        <f ca="1"/>
        <v>-880000</v>
      </c>
      <c r="AW75" s="70">
        <f ca="1"/>
        <v>-880000</v>
      </c>
      <c r="AX75" s="70">
        <f ca="1"/>
        <v>-880000</v>
      </c>
      <c r="AY75" s="70">
        <f ca="1"/>
        <v>-880000</v>
      </c>
      <c r="AZ75" s="70">
        <f ca="1"/>
        <v>-880000</v>
      </c>
      <c r="BA75" s="70">
        <f ca="1"/>
        <v>-880000</v>
      </c>
      <c r="BS75" s="5">
        <f t="shared" si="23"/>
        <v>0</v>
      </c>
      <c r="BT75" s="5" t="str">
        <f t="shared" si="24"/>
        <v>2031ST_Abz6</v>
      </c>
      <c r="BU75">
        <v>2031</v>
      </c>
      <c r="BV75" t="s">
        <v>110</v>
      </c>
      <c r="BW75">
        <v>6</v>
      </c>
      <c r="BX75">
        <v>1</v>
      </c>
      <c r="BY75" s="12">
        <v>0</v>
      </c>
      <c r="CD75" s="5" t="str">
        <f t="shared" ca="1" si="26"/>
        <v>Sheldon</v>
      </c>
      <c r="CE75" s="5" t="str">
        <f t="shared" ca="1" si="27"/>
        <v>Fahrkosten</v>
      </c>
      <c r="CF75" s="5" t="str">
        <f t="shared" ca="1" si="25"/>
        <v>Sheldon - Fahrkosten</v>
      </c>
      <c r="CG75" s="5"/>
    </row>
    <row r="76" spans="1:85" hidden="1" x14ac:dyDescent="0.25">
      <c r="A76" s="66"/>
      <c r="B76" s="66"/>
      <c r="C76" s="67"/>
      <c r="D76" s="68"/>
      <c r="E76" s="62"/>
      <c r="F76" s="70"/>
      <c r="G76" s="70"/>
      <c r="H76" s="70"/>
      <c r="I76" s="70"/>
      <c r="J76" s="70"/>
      <c r="K76" s="70"/>
      <c r="L76" s="70"/>
      <c r="M76" s="70"/>
      <c r="N76" s="70"/>
      <c r="O76" s="70"/>
      <c r="P76" s="70"/>
      <c r="Q76" s="70"/>
      <c r="R76" s="70"/>
      <c r="S76" s="70"/>
      <c r="T76" s="70"/>
      <c r="U76" s="70"/>
      <c r="V76" s="70"/>
      <c r="W76" s="70"/>
      <c r="X76" s="70"/>
      <c r="Y76" s="70"/>
      <c r="Z76" s="70"/>
      <c r="AA76" s="70"/>
      <c r="AB76" s="70"/>
      <c r="AC76" s="70"/>
      <c r="AD76" s="70"/>
      <c r="AE76" s="70"/>
      <c r="AF76" s="70"/>
      <c r="AG76" s="70"/>
      <c r="AH76" s="70"/>
      <c r="AI76" s="70"/>
      <c r="AJ76" s="70"/>
      <c r="AK76" s="70"/>
      <c r="AL76" s="70"/>
      <c r="AM76" s="70"/>
      <c r="AN76" s="70"/>
      <c r="AO76" s="70"/>
      <c r="AP76" s="70"/>
      <c r="AQ76" s="70"/>
      <c r="AR76" s="70"/>
      <c r="AS76" s="70"/>
      <c r="AT76" s="70"/>
      <c r="AU76" s="70"/>
      <c r="AV76" s="70"/>
      <c r="AW76" s="70"/>
      <c r="AX76" s="70"/>
      <c r="AY76" s="70"/>
      <c r="AZ76" s="70"/>
      <c r="BA76" s="70"/>
      <c r="BS76" s="5">
        <f t="shared" si="23"/>
        <v>0</v>
      </c>
      <c r="BT76" s="5" t="str">
        <f t="shared" si="24"/>
        <v>2031ST_Abz7</v>
      </c>
      <c r="BU76">
        <v>2031</v>
      </c>
      <c r="BV76" t="s">
        <v>110</v>
      </c>
      <c r="BW76">
        <v>7</v>
      </c>
      <c r="BX76">
        <v>1</v>
      </c>
      <c r="BY76" s="12">
        <v>0</v>
      </c>
      <c r="CD76" s="5" t="str">
        <f t="shared" ca="1" si="26"/>
        <v>Sheldon</v>
      </c>
      <c r="CE76" s="5" t="str">
        <f t="shared" ca="1" si="27"/>
        <v>Auswärtige Verpflegung</v>
      </c>
      <c r="CF76" s="5" t="str">
        <f t="shared" ca="1" si="25"/>
        <v>Sheldon - Auswärtige Verpflegung</v>
      </c>
      <c r="CG76" s="5"/>
    </row>
    <row r="77" spans="1:85" hidden="1" x14ac:dyDescent="0.25">
      <c r="A77" s="66"/>
      <c r="B77" s="66"/>
      <c r="C77" s="67"/>
      <c r="D77" s="68"/>
      <c r="E77" s="62"/>
      <c r="F77" s="70"/>
      <c r="G77" s="70"/>
      <c r="H77" s="70"/>
      <c r="I77" s="70"/>
      <c r="J77" s="70"/>
      <c r="K77" s="70"/>
      <c r="L77" s="70"/>
      <c r="M77" s="70"/>
      <c r="N77" s="70"/>
      <c r="O77" s="70"/>
      <c r="P77" s="70"/>
      <c r="Q77" s="70"/>
      <c r="R77" s="70"/>
      <c r="S77" s="70"/>
      <c r="T77" s="70"/>
      <c r="U77" s="70"/>
      <c r="V77" s="70"/>
      <c r="W77" s="70"/>
      <c r="X77" s="70"/>
      <c r="Y77" s="70"/>
      <c r="Z77" s="70"/>
      <c r="AA77" s="70"/>
      <c r="AB77" s="70"/>
      <c r="AC77" s="70"/>
      <c r="AD77" s="70"/>
      <c r="AE77" s="70"/>
      <c r="AF77" s="70"/>
      <c r="AG77" s="70"/>
      <c r="AH77" s="70"/>
      <c r="AI77" s="70"/>
      <c r="AJ77" s="70"/>
      <c r="AK77" s="70"/>
      <c r="AL77" s="70"/>
      <c r="AM77" s="70"/>
      <c r="AN77" s="70"/>
      <c r="AO77" s="70"/>
      <c r="AP77" s="70"/>
      <c r="AQ77" s="70"/>
      <c r="AR77" s="70"/>
      <c r="AS77" s="70"/>
      <c r="AT77" s="70"/>
      <c r="AU77" s="70"/>
      <c r="AV77" s="70"/>
      <c r="AW77" s="70"/>
      <c r="AX77" s="70"/>
      <c r="AY77" s="70"/>
      <c r="AZ77" s="70"/>
      <c r="BA77" s="70"/>
      <c r="BS77" s="5">
        <f t="shared" si="23"/>
        <v>0</v>
      </c>
      <c r="BT77" s="5" t="str">
        <f t="shared" si="24"/>
        <v>2031ST_Abz8</v>
      </c>
      <c r="BU77">
        <v>2031</v>
      </c>
      <c r="BV77" t="s">
        <v>110</v>
      </c>
      <c r="BW77">
        <v>8</v>
      </c>
      <c r="BX77">
        <v>1</v>
      </c>
      <c r="BY77" s="12">
        <v>0</v>
      </c>
      <c r="CD77" s="5" t="str">
        <f t="shared" ca="1" si="26"/>
        <v>Sheldon</v>
      </c>
      <c r="CE77" s="5" t="str">
        <f t="shared" ca="1" si="27"/>
        <v>Übrige Berufskosten</v>
      </c>
      <c r="CF77" s="5" t="str">
        <f t="shared" ca="1" si="25"/>
        <v>Sheldon - Übrige Berufskosten</v>
      </c>
      <c r="CG77" s="5"/>
    </row>
    <row r="78" spans="1:85" hidden="1" x14ac:dyDescent="0.25">
      <c r="A78" s="66"/>
      <c r="B78" s="66"/>
      <c r="C78" s="67"/>
      <c r="D78" s="68"/>
      <c r="E78" s="62"/>
      <c r="F78" s="70"/>
      <c r="G78" s="70"/>
      <c r="H78" s="70"/>
      <c r="I78" s="70"/>
      <c r="J78" s="70"/>
      <c r="K78" s="70"/>
      <c r="L78" s="70"/>
      <c r="M78" s="70"/>
      <c r="N78" s="70"/>
      <c r="O78" s="70"/>
      <c r="P78" s="70"/>
      <c r="Q78" s="70"/>
      <c r="R78" s="70"/>
      <c r="S78" s="70"/>
      <c r="T78" s="70"/>
      <c r="U78" s="70"/>
      <c r="V78" s="70"/>
      <c r="W78" s="70"/>
      <c r="X78" s="70"/>
      <c r="Y78" s="70"/>
      <c r="Z78" s="70"/>
      <c r="AA78" s="70"/>
      <c r="AB78" s="70"/>
      <c r="AC78" s="70"/>
      <c r="AD78" s="70"/>
      <c r="AE78" s="70"/>
      <c r="AF78" s="70"/>
      <c r="AG78" s="70"/>
      <c r="AH78" s="70"/>
      <c r="AI78" s="70"/>
      <c r="AJ78" s="70"/>
      <c r="AK78" s="70"/>
      <c r="AL78" s="70"/>
      <c r="AM78" s="70"/>
      <c r="AN78" s="70"/>
      <c r="AO78" s="70"/>
      <c r="AP78" s="70"/>
      <c r="AQ78" s="70"/>
      <c r="AR78" s="70"/>
      <c r="AS78" s="70"/>
      <c r="AT78" s="70"/>
      <c r="AU78" s="70"/>
      <c r="AV78" s="70"/>
      <c r="AW78" s="70"/>
      <c r="AX78" s="70"/>
      <c r="AY78" s="70"/>
      <c r="AZ78" s="70"/>
      <c r="BA78" s="70"/>
      <c r="BS78" s="5">
        <f t="shared" si="23"/>
        <v>0</v>
      </c>
      <c r="BT78" s="5" t="str">
        <f t="shared" si="24"/>
        <v>2029ST_Abz14</v>
      </c>
      <c r="BU78">
        <v>2029</v>
      </c>
      <c r="BV78" t="s">
        <v>110</v>
      </c>
      <c r="BW78">
        <v>14</v>
      </c>
      <c r="BX78">
        <v>1</v>
      </c>
      <c r="BY78" s="12">
        <v>0</v>
      </c>
      <c r="CD78" s="5" t="str">
        <f t="shared" ca="1" si="26"/>
        <v>Amy</v>
      </c>
      <c r="CE78" s="5" t="str">
        <f t="shared" ca="1" si="27"/>
        <v>Auswärtiger Wochenaufenthalt</v>
      </c>
      <c r="CF78" s="5" t="str">
        <f t="shared" ca="1" si="25"/>
        <v>Amy - Auswärtiger Wochenaufenthalt</v>
      </c>
      <c r="CG78" s="5"/>
    </row>
    <row r="79" spans="1:85" hidden="1" x14ac:dyDescent="0.25">
      <c r="A79" s="66"/>
      <c r="B79" s="66"/>
      <c r="C79" s="67"/>
      <c r="D79" s="68"/>
      <c r="E79" s="62"/>
      <c r="F79" s="70"/>
      <c r="G79" s="70"/>
      <c r="H79" s="70"/>
      <c r="I79" s="70"/>
      <c r="J79" s="70"/>
      <c r="K79" s="70"/>
      <c r="L79" s="70"/>
      <c r="M79" s="70"/>
      <c r="N79" s="70"/>
      <c r="O79" s="70"/>
      <c r="P79" s="70"/>
      <c r="Q79" s="70"/>
      <c r="R79" s="70"/>
      <c r="S79" s="70"/>
      <c r="T79" s="70"/>
      <c r="U79" s="70"/>
      <c r="V79" s="70"/>
      <c r="W79" s="70"/>
      <c r="X79" s="70"/>
      <c r="Y79" s="70"/>
      <c r="Z79" s="70"/>
      <c r="AA79" s="70"/>
      <c r="AB79" s="70"/>
      <c r="AC79" s="70"/>
      <c r="AD79" s="70"/>
      <c r="AE79" s="70"/>
      <c r="AF79" s="70"/>
      <c r="AG79" s="70"/>
      <c r="AH79" s="70"/>
      <c r="AI79" s="70"/>
      <c r="AJ79" s="70"/>
      <c r="AK79" s="70"/>
      <c r="AL79" s="70"/>
      <c r="AM79" s="70"/>
      <c r="AN79" s="70"/>
      <c r="AO79" s="70"/>
      <c r="AP79" s="70"/>
      <c r="AQ79" s="70"/>
      <c r="AR79" s="70"/>
      <c r="AS79" s="70"/>
      <c r="AT79" s="70"/>
      <c r="AU79" s="70"/>
      <c r="AV79" s="70"/>
      <c r="AW79" s="70"/>
      <c r="AX79" s="70"/>
      <c r="AY79" s="70"/>
      <c r="AZ79" s="70"/>
      <c r="BA79" s="70"/>
      <c r="BS79" s="5">
        <f t="shared" si="23"/>
        <v>0</v>
      </c>
      <c r="BT79" s="5" t="str">
        <f t="shared" si="24"/>
        <v>2029ST_Abz15</v>
      </c>
      <c r="BU79">
        <v>2029</v>
      </c>
      <c r="BV79" t="s">
        <v>110</v>
      </c>
      <c r="BW79">
        <v>15</v>
      </c>
      <c r="BX79">
        <v>1</v>
      </c>
      <c r="BY79" s="12">
        <v>0</v>
      </c>
      <c r="CD79" s="5" t="str">
        <f t="shared" ca="1" si="26"/>
        <v>Amy</v>
      </c>
      <c r="CE79" s="5" t="str">
        <f t="shared" ca="1" si="27"/>
        <v>Berufskosten</v>
      </c>
      <c r="CF79" s="5" t="str">
        <f t="shared" ca="1" si="25"/>
        <v>Amy - Berufskosten</v>
      </c>
      <c r="CG79" s="5"/>
    </row>
    <row r="80" spans="1:85" hidden="1" x14ac:dyDescent="0.25">
      <c r="A80" s="66"/>
      <c r="B80" s="66"/>
      <c r="C80" s="67"/>
      <c r="D80" s="68"/>
      <c r="E80" s="62"/>
      <c r="F80" s="70"/>
      <c r="G80" s="70"/>
      <c r="H80" s="70"/>
      <c r="I80" s="70"/>
      <c r="J80" s="70"/>
      <c r="K80" s="70"/>
      <c r="L80" s="70"/>
      <c r="M80" s="70"/>
      <c r="N80" s="70"/>
      <c r="O80" s="70"/>
      <c r="P80" s="70"/>
      <c r="Q80" s="70"/>
      <c r="R80" s="70"/>
      <c r="S80" s="70"/>
      <c r="T80" s="70"/>
      <c r="U80" s="70"/>
      <c r="V80" s="70"/>
      <c r="W80" s="70"/>
      <c r="X80" s="70"/>
      <c r="Y80" s="70"/>
      <c r="Z80" s="70"/>
      <c r="AA80" s="70"/>
      <c r="AB80" s="70"/>
      <c r="AC80" s="70"/>
      <c r="AD80" s="70"/>
      <c r="AE80" s="70"/>
      <c r="AF80" s="70"/>
      <c r="AG80" s="70"/>
      <c r="AH80" s="70"/>
      <c r="AI80" s="70"/>
      <c r="AJ80" s="70"/>
      <c r="AK80" s="70"/>
      <c r="AL80" s="70"/>
      <c r="AM80" s="70"/>
      <c r="AN80" s="70"/>
      <c r="AO80" s="70"/>
      <c r="AP80" s="70"/>
      <c r="AQ80" s="70"/>
      <c r="AR80" s="70"/>
      <c r="AS80" s="70"/>
      <c r="AT80" s="70"/>
      <c r="AU80" s="70"/>
      <c r="AV80" s="70"/>
      <c r="AW80" s="70"/>
      <c r="AX80" s="70"/>
      <c r="AY80" s="70"/>
      <c r="AZ80" s="70"/>
      <c r="BA80" s="70"/>
      <c r="BS80" s="5"/>
      <c r="BT80" s="5" t="str">
        <f t="shared" si="24"/>
        <v>2030A_Allg7</v>
      </c>
      <c r="BU80">
        <v>2030</v>
      </c>
      <c r="BV80" t="s">
        <v>85</v>
      </c>
      <c r="BW80">
        <v>7</v>
      </c>
      <c r="BX80">
        <v>1</v>
      </c>
      <c r="BY80" s="12">
        <v>0</v>
      </c>
      <c r="CD80" s="5" t="str">
        <f t="shared" ca="1" si="26"/>
        <v>Amy</v>
      </c>
      <c r="CE80" s="5" t="str">
        <f t="shared" ca="1" si="27"/>
        <v>Säule 3b Beitrag</v>
      </c>
      <c r="CF80" s="5" t="str">
        <f t="shared" ca="1" si="25"/>
        <v>Amy - Säule 3b Beitrag</v>
      </c>
      <c r="CG80" s="5"/>
    </row>
    <row r="81" spans="1:85" hidden="1" x14ac:dyDescent="0.25">
      <c r="A81" s="66"/>
      <c r="B81" s="66"/>
      <c r="C81" s="67"/>
      <c r="D81" s="68"/>
      <c r="E81" s="69"/>
      <c r="F81" s="70"/>
      <c r="G81" s="70"/>
      <c r="H81" s="70"/>
      <c r="I81" s="70"/>
      <c r="J81" s="70"/>
      <c r="K81" s="70"/>
      <c r="L81" s="70"/>
      <c r="M81" s="70"/>
      <c r="N81" s="70"/>
      <c r="O81" s="70"/>
      <c r="P81" s="70"/>
      <c r="Q81" s="70"/>
      <c r="R81" s="70"/>
      <c r="S81" s="70"/>
      <c r="T81" s="70"/>
      <c r="U81" s="70"/>
      <c r="V81" s="70"/>
      <c r="W81" s="70"/>
      <c r="X81" s="70"/>
      <c r="Y81" s="70"/>
      <c r="Z81" s="70"/>
      <c r="AA81" s="70"/>
      <c r="AB81" s="70"/>
      <c r="AC81" s="70"/>
      <c r="AD81" s="70"/>
      <c r="AE81" s="70"/>
      <c r="AF81" s="70"/>
      <c r="AG81" s="70"/>
      <c r="AH81" s="70"/>
      <c r="AI81" s="70"/>
      <c r="AJ81" s="70"/>
      <c r="AK81" s="70"/>
      <c r="AL81" s="70"/>
      <c r="AM81" s="70"/>
      <c r="AN81" s="70"/>
      <c r="AO81" s="70"/>
      <c r="AP81" s="70"/>
      <c r="AQ81" s="70"/>
      <c r="AR81" s="70"/>
      <c r="AS81" s="70"/>
      <c r="AT81" s="70"/>
      <c r="AU81" s="70"/>
      <c r="AV81" s="70"/>
      <c r="AW81" s="70"/>
      <c r="AX81" s="70"/>
      <c r="AY81" s="70"/>
      <c r="AZ81" s="70"/>
      <c r="BA81" s="70"/>
      <c r="BS81" s="5">
        <f>COUNTIF(BT:BT,BT80)-1</f>
        <v>0</v>
      </c>
      <c r="BT81" s="5" t="str">
        <f t="shared" si="24"/>
        <v/>
      </c>
      <c r="CD81" s="5" t="e">
        <f t="shared" ca="1" si="26"/>
        <v>#REF!</v>
      </c>
      <c r="CE81" s="5" t="e">
        <f t="shared" ca="1" si="27"/>
        <v>#REF!</v>
      </c>
      <c r="CF81" s="5" t="e">
        <f t="shared" ca="1" si="25"/>
        <v>#REF!</v>
      </c>
      <c r="CG81" s="5"/>
    </row>
    <row r="82" spans="1:85" ht="27.75" customHeight="1" x14ac:dyDescent="0.25">
      <c r="A82" s="71" t="s">
        <v>111</v>
      </c>
      <c r="B82" s="72"/>
      <c r="C82" s="73"/>
      <c r="D82" s="74"/>
      <c r="E82" s="75"/>
      <c r="F82" s="76">
        <f t="shared" ref="F82:BA82" ca="1" si="29">SUM(F83:F89)</f>
        <v>188099.4</v>
      </c>
      <c r="G82" s="76">
        <f t="shared" ca="1" si="29"/>
        <v>277708.08076921757</v>
      </c>
      <c r="H82" s="76">
        <f t="shared" ca="1" si="29"/>
        <v>370281.41250069806</v>
      </c>
      <c r="I82" s="76">
        <f t="shared" ca="1" si="29"/>
        <v>455071.68244706228</v>
      </c>
      <c r="J82" s="76">
        <f t="shared" ca="1" si="29"/>
        <v>746292.9945368364</v>
      </c>
      <c r="K82" s="76">
        <f t="shared" ca="1" si="29"/>
        <v>1397277.2256975032</v>
      </c>
      <c r="L82" s="76">
        <f t="shared" ca="1" si="29"/>
        <v>1428134.8625259672</v>
      </c>
      <c r="M82" s="76">
        <f t="shared" ca="1" si="29"/>
        <v>1438686.2360205327</v>
      </c>
      <c r="N82" s="76">
        <f t="shared" ca="1" si="29"/>
        <v>1458113.2272600159</v>
      </c>
      <c r="O82" s="76">
        <f t="shared" ca="1" si="29"/>
        <v>1460888.4237632854</v>
      </c>
      <c r="P82" s="76">
        <f t="shared" ca="1" si="29"/>
        <v>1460383.7521054349</v>
      </c>
      <c r="Q82" s="76">
        <f t="shared" ca="1" si="29"/>
        <v>1458531.7676454319</v>
      </c>
      <c r="R82" s="76">
        <f t="shared" ca="1" si="29"/>
        <v>1455283.5155069714</v>
      </c>
      <c r="S82" s="76">
        <f t="shared" ca="1" si="29"/>
        <v>1450584.5962695444</v>
      </c>
      <c r="T82" s="76">
        <f t="shared" ca="1" si="29"/>
        <v>1444384.6259843565</v>
      </c>
      <c r="U82" s="76">
        <f t="shared" ca="1" si="29"/>
        <v>1436625.5514082399</v>
      </c>
      <c r="V82" s="76">
        <f t="shared" ca="1" si="29"/>
        <v>1427248.5123867993</v>
      </c>
      <c r="W82" s="76">
        <f t="shared" ca="1" si="29"/>
        <v>1416198.0522366734</v>
      </c>
      <c r="X82" s="76">
        <f t="shared" ca="1" si="29"/>
        <v>1403405.7589989759</v>
      </c>
      <c r="Y82" s="76">
        <f t="shared" ca="1" si="29"/>
        <v>1388812.4492150466</v>
      </c>
      <c r="Z82" s="76">
        <f t="shared" ca="1" si="29"/>
        <v>1372357.1327199305</v>
      </c>
      <c r="AA82" s="76">
        <f t="shared" ca="1" si="29"/>
        <v>1353965.7669175614</v>
      </c>
      <c r="AB82" s="76">
        <f t="shared" ca="1" si="29"/>
        <v>1333573.2970879688</v>
      </c>
      <c r="AC82" s="76">
        <f t="shared" ca="1" si="29"/>
        <v>1311104.7908407624</v>
      </c>
      <c r="AD82" s="76">
        <f t="shared" ca="1" si="29"/>
        <v>1286476.7993195655</v>
      </c>
      <c r="AE82" s="76">
        <f t="shared" ca="1" si="29"/>
        <v>1259616.4727554263</v>
      </c>
      <c r="AF82" s="76">
        <f t="shared" ca="1" si="29"/>
        <v>1230449.6123288367</v>
      </c>
      <c r="AG82" s="76">
        <f t="shared" ca="1" si="29"/>
        <v>1198893.320222951</v>
      </c>
      <c r="AH82" s="76">
        <f t="shared" ca="1" si="29"/>
        <v>1164862.6519047578</v>
      </c>
      <c r="AI82" s="76">
        <f t="shared" ca="1" si="29"/>
        <v>1128275.932337997</v>
      </c>
      <c r="AJ82" s="76">
        <f t="shared" ca="1" si="29"/>
        <v>1089043.1174388679</v>
      </c>
      <c r="AK82" s="76">
        <f t="shared" ca="1" si="29"/>
        <v>1047071.4453518302</v>
      </c>
      <c r="AL82" s="76">
        <f t="shared" ca="1" si="29"/>
        <v>1002271.0614148366</v>
      </c>
      <c r="AM82" s="76">
        <f t="shared" ca="1" si="29"/>
        <v>954550.12056524982</v>
      </c>
      <c r="AN82" s="76">
        <f t="shared" ca="1" si="29"/>
        <v>903807.78652871831</v>
      </c>
      <c r="AO82" s="76">
        <f t="shared" ca="1" si="29"/>
        <v>849921.00474165822</v>
      </c>
      <c r="AP82" s="76">
        <f t="shared" ca="1" si="29"/>
        <v>792782.62867827958</v>
      </c>
      <c r="AQ82" s="76">
        <f t="shared" ca="1" si="29"/>
        <v>732262.67922110099</v>
      </c>
      <c r="AR82" s="76">
        <f t="shared" ca="1" si="29"/>
        <v>668208.43053455686</v>
      </c>
      <c r="AS82" s="76">
        <f t="shared" ca="1" si="29"/>
        <v>600497.66553346417</v>
      </c>
      <c r="AT82" s="76">
        <f t="shared" ca="1" si="29"/>
        <v>529011.28193517309</v>
      </c>
      <c r="AU82" s="76">
        <f t="shared" ca="1" si="29"/>
        <v>453614.02514187188</v>
      </c>
      <c r="AV82" s="76">
        <f t="shared" ca="1" si="29"/>
        <v>374164.3254265564</v>
      </c>
      <c r="AW82" s="76">
        <f t="shared" ca="1" si="29"/>
        <v>290451.8305998781</v>
      </c>
      <c r="AX82" s="76">
        <f t="shared" ca="1" si="29"/>
        <v>202327.74774462255</v>
      </c>
      <c r="AY82" s="76">
        <f t="shared" ca="1" si="29"/>
        <v>109619.81089113632</v>
      </c>
      <c r="AZ82" s="76">
        <f t="shared" ca="1" si="29"/>
        <v>12247.022894763284</v>
      </c>
      <c r="BA82" s="76">
        <f t="shared" ca="1" si="29"/>
        <v>-90398.70396742523</v>
      </c>
      <c r="BS82" s="5">
        <f>COUNTIF(BT:BT,BT81)-1</f>
        <v>1048495</v>
      </c>
      <c r="BT82" s="5"/>
      <c r="CD82" s="5" t="e">
        <f t="shared" ca="1" si="26"/>
        <v>#REF!</v>
      </c>
      <c r="CE82" s="5" t="e">
        <f t="shared" ca="1" si="27"/>
        <v>#REF!</v>
      </c>
      <c r="CF82" s="5" t="e">
        <f t="shared" ca="1" si="25"/>
        <v>#REF!</v>
      </c>
      <c r="CG82" s="5"/>
    </row>
    <row r="83" spans="1:85" x14ac:dyDescent="0.25">
      <c r="A83" s="57" t="s">
        <v>114</v>
      </c>
      <c r="B83" s="57"/>
      <c r="C83" s="53"/>
      <c r="D83" s="54"/>
      <c r="E83" s="63"/>
      <c r="F83" s="59">
        <f t="shared" ref="F83:BA83" si="30">E45</f>
        <v>74700</v>
      </c>
      <c r="G83" s="59">
        <f t="shared" ca="1" si="30"/>
        <v>188099.4</v>
      </c>
      <c r="H83" s="59">
        <f t="shared" ca="1" si="30"/>
        <v>277708.08076921757</v>
      </c>
      <c r="I83" s="59">
        <f t="shared" ca="1" si="30"/>
        <v>370281.41250069806</v>
      </c>
      <c r="J83" s="59">
        <f t="shared" ca="1" si="30"/>
        <v>455071.68244706228</v>
      </c>
      <c r="K83" s="59">
        <f t="shared" ca="1" si="30"/>
        <v>746292.9945368364</v>
      </c>
      <c r="L83" s="59">
        <f t="shared" ca="1" si="30"/>
        <v>1397277.2256975032</v>
      </c>
      <c r="M83" s="59">
        <f t="shared" ca="1" si="30"/>
        <v>1428134.8625259672</v>
      </c>
      <c r="N83" s="59">
        <f t="shared" ca="1" si="30"/>
        <v>1438686.2360205327</v>
      </c>
      <c r="O83" s="59">
        <f t="shared" ca="1" si="30"/>
        <v>1458113.2272600159</v>
      </c>
      <c r="P83" s="59">
        <f t="shared" ca="1" si="30"/>
        <v>1460888.4237632854</v>
      </c>
      <c r="Q83" s="59">
        <f t="shared" ca="1" si="30"/>
        <v>1460383.7521054349</v>
      </c>
      <c r="R83" s="59">
        <f t="shared" ca="1" si="30"/>
        <v>1458531.7676454319</v>
      </c>
      <c r="S83" s="59">
        <f t="shared" ca="1" si="30"/>
        <v>1455283.5155069714</v>
      </c>
      <c r="T83" s="59">
        <f t="shared" ca="1" si="30"/>
        <v>1450584.5962695444</v>
      </c>
      <c r="U83" s="59">
        <f t="shared" ca="1" si="30"/>
        <v>1444384.6259843565</v>
      </c>
      <c r="V83" s="59">
        <f t="shared" ca="1" si="30"/>
        <v>1436625.5514082399</v>
      </c>
      <c r="W83" s="59">
        <f t="shared" ca="1" si="30"/>
        <v>1427248.5123867993</v>
      </c>
      <c r="X83" s="59">
        <f t="shared" ca="1" si="30"/>
        <v>1416198.0522366734</v>
      </c>
      <c r="Y83" s="59">
        <f t="shared" ca="1" si="30"/>
        <v>1403405.7589989759</v>
      </c>
      <c r="Z83" s="59">
        <f t="shared" ca="1" si="30"/>
        <v>1388812.4492150466</v>
      </c>
      <c r="AA83" s="59">
        <f t="shared" ca="1" si="30"/>
        <v>1372357.1327199305</v>
      </c>
      <c r="AB83" s="59">
        <f t="shared" ca="1" si="30"/>
        <v>1353965.7669175614</v>
      </c>
      <c r="AC83" s="59">
        <f t="shared" ca="1" si="30"/>
        <v>1333573.2970879688</v>
      </c>
      <c r="AD83" s="59">
        <f t="shared" ca="1" si="30"/>
        <v>1311104.7908407624</v>
      </c>
      <c r="AE83" s="59">
        <f t="shared" ca="1" si="30"/>
        <v>1286476.7993195655</v>
      </c>
      <c r="AF83" s="59">
        <f t="shared" ca="1" si="30"/>
        <v>1259616.4727554263</v>
      </c>
      <c r="AG83" s="59">
        <f t="shared" ca="1" si="30"/>
        <v>1230449.6123288367</v>
      </c>
      <c r="AH83" s="59">
        <f t="shared" ca="1" si="30"/>
        <v>1198893.320222951</v>
      </c>
      <c r="AI83" s="59">
        <f t="shared" ca="1" si="30"/>
        <v>1164862.6519047578</v>
      </c>
      <c r="AJ83" s="59">
        <f t="shared" ca="1" si="30"/>
        <v>1128275.932337997</v>
      </c>
      <c r="AK83" s="59">
        <f t="shared" ca="1" si="30"/>
        <v>1089043.1174388679</v>
      </c>
      <c r="AL83" s="59">
        <f t="shared" ca="1" si="30"/>
        <v>1047071.4453518302</v>
      </c>
      <c r="AM83" s="59">
        <f t="shared" ca="1" si="30"/>
        <v>1002271.0614148366</v>
      </c>
      <c r="AN83" s="59">
        <f t="shared" ca="1" si="30"/>
        <v>954550.12056524982</v>
      </c>
      <c r="AO83" s="59">
        <f t="shared" ca="1" si="30"/>
        <v>903807.78652871831</v>
      </c>
      <c r="AP83" s="59">
        <f t="shared" ca="1" si="30"/>
        <v>849921.00474165822</v>
      </c>
      <c r="AQ83" s="59">
        <f t="shared" ca="1" si="30"/>
        <v>792782.62867827958</v>
      </c>
      <c r="AR83" s="59">
        <f t="shared" ca="1" si="30"/>
        <v>732262.67922110099</v>
      </c>
      <c r="AS83" s="59">
        <f t="shared" ca="1" si="30"/>
        <v>668208.43053455686</v>
      </c>
      <c r="AT83" s="59">
        <f t="shared" ca="1" si="30"/>
        <v>600497.66553346417</v>
      </c>
      <c r="AU83" s="59">
        <f t="shared" ca="1" si="30"/>
        <v>529011.28193517309</v>
      </c>
      <c r="AV83" s="59">
        <f t="shared" ca="1" si="30"/>
        <v>453614.02514187188</v>
      </c>
      <c r="AW83" s="59">
        <f t="shared" ca="1" si="30"/>
        <v>374164.3254265564</v>
      </c>
      <c r="AX83" s="59">
        <f t="shared" ca="1" si="30"/>
        <v>290451.8305998781</v>
      </c>
      <c r="AY83" s="59">
        <f t="shared" ca="1" si="30"/>
        <v>202327.74774462255</v>
      </c>
      <c r="AZ83" s="59">
        <f t="shared" ca="1" si="30"/>
        <v>109619.81089113632</v>
      </c>
      <c r="BA83" s="59">
        <f t="shared" ca="1" si="30"/>
        <v>12247.022894763284</v>
      </c>
      <c r="BS83" s="5">
        <f t="shared" ref="BS83:BS104" si="31">COUNTIF(BT:BT,BT82)-1</f>
        <v>-1</v>
      </c>
      <c r="BT83" s="5"/>
      <c r="CD83" s="5" t="e">
        <f t="shared" ca="1" si="26"/>
        <v>#REF!</v>
      </c>
      <c r="CE83" s="5" t="e">
        <f t="shared" ca="1" si="27"/>
        <v>#REF!</v>
      </c>
      <c r="CF83" s="5" t="e">
        <f t="shared" ca="1" si="25"/>
        <v>#REF!</v>
      </c>
      <c r="CG83" s="5"/>
    </row>
    <row r="84" spans="1:85" x14ac:dyDescent="0.25">
      <c r="A84" s="57" t="s">
        <v>115</v>
      </c>
      <c r="B84" s="57"/>
      <c r="C84" s="53"/>
      <c r="D84" s="54"/>
      <c r="E84" s="63"/>
      <c r="F84" s="59">
        <f t="shared" ref="F84:BA84" ca="1" si="32">SUM(F40:F41)</f>
        <v>59880</v>
      </c>
      <c r="G84" s="59">
        <f t="shared" ca="1" si="32"/>
        <v>39920.751615938672</v>
      </c>
      <c r="H84" s="59">
        <f t="shared" ca="1" si="32"/>
        <v>38093.955366641632</v>
      </c>
      <c r="I84" s="59">
        <f t="shared" ca="1" si="32"/>
        <v>34475.332527115301</v>
      </c>
      <c r="J84" s="59">
        <f t="shared" ca="1" si="32"/>
        <v>25841.575630591542</v>
      </c>
      <c r="K84" s="59">
        <f t="shared" ca="1" si="32"/>
        <v>3797.5197561449895</v>
      </c>
      <c r="L84" s="59">
        <f t="shared" ca="1" si="32"/>
        <v>-53718.295140149363</v>
      </c>
      <c r="M84" s="59">
        <f t="shared" ca="1" si="32"/>
        <v>-68023.324121713289</v>
      </c>
      <c r="N84" s="59">
        <f t="shared" ca="1" si="32"/>
        <v>-59048.471435185085</v>
      </c>
      <c r="O84" s="59">
        <f t="shared" ca="1" si="32"/>
        <v>-47428.763096639886</v>
      </c>
      <c r="P84" s="59">
        <f t="shared" ca="1" si="32"/>
        <v>-50747.682053626893</v>
      </c>
      <c r="Q84" s="59">
        <f t="shared" ca="1" si="32"/>
        <v>-52054.462686676299</v>
      </c>
      <c r="R84" s="59">
        <f t="shared" ca="1" si="32"/>
        <v>-53363.011308157875</v>
      </c>
      <c r="S84" s="59">
        <f t="shared" ca="1" si="32"/>
        <v>-54676.994869946968</v>
      </c>
      <c r="T84" s="59">
        <f t="shared" ca="1" si="32"/>
        <v>-55990.595729358291</v>
      </c>
      <c r="U84" s="59">
        <f t="shared" ca="1" si="32"/>
        <v>-57309.618167635461</v>
      </c>
      <c r="V84" s="59">
        <f t="shared" ca="1" si="32"/>
        <v>-58632.858300470747</v>
      </c>
      <c r="W84" s="59">
        <f t="shared" ca="1" si="32"/>
        <v>-59954.946519571356</v>
      </c>
      <c r="X84" s="59">
        <f t="shared" ca="1" si="32"/>
        <v>-61286.707681553788</v>
      </c>
      <c r="Y84" s="59">
        <f t="shared" ca="1" si="32"/>
        <v>-62616.718770411302</v>
      </c>
      <c r="Z84" s="59">
        <f t="shared" ca="1" si="32"/>
        <v>-63944.719624219113</v>
      </c>
      <c r="AA84" s="59">
        <f t="shared" ca="1" si="32"/>
        <v>-65281.440243308549</v>
      </c>
      <c r="AB84" s="59">
        <f t="shared" ca="1" si="32"/>
        <v>-66615.50041445432</v>
      </c>
      <c r="AC84" s="59">
        <f t="shared" ca="1" si="32"/>
        <v>-67954.370167356479</v>
      </c>
      <c r="AD84" s="59">
        <f t="shared" ca="1" si="32"/>
        <v>-69303.841966214823</v>
      </c>
      <c r="AE84" s="59">
        <f t="shared" ca="1" si="32"/>
        <v>-70650.628540859063</v>
      </c>
      <c r="AF84" s="59">
        <f t="shared" ca="1" si="32"/>
        <v>-71993.54985064338</v>
      </c>
      <c r="AG84" s="59">
        <f t="shared" ca="1" si="32"/>
        <v>-73338.602985154779</v>
      </c>
      <c r="AH84" s="59">
        <f t="shared" ca="1" si="32"/>
        <v>-74684.947937097109</v>
      </c>
      <c r="AI84" s="59">
        <f t="shared" ca="1" si="32"/>
        <v>-76026.449516881839</v>
      </c>
      <c r="AJ84" s="59">
        <f t="shared" ca="1" si="32"/>
        <v>-77368.523371949821</v>
      </c>
      <c r="AK84" s="59">
        <f t="shared" ca="1" si="32"/>
        <v>-78710.74319154612</v>
      </c>
      <c r="AL84" s="59">
        <f t="shared" ca="1" si="32"/>
        <v>-80047.060957550595</v>
      </c>
      <c r="AM84" s="59">
        <f t="shared" ca="1" si="32"/>
        <v>-81376.34201386341</v>
      </c>
      <c r="AN84" s="59">
        <f t="shared" ca="1" si="32"/>
        <v>-82704.263642570295</v>
      </c>
      <c r="AO84" s="59">
        <f t="shared" ca="1" si="32"/>
        <v>-84049.193430530897</v>
      </c>
      <c r="AP84" s="59">
        <f t="shared" ca="1" si="32"/>
        <v>-85391.26410745614</v>
      </c>
      <c r="AQ84" s="59">
        <f t="shared" ca="1" si="32"/>
        <v>-86749.229937020631</v>
      </c>
      <c r="AR84" s="59">
        <f t="shared" ca="1" si="32"/>
        <v>-88140.975389958359</v>
      </c>
      <c r="AS84" s="59">
        <f t="shared" ca="1" si="32"/>
        <v>-89531.262967864488</v>
      </c>
      <c r="AT84" s="59">
        <f t="shared" ca="1" si="32"/>
        <v>-90912.827412248007</v>
      </c>
      <c r="AU84" s="59">
        <f t="shared" ca="1" si="32"/>
        <v>-92297.446349908889</v>
      </c>
      <c r="AV84" s="59">
        <f t="shared" ca="1" si="32"/>
        <v>-93686.673803715996</v>
      </c>
      <c r="AW84" s="59">
        <f t="shared" ca="1" si="32"/>
        <v>-95143.239524921664</v>
      </c>
      <c r="AX84" s="59">
        <f t="shared" ca="1" si="32"/>
        <v>-96599.407298527047</v>
      </c>
      <c r="AY84" s="59">
        <f t="shared" ca="1" si="32"/>
        <v>-98073.128279654076</v>
      </c>
      <c r="AZ84" s="59">
        <f t="shared" ca="1" si="32"/>
        <v>-99468.777766646497</v>
      </c>
      <c r="BA84" s="59">
        <f t="shared" ca="1" si="32"/>
        <v>-101301.59475528769</v>
      </c>
      <c r="BS84" s="5">
        <f t="shared" si="31"/>
        <v>-1</v>
      </c>
      <c r="BT84" s="5"/>
      <c r="CD84" s="5" t="e">
        <f t="shared" ca="1" si="26"/>
        <v>#REF!</v>
      </c>
      <c r="CE84" s="5" t="e">
        <f t="shared" ca="1" si="27"/>
        <v>#REF!</v>
      </c>
      <c r="CF84" s="5" t="e">
        <f t="shared" ca="1" si="25"/>
        <v>#REF!</v>
      </c>
      <c r="CG84" s="5"/>
    </row>
    <row r="85" spans="1:85" x14ac:dyDescent="0.25">
      <c r="A85" s="57" t="s">
        <v>103</v>
      </c>
      <c r="B85" s="57"/>
      <c r="C85" s="53"/>
      <c r="D85" s="54">
        <v>3.5000000000000003E-2</v>
      </c>
      <c r="E85" s="63"/>
      <c r="F85" s="59">
        <f t="shared" ref="F85:BA85" ca="1" si="33">(F83+F84*0.5)*$D85</f>
        <v>3662.4000000000005</v>
      </c>
      <c r="G85" s="59">
        <f t="shared" ca="1" si="33"/>
        <v>7282.0921532789271</v>
      </c>
      <c r="H85" s="59">
        <f t="shared" ca="1" si="33"/>
        <v>10386.427045838846</v>
      </c>
      <c r="I85" s="59">
        <f t="shared" ca="1" si="33"/>
        <v>13563.167756748951</v>
      </c>
      <c r="J85" s="59">
        <f t="shared" ca="1" si="33"/>
        <v>16379.736459182534</v>
      </c>
      <c r="K85" s="59">
        <f t="shared" ca="1" si="33"/>
        <v>26186.711404521815</v>
      </c>
      <c r="L85" s="59">
        <f t="shared" ca="1" si="33"/>
        <v>47964.632734459999</v>
      </c>
      <c r="M85" s="59">
        <f t="shared" ca="1" si="33"/>
        <v>48794.312016278876</v>
      </c>
      <c r="N85" s="59">
        <f t="shared" ca="1" si="33"/>
        <v>49320.670010602909</v>
      </c>
      <c r="O85" s="59">
        <f t="shared" ca="1" si="33"/>
        <v>50203.959599909365</v>
      </c>
      <c r="P85" s="59">
        <f t="shared" ca="1" si="33"/>
        <v>50243.010395776524</v>
      </c>
      <c r="Q85" s="59">
        <f t="shared" ca="1" si="33"/>
        <v>50202.478226673389</v>
      </c>
      <c r="R85" s="59">
        <f t="shared" ca="1" si="33"/>
        <v>50114.759169697361</v>
      </c>
      <c r="S85" s="59">
        <f t="shared" ca="1" si="33"/>
        <v>49978.075632519933</v>
      </c>
      <c r="T85" s="59">
        <f t="shared" ca="1" si="33"/>
        <v>49790.625444170284</v>
      </c>
      <c r="U85" s="59">
        <f t="shared" ca="1" si="33"/>
        <v>49550.543591518857</v>
      </c>
      <c r="V85" s="59">
        <f t="shared" ca="1" si="33"/>
        <v>49255.819279030162</v>
      </c>
      <c r="W85" s="59">
        <f t="shared" ca="1" si="33"/>
        <v>48904.486369445483</v>
      </c>
      <c r="X85" s="59">
        <f t="shared" ca="1" si="33"/>
        <v>48494.414443856382</v>
      </c>
      <c r="Y85" s="59">
        <f t="shared" ca="1" si="33"/>
        <v>48023.408986481962</v>
      </c>
      <c r="Z85" s="59">
        <f t="shared" ca="1" si="33"/>
        <v>47489.4031291028</v>
      </c>
      <c r="AA85" s="59">
        <f t="shared" ca="1" si="33"/>
        <v>46890.074440939672</v>
      </c>
      <c r="AB85" s="59">
        <f t="shared" ca="1" si="33"/>
        <v>46223.030584861699</v>
      </c>
      <c r="AC85" s="59">
        <f t="shared" ca="1" si="33"/>
        <v>45485.863920150172</v>
      </c>
      <c r="AD85" s="59">
        <f t="shared" ca="1" si="33"/>
        <v>44675.850445017924</v>
      </c>
      <c r="AE85" s="59">
        <f t="shared" ca="1" si="33"/>
        <v>43790.301976719762</v>
      </c>
      <c r="AF85" s="59">
        <f t="shared" ca="1" si="33"/>
        <v>42826.689424053671</v>
      </c>
      <c r="AG85" s="59">
        <f t="shared" ca="1" si="33"/>
        <v>41782.310879269076</v>
      </c>
      <c r="AH85" s="59">
        <f t="shared" ca="1" si="33"/>
        <v>40654.279618904089</v>
      </c>
      <c r="AI85" s="59">
        <f t="shared" ca="1" si="33"/>
        <v>39439.729950121095</v>
      </c>
      <c r="AJ85" s="59">
        <f t="shared" ca="1" si="33"/>
        <v>38135.708472820777</v>
      </c>
      <c r="AK85" s="59">
        <f t="shared" ca="1" si="33"/>
        <v>36739.071104508323</v>
      </c>
      <c r="AL85" s="59">
        <f t="shared" ca="1" si="33"/>
        <v>35246.677020556926</v>
      </c>
      <c r="AM85" s="59">
        <f t="shared" ca="1" si="33"/>
        <v>33655.401164276671</v>
      </c>
      <c r="AN85" s="59">
        <f t="shared" ca="1" si="33"/>
        <v>31961.929606038768</v>
      </c>
      <c r="AO85" s="59">
        <f t="shared" ca="1" si="33"/>
        <v>30162.411643470856</v>
      </c>
      <c r="AP85" s="59">
        <f t="shared" ca="1" si="33"/>
        <v>28252.888044077557</v>
      </c>
      <c r="AQ85" s="59">
        <f t="shared" ca="1" si="33"/>
        <v>26229.280479841927</v>
      </c>
      <c r="AR85" s="59">
        <f t="shared" ca="1" si="33"/>
        <v>24086.726703414264</v>
      </c>
      <c r="AS85" s="59">
        <f t="shared" ca="1" si="33"/>
        <v>21820.497966771862</v>
      </c>
      <c r="AT85" s="59">
        <f t="shared" ca="1" si="33"/>
        <v>19426.443813956907</v>
      </c>
      <c r="AU85" s="59">
        <f t="shared" ca="1" si="33"/>
        <v>16900.189556607656</v>
      </c>
      <c r="AV85" s="59">
        <f t="shared" ca="1" si="33"/>
        <v>14236.974088400488</v>
      </c>
      <c r="AW85" s="59">
        <f t="shared" ca="1" si="33"/>
        <v>11430.744698243347</v>
      </c>
      <c r="AX85" s="59">
        <f t="shared" ca="1" si="33"/>
        <v>8475.324443271511</v>
      </c>
      <c r="AY85" s="59">
        <f t="shared" ca="1" si="33"/>
        <v>5365.1914261678439</v>
      </c>
      <c r="AZ85" s="59">
        <f t="shared" ca="1" si="33"/>
        <v>2095.9897702734579</v>
      </c>
      <c r="BA85" s="59">
        <f t="shared" ca="1" si="33"/>
        <v>-1344.1321069008197</v>
      </c>
      <c r="BS85" s="5">
        <f t="shared" si="31"/>
        <v>-1</v>
      </c>
      <c r="BT85" s="5"/>
      <c r="CD85" s="5" t="e">
        <f t="shared" ca="1" si="26"/>
        <v>#REF!</v>
      </c>
      <c r="CE85" s="5" t="e">
        <f t="shared" ca="1" si="27"/>
        <v>#REF!</v>
      </c>
      <c r="CF85" s="5" t="e">
        <f t="shared" ca="1" si="25"/>
        <v>#REF!</v>
      </c>
      <c r="CG85" s="5"/>
    </row>
    <row r="86" spans="1:85" x14ac:dyDescent="0.25">
      <c r="A86" s="57" t="s">
        <v>117</v>
      </c>
      <c r="B86" s="57"/>
      <c r="C86" s="53"/>
      <c r="D86" s="54"/>
      <c r="E86" s="63"/>
      <c r="F86" s="59">
        <f t="shared" ref="F86:BA86" ca="1" si="34">-(F70-E70)</f>
        <v>0</v>
      </c>
      <c r="G86" s="59">
        <f t="shared" ca="1" si="34"/>
        <v>0</v>
      </c>
      <c r="H86" s="59">
        <f t="shared" ca="1" si="34"/>
        <v>0</v>
      </c>
      <c r="I86" s="59">
        <f t="shared" ca="1" si="34"/>
        <v>0</v>
      </c>
      <c r="J86" s="59">
        <f t="shared" ca="1" si="34"/>
        <v>0</v>
      </c>
      <c r="K86" s="59">
        <f t="shared" ca="1" si="34"/>
        <v>0</v>
      </c>
      <c r="L86" s="59">
        <f t="shared" ca="1" si="34"/>
        <v>0</v>
      </c>
      <c r="M86" s="59">
        <f t="shared" ca="1" si="34"/>
        <v>0</v>
      </c>
      <c r="N86" s="59">
        <f t="shared" ca="1" si="34"/>
        <v>0</v>
      </c>
      <c r="O86" s="59">
        <f t="shared" ca="1" si="34"/>
        <v>0</v>
      </c>
      <c r="P86" s="59">
        <f t="shared" ca="1" si="34"/>
        <v>0</v>
      </c>
      <c r="Q86" s="59">
        <f t="shared" ca="1" si="34"/>
        <v>0</v>
      </c>
      <c r="R86" s="59">
        <f t="shared" ca="1" si="34"/>
        <v>0</v>
      </c>
      <c r="S86" s="59">
        <f t="shared" ca="1" si="34"/>
        <v>0</v>
      </c>
      <c r="T86" s="59">
        <f t="shared" ca="1" si="34"/>
        <v>0</v>
      </c>
      <c r="U86" s="59">
        <f t="shared" ca="1" si="34"/>
        <v>0</v>
      </c>
      <c r="V86" s="59">
        <f t="shared" ca="1" si="34"/>
        <v>0</v>
      </c>
      <c r="W86" s="59">
        <f t="shared" ca="1" si="34"/>
        <v>0</v>
      </c>
      <c r="X86" s="59">
        <f t="shared" ca="1" si="34"/>
        <v>0</v>
      </c>
      <c r="Y86" s="59">
        <f t="shared" ca="1" si="34"/>
        <v>0</v>
      </c>
      <c r="Z86" s="59">
        <f t="shared" ca="1" si="34"/>
        <v>0</v>
      </c>
      <c r="AA86" s="59">
        <f t="shared" ca="1" si="34"/>
        <v>0</v>
      </c>
      <c r="AB86" s="59">
        <f t="shared" ca="1" si="34"/>
        <v>0</v>
      </c>
      <c r="AC86" s="59">
        <f t="shared" ca="1" si="34"/>
        <v>0</v>
      </c>
      <c r="AD86" s="59">
        <f t="shared" ca="1" si="34"/>
        <v>0</v>
      </c>
      <c r="AE86" s="59">
        <f t="shared" ca="1" si="34"/>
        <v>0</v>
      </c>
      <c r="AF86" s="59">
        <f t="shared" ca="1" si="34"/>
        <v>0</v>
      </c>
      <c r="AG86" s="59">
        <f t="shared" ca="1" si="34"/>
        <v>0</v>
      </c>
      <c r="AH86" s="59">
        <f t="shared" ca="1" si="34"/>
        <v>0</v>
      </c>
      <c r="AI86" s="59">
        <f t="shared" ca="1" si="34"/>
        <v>0</v>
      </c>
      <c r="AJ86" s="59">
        <f t="shared" ca="1" si="34"/>
        <v>0</v>
      </c>
      <c r="AK86" s="59">
        <f t="shared" ca="1" si="34"/>
        <v>0</v>
      </c>
      <c r="AL86" s="59">
        <f t="shared" ca="1" si="34"/>
        <v>0</v>
      </c>
      <c r="AM86" s="59">
        <f t="shared" ca="1" si="34"/>
        <v>0</v>
      </c>
      <c r="AN86" s="59">
        <f t="shared" ca="1" si="34"/>
        <v>0</v>
      </c>
      <c r="AO86" s="59">
        <f t="shared" ca="1" si="34"/>
        <v>0</v>
      </c>
      <c r="AP86" s="59">
        <f t="shared" ca="1" si="34"/>
        <v>0</v>
      </c>
      <c r="AQ86" s="59">
        <f t="shared" ca="1" si="34"/>
        <v>0</v>
      </c>
      <c r="AR86" s="59">
        <f t="shared" ca="1" si="34"/>
        <v>0</v>
      </c>
      <c r="AS86" s="59">
        <f t="shared" ca="1" si="34"/>
        <v>0</v>
      </c>
      <c r="AT86" s="59">
        <f t="shared" ca="1" si="34"/>
        <v>0</v>
      </c>
      <c r="AU86" s="59">
        <f t="shared" ca="1" si="34"/>
        <v>0</v>
      </c>
      <c r="AV86" s="59">
        <f t="shared" ca="1" si="34"/>
        <v>0</v>
      </c>
      <c r="AW86" s="59">
        <f t="shared" ca="1" si="34"/>
        <v>0</v>
      </c>
      <c r="AX86" s="59">
        <f t="shared" ca="1" si="34"/>
        <v>0</v>
      </c>
      <c r="AY86" s="59">
        <f t="shared" ca="1" si="34"/>
        <v>0</v>
      </c>
      <c r="AZ86" s="59">
        <f t="shared" ca="1" si="34"/>
        <v>0</v>
      </c>
      <c r="BA86" s="59">
        <f t="shared" ca="1" si="34"/>
        <v>0</v>
      </c>
      <c r="BS86" s="5">
        <f t="shared" si="31"/>
        <v>-1</v>
      </c>
      <c r="BT86" s="5"/>
      <c r="CD86" s="5" t="e">
        <f t="shared" ca="1" si="26"/>
        <v>#REF!</v>
      </c>
      <c r="CE86" s="5" t="e">
        <f t="shared" ca="1" si="27"/>
        <v>#REF!</v>
      </c>
      <c r="CF86" s="5" t="e">
        <f t="shared" ca="1" si="25"/>
        <v>#REF!</v>
      </c>
      <c r="CG86" s="5"/>
    </row>
    <row r="87" spans="1:85" x14ac:dyDescent="0.25">
      <c r="A87" s="57" t="s">
        <v>116</v>
      </c>
      <c r="B87" s="57"/>
      <c r="C87" s="53"/>
      <c r="D87" s="54"/>
      <c r="E87" s="63"/>
      <c r="F87" s="59"/>
      <c r="G87" s="59"/>
      <c r="H87" s="59"/>
      <c r="I87" s="59"/>
      <c r="J87" s="59"/>
      <c r="K87" s="59">
        <v>100000</v>
      </c>
      <c r="L87" s="59"/>
      <c r="M87" s="59"/>
      <c r="N87" s="59"/>
      <c r="O87" s="59"/>
      <c r="P87" s="59"/>
      <c r="Q87" s="59"/>
      <c r="R87" s="59"/>
      <c r="S87" s="59"/>
      <c r="T87" s="59"/>
      <c r="U87" s="59"/>
      <c r="V87" s="59"/>
      <c r="W87" s="59"/>
      <c r="X87" s="59"/>
      <c r="Y87" s="59"/>
      <c r="Z87" s="59"/>
      <c r="AA87" s="59"/>
      <c r="AB87" s="59"/>
      <c r="AC87" s="59"/>
      <c r="AD87" s="59"/>
      <c r="AE87" s="59"/>
      <c r="AF87" s="59"/>
      <c r="AG87" s="59"/>
      <c r="AH87" s="59"/>
      <c r="AI87" s="59"/>
      <c r="AJ87" s="59"/>
      <c r="AK87" s="59"/>
      <c r="AL87" s="59"/>
      <c r="AM87" s="59"/>
      <c r="AN87" s="59"/>
      <c r="AO87" s="59"/>
      <c r="AP87" s="59"/>
      <c r="AQ87" s="59"/>
      <c r="AR87" s="59"/>
      <c r="AS87" s="59"/>
      <c r="AT87" s="59"/>
      <c r="AU87" s="59"/>
      <c r="AV87" s="59"/>
      <c r="AW87" s="59"/>
      <c r="AX87" s="59"/>
      <c r="AY87" s="59"/>
      <c r="AZ87" s="59"/>
      <c r="BA87" s="59"/>
      <c r="BS87" s="5">
        <f t="shared" si="31"/>
        <v>-1</v>
      </c>
      <c r="BT87" s="5"/>
      <c r="CD87" s="5" t="e">
        <f t="shared" ca="1" si="26"/>
        <v>#REF!</v>
      </c>
      <c r="CE87" s="5" t="e">
        <f t="shared" ca="1" si="27"/>
        <v>#REF!</v>
      </c>
      <c r="CF87" s="5" t="e">
        <f t="shared" ca="1" si="25"/>
        <v>#REF!</v>
      </c>
      <c r="CG87" s="5"/>
    </row>
    <row r="88" spans="1:85" x14ac:dyDescent="0.25">
      <c r="A88" s="57" t="s">
        <v>269</v>
      </c>
      <c r="B88" s="57"/>
      <c r="C88" s="53" t="str">
        <f>PD_Bez1</f>
        <v>Sheldon</v>
      </c>
      <c r="D88" s="54"/>
      <c r="E88" s="63"/>
      <c r="F88" s="59"/>
      <c r="G88" s="59">
        <v>20718.837</v>
      </c>
      <c r="H88" s="59"/>
      <c r="I88" s="59">
        <v>14324.385600000001</v>
      </c>
      <c r="J88" s="59"/>
      <c r="K88" s="59"/>
      <c r="L88" s="59">
        <v>36611.299234153194</v>
      </c>
      <c r="M88" s="59">
        <v>7056</v>
      </c>
      <c r="N88" s="59"/>
      <c r="O88" s="59"/>
      <c r="P88" s="59"/>
      <c r="Q88" s="59"/>
      <c r="R88" s="59"/>
      <c r="S88" s="59"/>
      <c r="T88" s="59"/>
      <c r="U88" s="59"/>
      <c r="V88" s="59"/>
      <c r="W88" s="59"/>
      <c r="X88" s="59"/>
      <c r="Y88" s="59"/>
      <c r="Z88" s="59"/>
      <c r="AA88" s="59"/>
      <c r="AB88" s="59"/>
      <c r="AC88" s="59"/>
      <c r="AD88" s="59"/>
      <c r="AE88" s="59"/>
      <c r="AF88" s="59"/>
      <c r="AG88" s="59"/>
      <c r="AH88" s="59"/>
      <c r="AI88" s="59"/>
      <c r="AJ88" s="59"/>
      <c r="AK88" s="59"/>
      <c r="AL88" s="59"/>
      <c r="AM88" s="59"/>
      <c r="AN88" s="59"/>
      <c r="AO88" s="59"/>
      <c r="AP88" s="59"/>
      <c r="AQ88" s="59"/>
      <c r="AR88" s="59"/>
      <c r="AS88" s="59"/>
      <c r="AT88" s="59"/>
      <c r="AU88" s="59"/>
      <c r="AV88" s="59"/>
      <c r="AW88" s="59"/>
      <c r="AX88" s="59"/>
      <c r="AY88" s="59"/>
      <c r="AZ88" s="59"/>
      <c r="BA88" s="59"/>
      <c r="BS88" s="5">
        <f t="shared" si="31"/>
        <v>-1</v>
      </c>
      <c r="BT88" s="5"/>
      <c r="CD88" s="5" t="e">
        <f t="shared" ca="1" si="26"/>
        <v>#REF!</v>
      </c>
      <c r="CE88" s="5" t="e">
        <f t="shared" ca="1" si="27"/>
        <v>#REF!</v>
      </c>
      <c r="CF88" s="5" t="e">
        <f t="shared" ca="1" si="25"/>
        <v>#REF!</v>
      </c>
      <c r="CG88" s="5"/>
    </row>
    <row r="89" spans="1:85" x14ac:dyDescent="0.25">
      <c r="A89" s="66" t="s">
        <v>269</v>
      </c>
      <c r="B89" s="66"/>
      <c r="C89" s="67" t="str">
        <f>PD_Bez2</f>
        <v>Amy</v>
      </c>
      <c r="D89" s="68"/>
      <c r="E89" s="69"/>
      <c r="F89" s="70">
        <v>49857</v>
      </c>
      <c r="G89" s="70">
        <v>21687</v>
      </c>
      <c r="H89" s="70">
        <v>44092.949318999985</v>
      </c>
      <c r="I89" s="70">
        <v>22427.384062499998</v>
      </c>
      <c r="J89" s="70">
        <v>249000</v>
      </c>
      <c r="K89" s="70">
        <v>521000</v>
      </c>
      <c r="L89" s="70"/>
      <c r="M89" s="70">
        <v>22724.385600000001</v>
      </c>
      <c r="N89" s="70">
        <v>29154.792664065601</v>
      </c>
      <c r="O89" s="70"/>
      <c r="P89" s="70"/>
      <c r="Q89" s="70"/>
      <c r="R89" s="70"/>
      <c r="S89" s="70"/>
      <c r="T89" s="70"/>
      <c r="U89" s="70"/>
      <c r="V89" s="70"/>
      <c r="W89" s="70"/>
      <c r="X89" s="70"/>
      <c r="Y89" s="70"/>
      <c r="Z89" s="70"/>
      <c r="AA89" s="70"/>
      <c r="AB89" s="70"/>
      <c r="AC89" s="70"/>
      <c r="AD89" s="70"/>
      <c r="AE89" s="70"/>
      <c r="AF89" s="70"/>
      <c r="AG89" s="70"/>
      <c r="AH89" s="70"/>
      <c r="AI89" s="70"/>
      <c r="AJ89" s="70"/>
      <c r="AK89" s="70"/>
      <c r="AL89" s="70"/>
      <c r="AM89" s="70"/>
      <c r="AN89" s="70"/>
      <c r="AO89" s="70"/>
      <c r="AP89" s="70"/>
      <c r="AQ89" s="70"/>
      <c r="AR89" s="70"/>
      <c r="AS89" s="70"/>
      <c r="AT89" s="70"/>
      <c r="AU89" s="70"/>
      <c r="AV89" s="70"/>
      <c r="AW89" s="70"/>
      <c r="AX89" s="70"/>
      <c r="AY89" s="70"/>
      <c r="AZ89" s="70"/>
      <c r="BA89" s="70"/>
      <c r="BS89" s="5">
        <f t="shared" si="31"/>
        <v>-1</v>
      </c>
      <c r="BT89" s="5"/>
      <c r="CD89" s="5" t="e">
        <f t="shared" ca="1" si="26"/>
        <v>#REF!</v>
      </c>
      <c r="CE89" s="5" t="e">
        <f t="shared" ca="1" si="27"/>
        <v>#REF!</v>
      </c>
      <c r="CF89" s="5" t="e">
        <f t="shared" ca="1" si="25"/>
        <v>#REF!</v>
      </c>
      <c r="CG89" s="5"/>
    </row>
    <row r="90" spans="1:85" ht="27.75" customHeight="1" x14ac:dyDescent="0.25">
      <c r="A90" s="71" t="s">
        <v>16</v>
      </c>
      <c r="B90" s="72" t="s">
        <v>110</v>
      </c>
      <c r="C90" s="73"/>
      <c r="D90" s="74"/>
      <c r="E90" s="75"/>
      <c r="F90" s="76">
        <f t="shared" ref="F90:BA90" ca="1" si="35">SUM(F91:F136)</f>
        <v>130911.20000000001</v>
      </c>
      <c r="G90" s="76">
        <f t="shared" ca="1" si="35"/>
        <v>132721.04607663947</v>
      </c>
      <c r="H90" s="76">
        <f t="shared" ca="1" si="35"/>
        <v>134273.21352291942</v>
      </c>
      <c r="I90" s="76">
        <f t="shared" ca="1" si="35"/>
        <v>134361.58387837448</v>
      </c>
      <c r="J90" s="76">
        <f t="shared" ca="1" si="35"/>
        <v>128436.53489625794</v>
      </c>
      <c r="K90" s="76">
        <f t="shared" ca="1" si="35"/>
        <v>150272.16125781648</v>
      </c>
      <c r="L90" s="76">
        <f t="shared" ca="1" si="35"/>
        <v>143475.31636723</v>
      </c>
      <c r="M90" s="76">
        <f t="shared" ca="1" si="35"/>
        <v>88668.156008139442</v>
      </c>
      <c r="N90" s="76">
        <f t="shared" ca="1" si="35"/>
        <v>81406.335005301458</v>
      </c>
      <c r="O90" s="76">
        <f t="shared" ca="1" si="35"/>
        <v>92872.979799954686</v>
      </c>
      <c r="P90" s="76">
        <f t="shared" ca="1" si="35"/>
        <v>92892.505197888269</v>
      </c>
      <c r="Q90" s="76">
        <f t="shared" ca="1" si="35"/>
        <v>92872.239113336691</v>
      </c>
      <c r="R90" s="76">
        <f t="shared" ca="1" si="35"/>
        <v>92828.379584848677</v>
      </c>
      <c r="S90" s="76">
        <f t="shared" ca="1" si="35"/>
        <v>92760.037816259966</v>
      </c>
      <c r="T90" s="76">
        <f t="shared" ca="1" si="35"/>
        <v>92666.312722085146</v>
      </c>
      <c r="U90" s="76">
        <f t="shared" ca="1" si="35"/>
        <v>92546.271795759429</v>
      </c>
      <c r="V90" s="76">
        <f t="shared" ca="1" si="35"/>
        <v>92398.909639515085</v>
      </c>
      <c r="W90" s="76">
        <f t="shared" ca="1" si="35"/>
        <v>92223.243184722742</v>
      </c>
      <c r="X90" s="76">
        <f t="shared" ca="1" si="35"/>
        <v>92018.207221928198</v>
      </c>
      <c r="Y90" s="76">
        <f t="shared" ca="1" si="35"/>
        <v>91782.704493240977</v>
      </c>
      <c r="Z90" s="76">
        <f t="shared" ca="1" si="35"/>
        <v>91515.701564551404</v>
      </c>
      <c r="AA90" s="76">
        <f t="shared" ca="1" si="35"/>
        <v>91216.037220469836</v>
      </c>
      <c r="AB90" s="76">
        <f t="shared" ca="1" si="35"/>
        <v>90882.51529243085</v>
      </c>
      <c r="AC90" s="76">
        <f t="shared" ca="1" si="35"/>
        <v>90513.93196007509</v>
      </c>
      <c r="AD90" s="76">
        <f t="shared" ca="1" si="35"/>
        <v>90108.925222508959</v>
      </c>
      <c r="AE90" s="76">
        <f t="shared" ca="1" si="35"/>
        <v>89666.150988359877</v>
      </c>
      <c r="AF90" s="76">
        <f t="shared" ca="1" si="35"/>
        <v>89184.344712026839</v>
      </c>
      <c r="AG90" s="76">
        <f t="shared" ca="1" si="35"/>
        <v>88662.155439634545</v>
      </c>
      <c r="AH90" s="76">
        <f t="shared" ca="1" si="35"/>
        <v>88098.139809452041</v>
      </c>
      <c r="AI90" s="76">
        <f t="shared" ca="1" si="35"/>
        <v>87490.86497506054</v>
      </c>
      <c r="AJ90" s="76">
        <f t="shared" ca="1" si="35"/>
        <v>86838.854236410392</v>
      </c>
      <c r="AK90" s="76">
        <f t="shared" ca="1" si="35"/>
        <v>86140.535552254165</v>
      </c>
      <c r="AL90" s="76">
        <f t="shared" ca="1" si="35"/>
        <v>85394.338510278467</v>
      </c>
      <c r="AM90" s="76">
        <f t="shared" ca="1" si="35"/>
        <v>84598.700582138335</v>
      </c>
      <c r="AN90" s="76">
        <f t="shared" ca="1" si="35"/>
        <v>83751.964803019378</v>
      </c>
      <c r="AO90" s="76">
        <f t="shared" ca="1" si="35"/>
        <v>82852.205821735435</v>
      </c>
      <c r="AP90" s="76">
        <f t="shared" ca="1" si="35"/>
        <v>81897.444022038777</v>
      </c>
      <c r="AQ90" s="76">
        <f t="shared" ca="1" si="35"/>
        <v>80885.640239920962</v>
      </c>
      <c r="AR90" s="76">
        <f t="shared" ca="1" si="35"/>
        <v>79814.363351707128</v>
      </c>
      <c r="AS90" s="76">
        <f t="shared" ca="1" si="35"/>
        <v>78681.248983385929</v>
      </c>
      <c r="AT90" s="76">
        <f t="shared" ca="1" si="35"/>
        <v>77484.221906978448</v>
      </c>
      <c r="AU90" s="76">
        <f t="shared" ca="1" si="35"/>
        <v>76221.094778303828</v>
      </c>
      <c r="AV90" s="76">
        <f t="shared" ca="1" si="35"/>
        <v>74889.487044200243</v>
      </c>
      <c r="AW90" s="76">
        <f t="shared" ca="1" si="35"/>
        <v>73486.372349121666</v>
      </c>
      <c r="AX90" s="76">
        <f t="shared" ca="1" si="35"/>
        <v>72008.66222163575</v>
      </c>
      <c r="AY90" s="76">
        <f t="shared" ca="1" si="35"/>
        <v>70453.595713083923</v>
      </c>
      <c r="AZ90" s="76">
        <f t="shared" ca="1" si="35"/>
        <v>68818.994885136723</v>
      </c>
      <c r="BA90" s="76">
        <f t="shared" ca="1" si="35"/>
        <v>67098.933946549587</v>
      </c>
      <c r="BS90" s="5">
        <f t="shared" si="31"/>
        <v>-1</v>
      </c>
      <c r="BT90" s="5"/>
      <c r="CD90" s="5" t="e">
        <f t="shared" ca="1" si="26"/>
        <v>#REF!</v>
      </c>
      <c r="CE90" s="5" t="e">
        <f t="shared" ca="1" si="27"/>
        <v>#REF!</v>
      </c>
      <c r="CF90" s="5" t="e">
        <f t="shared" ca="1" si="25"/>
        <v>#REF!</v>
      </c>
      <c r="CG90" s="5"/>
    </row>
    <row r="91" spans="1:85" x14ac:dyDescent="0.25">
      <c r="A91" s="57" t="s">
        <v>225</v>
      </c>
      <c r="B91" s="57"/>
      <c r="C91" s="53"/>
      <c r="D91" s="54"/>
      <c r="E91" s="63"/>
      <c r="F91" s="59">
        <f t="shared" ref="F91:BA91" ca="1" si="36">F6</f>
        <v>200000</v>
      </c>
      <c r="G91" s="59">
        <f t="shared" ca="1" si="36"/>
        <v>200000</v>
      </c>
      <c r="H91" s="59">
        <f t="shared" ca="1" si="36"/>
        <v>200000</v>
      </c>
      <c r="I91" s="59">
        <f t="shared" ca="1" si="36"/>
        <v>200000</v>
      </c>
      <c r="J91" s="59">
        <f t="shared" ca="1" si="36"/>
        <v>192666.66666666669</v>
      </c>
      <c r="K91" s="59">
        <f t="shared" ca="1" si="36"/>
        <v>184256.80555555556</v>
      </c>
      <c r="L91" s="59">
        <f t="shared" ca="1" si="36"/>
        <v>157115</v>
      </c>
      <c r="M91" s="59">
        <f t="shared" ca="1" si="36"/>
        <v>86865</v>
      </c>
      <c r="N91" s="59">
        <f t="shared" ca="1" si="36"/>
        <v>76540</v>
      </c>
      <c r="O91" s="59">
        <f t="shared" ca="1" si="36"/>
        <v>87565</v>
      </c>
      <c r="P91" s="59">
        <f t="shared" ca="1" si="36"/>
        <v>87565</v>
      </c>
      <c r="Q91" s="59">
        <f t="shared" ca="1" si="36"/>
        <v>87565</v>
      </c>
      <c r="R91" s="59">
        <f t="shared" ca="1" si="36"/>
        <v>87565</v>
      </c>
      <c r="S91" s="59">
        <f t="shared" ca="1" si="36"/>
        <v>87565</v>
      </c>
      <c r="T91" s="59">
        <f t="shared" ca="1" si="36"/>
        <v>87565</v>
      </c>
      <c r="U91" s="59">
        <f t="shared" ca="1" si="36"/>
        <v>87565</v>
      </c>
      <c r="V91" s="59">
        <f t="shared" ca="1" si="36"/>
        <v>87565</v>
      </c>
      <c r="W91" s="59">
        <f t="shared" ca="1" si="36"/>
        <v>87565</v>
      </c>
      <c r="X91" s="59">
        <f t="shared" ca="1" si="36"/>
        <v>87565</v>
      </c>
      <c r="Y91" s="59">
        <f t="shared" ca="1" si="36"/>
        <v>87565</v>
      </c>
      <c r="Z91" s="59">
        <f t="shared" ca="1" si="36"/>
        <v>87565</v>
      </c>
      <c r="AA91" s="59">
        <f t="shared" ca="1" si="36"/>
        <v>87565</v>
      </c>
      <c r="AB91" s="59">
        <f t="shared" ca="1" si="36"/>
        <v>87565</v>
      </c>
      <c r="AC91" s="59">
        <f t="shared" ca="1" si="36"/>
        <v>87565</v>
      </c>
      <c r="AD91" s="59">
        <f t="shared" ca="1" si="36"/>
        <v>87565</v>
      </c>
      <c r="AE91" s="59">
        <f t="shared" ca="1" si="36"/>
        <v>87565</v>
      </c>
      <c r="AF91" s="59">
        <f t="shared" ca="1" si="36"/>
        <v>87565</v>
      </c>
      <c r="AG91" s="59">
        <f t="shared" ca="1" si="36"/>
        <v>87565</v>
      </c>
      <c r="AH91" s="59">
        <f t="shared" ca="1" si="36"/>
        <v>87565</v>
      </c>
      <c r="AI91" s="59">
        <f t="shared" ca="1" si="36"/>
        <v>87565</v>
      </c>
      <c r="AJ91" s="59">
        <f t="shared" ca="1" si="36"/>
        <v>87565</v>
      </c>
      <c r="AK91" s="59">
        <f t="shared" ca="1" si="36"/>
        <v>87565</v>
      </c>
      <c r="AL91" s="59">
        <f t="shared" ca="1" si="36"/>
        <v>87565</v>
      </c>
      <c r="AM91" s="59">
        <f t="shared" ca="1" si="36"/>
        <v>87565</v>
      </c>
      <c r="AN91" s="59">
        <f t="shared" ca="1" si="36"/>
        <v>87565</v>
      </c>
      <c r="AO91" s="59">
        <f t="shared" ca="1" si="36"/>
        <v>87565</v>
      </c>
      <c r="AP91" s="59">
        <f t="shared" ca="1" si="36"/>
        <v>87565</v>
      </c>
      <c r="AQ91" s="59">
        <f t="shared" ca="1" si="36"/>
        <v>87565</v>
      </c>
      <c r="AR91" s="59">
        <f t="shared" ca="1" si="36"/>
        <v>87565</v>
      </c>
      <c r="AS91" s="59">
        <f t="shared" ca="1" si="36"/>
        <v>87565</v>
      </c>
      <c r="AT91" s="59">
        <f t="shared" ca="1" si="36"/>
        <v>87565</v>
      </c>
      <c r="AU91" s="59">
        <f t="shared" ca="1" si="36"/>
        <v>87565</v>
      </c>
      <c r="AV91" s="59">
        <f t="shared" ca="1" si="36"/>
        <v>87565</v>
      </c>
      <c r="AW91" s="59">
        <f t="shared" ca="1" si="36"/>
        <v>87565</v>
      </c>
      <c r="AX91" s="59">
        <f t="shared" ca="1" si="36"/>
        <v>87565</v>
      </c>
      <c r="AY91" s="59">
        <f t="shared" ca="1" si="36"/>
        <v>87565</v>
      </c>
      <c r="AZ91" s="59">
        <f t="shared" ca="1" si="36"/>
        <v>87565</v>
      </c>
      <c r="BA91" s="59">
        <f t="shared" ca="1" si="36"/>
        <v>87565</v>
      </c>
      <c r="BS91" s="5">
        <f t="shared" si="31"/>
        <v>-1</v>
      </c>
      <c r="BT91" s="5"/>
      <c r="CD91" s="5" t="e">
        <f t="shared" ca="1" si="26"/>
        <v>#REF!</v>
      </c>
      <c r="CE91" s="5" t="e">
        <f t="shared" ca="1" si="27"/>
        <v>#REF!</v>
      </c>
      <c r="CF91" s="5" t="e">
        <f t="shared" ca="1" si="25"/>
        <v>#REF!</v>
      </c>
      <c r="CG91" s="5"/>
    </row>
    <row r="92" spans="1:85" x14ac:dyDescent="0.25">
      <c r="A92" s="57" t="s">
        <v>107</v>
      </c>
      <c r="B92" s="57"/>
      <c r="C92" s="34"/>
      <c r="D92" s="61">
        <v>0.5</v>
      </c>
      <c r="E92" s="65"/>
      <c r="F92" s="59">
        <f t="shared" ref="F92:BA92" ca="1" si="37">F85*$D92</f>
        <v>1831.2000000000003</v>
      </c>
      <c r="G92" s="59">
        <f t="shared" ca="1" si="37"/>
        <v>3641.0460766394635</v>
      </c>
      <c r="H92" s="59">
        <f t="shared" ca="1" si="37"/>
        <v>5193.2135229194228</v>
      </c>
      <c r="I92" s="59">
        <f t="shared" ca="1" si="37"/>
        <v>6781.5838783744757</v>
      </c>
      <c r="J92" s="59">
        <f t="shared" ca="1" si="37"/>
        <v>8189.8682295912668</v>
      </c>
      <c r="K92" s="59">
        <f t="shared" ca="1" si="37"/>
        <v>13093.355702260907</v>
      </c>
      <c r="L92" s="59">
        <f t="shared" ca="1" si="37"/>
        <v>23982.31636723</v>
      </c>
      <c r="M92" s="59">
        <f t="shared" ca="1" si="37"/>
        <v>24397.156008139438</v>
      </c>
      <c r="N92" s="59">
        <f t="shared" ca="1" si="37"/>
        <v>24660.335005301455</v>
      </c>
      <c r="O92" s="59">
        <f t="shared" ca="1" si="37"/>
        <v>25101.979799954683</v>
      </c>
      <c r="P92" s="59">
        <f t="shared" ca="1" si="37"/>
        <v>25121.505197888262</v>
      </c>
      <c r="Q92" s="59">
        <f t="shared" ca="1" si="37"/>
        <v>25101.239113336695</v>
      </c>
      <c r="R92" s="59">
        <f t="shared" ca="1" si="37"/>
        <v>25057.379584848681</v>
      </c>
      <c r="S92" s="59">
        <f t="shared" ca="1" si="37"/>
        <v>24989.037816259966</v>
      </c>
      <c r="T92" s="59">
        <f t="shared" ca="1" si="37"/>
        <v>24895.312722085142</v>
      </c>
      <c r="U92" s="59">
        <f t="shared" ca="1" si="37"/>
        <v>24775.271795759429</v>
      </c>
      <c r="V92" s="59">
        <f t="shared" ca="1" si="37"/>
        <v>24627.909639515081</v>
      </c>
      <c r="W92" s="59">
        <f t="shared" ca="1" si="37"/>
        <v>24452.243184722742</v>
      </c>
      <c r="X92" s="59">
        <f t="shared" ca="1" si="37"/>
        <v>24247.207221928191</v>
      </c>
      <c r="Y92" s="59">
        <f t="shared" ca="1" si="37"/>
        <v>24011.704493240981</v>
      </c>
      <c r="Z92" s="59">
        <f t="shared" ca="1" si="37"/>
        <v>23744.7015645514</v>
      </c>
      <c r="AA92" s="59">
        <f t="shared" ca="1" si="37"/>
        <v>23445.037220469836</v>
      </c>
      <c r="AB92" s="59">
        <f t="shared" ca="1" si="37"/>
        <v>23111.51529243085</v>
      </c>
      <c r="AC92" s="59">
        <f t="shared" ca="1" si="37"/>
        <v>22742.931960075086</v>
      </c>
      <c r="AD92" s="59">
        <f t="shared" ca="1" si="37"/>
        <v>22337.925222508962</v>
      </c>
      <c r="AE92" s="59">
        <f t="shared" ca="1" si="37"/>
        <v>21895.150988359881</v>
      </c>
      <c r="AF92" s="59">
        <f t="shared" ca="1" si="37"/>
        <v>21413.344712026836</v>
      </c>
      <c r="AG92" s="59">
        <f t="shared" ca="1" si="37"/>
        <v>20891.155439634538</v>
      </c>
      <c r="AH92" s="59">
        <f t="shared" ca="1" si="37"/>
        <v>20327.139809452045</v>
      </c>
      <c r="AI92" s="59">
        <f t="shared" ca="1" si="37"/>
        <v>19719.864975060547</v>
      </c>
      <c r="AJ92" s="59">
        <f t="shared" ca="1" si="37"/>
        <v>19067.854236410389</v>
      </c>
      <c r="AK92" s="59">
        <f t="shared" ca="1" si="37"/>
        <v>18369.535552254161</v>
      </c>
      <c r="AL92" s="59">
        <f t="shared" ca="1" si="37"/>
        <v>17623.338510278463</v>
      </c>
      <c r="AM92" s="59">
        <f t="shared" ca="1" si="37"/>
        <v>16827.700582138335</v>
      </c>
      <c r="AN92" s="59">
        <f t="shared" ca="1" si="37"/>
        <v>15980.964803019384</v>
      </c>
      <c r="AO92" s="59">
        <f t="shared" ca="1" si="37"/>
        <v>15081.205821735428</v>
      </c>
      <c r="AP92" s="59">
        <f t="shared" ca="1" si="37"/>
        <v>14126.444022038779</v>
      </c>
      <c r="AQ92" s="59">
        <f t="shared" ca="1" si="37"/>
        <v>13114.640239920964</v>
      </c>
      <c r="AR92" s="59">
        <f t="shared" ca="1" si="37"/>
        <v>12043.363351707132</v>
      </c>
      <c r="AS92" s="59">
        <f t="shared" ca="1" si="37"/>
        <v>10910.248983385931</v>
      </c>
      <c r="AT92" s="59">
        <f t="shared" ca="1" si="37"/>
        <v>9713.2219069784533</v>
      </c>
      <c r="AU92" s="59">
        <f t="shared" ca="1" si="37"/>
        <v>8450.0947783038282</v>
      </c>
      <c r="AV92" s="59">
        <f t="shared" ca="1" si="37"/>
        <v>7118.4870442002439</v>
      </c>
      <c r="AW92" s="59">
        <f t="shared" ca="1" si="37"/>
        <v>5715.3723491216733</v>
      </c>
      <c r="AX92" s="59">
        <f t="shared" ca="1" si="37"/>
        <v>4237.6622216357555</v>
      </c>
      <c r="AY92" s="59">
        <f t="shared" ca="1" si="37"/>
        <v>2682.595713083922</v>
      </c>
      <c r="AZ92" s="59">
        <f t="shared" ca="1" si="37"/>
        <v>1047.994885136729</v>
      </c>
      <c r="BA92" s="59">
        <f t="shared" ca="1" si="37"/>
        <v>-672.06605345040987</v>
      </c>
      <c r="BS92" s="5">
        <f t="shared" si="31"/>
        <v>-1</v>
      </c>
      <c r="BT92" s="5"/>
      <c r="CD92" s="5" t="e">
        <f t="shared" ca="1" si="26"/>
        <v>#REF!</v>
      </c>
      <c r="CE92" s="5" t="e">
        <f t="shared" ca="1" si="27"/>
        <v>#REF!</v>
      </c>
      <c r="CF92" s="5" t="e">
        <f t="shared" ca="1" si="25"/>
        <v>#REF!</v>
      </c>
      <c r="CG92" s="5"/>
    </row>
    <row r="93" spans="1:85" x14ac:dyDescent="0.25">
      <c r="A93" s="57" t="s">
        <v>100</v>
      </c>
      <c r="B93" s="57"/>
      <c r="C93" s="53"/>
      <c r="D93" s="54"/>
      <c r="E93" s="63"/>
      <c r="F93" s="59">
        <f t="shared" ref="F93:BA93" ca="1" si="38">F37</f>
        <v>-14390</v>
      </c>
      <c r="G93" s="59">
        <f t="shared" ca="1" si="38"/>
        <v>-14390</v>
      </c>
      <c r="H93" s="59">
        <f t="shared" ca="1" si="38"/>
        <v>-14390</v>
      </c>
      <c r="I93" s="59">
        <f t="shared" ca="1" si="38"/>
        <v>-15890</v>
      </c>
      <c r="J93" s="59">
        <f t="shared" ca="1" si="38"/>
        <v>-15890</v>
      </c>
      <c r="K93" s="59">
        <f t="shared" ca="1" si="38"/>
        <v>-17600</v>
      </c>
      <c r="L93" s="59">
        <f t="shared" ca="1" si="38"/>
        <v>-17600</v>
      </c>
      <c r="M93" s="59">
        <f t="shared" ca="1" si="38"/>
        <v>-17600</v>
      </c>
      <c r="N93" s="59">
        <f t="shared" ca="1" si="38"/>
        <v>-17600</v>
      </c>
      <c r="O93" s="59">
        <f t="shared" ca="1" si="38"/>
        <v>-17600</v>
      </c>
      <c r="P93" s="59">
        <f t="shared" ca="1" si="38"/>
        <v>-17600</v>
      </c>
      <c r="Q93" s="59">
        <f t="shared" ca="1" si="38"/>
        <v>-17600</v>
      </c>
      <c r="R93" s="59">
        <f t="shared" ca="1" si="38"/>
        <v>-17600</v>
      </c>
      <c r="S93" s="59">
        <f t="shared" ca="1" si="38"/>
        <v>-17600</v>
      </c>
      <c r="T93" s="59">
        <f t="shared" ca="1" si="38"/>
        <v>-17600</v>
      </c>
      <c r="U93" s="59">
        <f t="shared" ca="1" si="38"/>
        <v>-17600</v>
      </c>
      <c r="V93" s="59">
        <f t="shared" ca="1" si="38"/>
        <v>-17600</v>
      </c>
      <c r="W93" s="59">
        <f t="shared" ca="1" si="38"/>
        <v>-17600</v>
      </c>
      <c r="X93" s="59">
        <f t="shared" ca="1" si="38"/>
        <v>-17600</v>
      </c>
      <c r="Y93" s="59">
        <f t="shared" ca="1" si="38"/>
        <v>-17600</v>
      </c>
      <c r="Z93" s="59">
        <f t="shared" ca="1" si="38"/>
        <v>-17600</v>
      </c>
      <c r="AA93" s="59">
        <f t="shared" ca="1" si="38"/>
        <v>-17600</v>
      </c>
      <c r="AB93" s="59">
        <f t="shared" ca="1" si="38"/>
        <v>-17600</v>
      </c>
      <c r="AC93" s="59">
        <f t="shared" ca="1" si="38"/>
        <v>-17600</v>
      </c>
      <c r="AD93" s="59">
        <f t="shared" ca="1" si="38"/>
        <v>-17600</v>
      </c>
      <c r="AE93" s="59">
        <f t="shared" ca="1" si="38"/>
        <v>-17600</v>
      </c>
      <c r="AF93" s="59">
        <f t="shared" ca="1" si="38"/>
        <v>-17600</v>
      </c>
      <c r="AG93" s="59">
        <f t="shared" ca="1" si="38"/>
        <v>-17600</v>
      </c>
      <c r="AH93" s="59">
        <f t="shared" ca="1" si="38"/>
        <v>-17600</v>
      </c>
      <c r="AI93" s="59">
        <f t="shared" ca="1" si="38"/>
        <v>-17600</v>
      </c>
      <c r="AJ93" s="59">
        <f t="shared" ca="1" si="38"/>
        <v>-17600</v>
      </c>
      <c r="AK93" s="59">
        <f t="shared" ca="1" si="38"/>
        <v>-17600</v>
      </c>
      <c r="AL93" s="59">
        <f t="shared" ca="1" si="38"/>
        <v>-17600</v>
      </c>
      <c r="AM93" s="59">
        <f t="shared" ca="1" si="38"/>
        <v>-17600</v>
      </c>
      <c r="AN93" s="59">
        <f t="shared" ca="1" si="38"/>
        <v>-17600</v>
      </c>
      <c r="AO93" s="59">
        <f t="shared" ca="1" si="38"/>
        <v>-17600</v>
      </c>
      <c r="AP93" s="59">
        <f t="shared" ca="1" si="38"/>
        <v>-17600</v>
      </c>
      <c r="AQ93" s="59">
        <f t="shared" ca="1" si="38"/>
        <v>-17600</v>
      </c>
      <c r="AR93" s="59">
        <f t="shared" ca="1" si="38"/>
        <v>-17600</v>
      </c>
      <c r="AS93" s="59">
        <f t="shared" ca="1" si="38"/>
        <v>-17600</v>
      </c>
      <c r="AT93" s="59">
        <f t="shared" ca="1" si="38"/>
        <v>-17600</v>
      </c>
      <c r="AU93" s="59">
        <f t="shared" ca="1" si="38"/>
        <v>-17600</v>
      </c>
      <c r="AV93" s="59">
        <f t="shared" ca="1" si="38"/>
        <v>-17600</v>
      </c>
      <c r="AW93" s="59">
        <f t="shared" ca="1" si="38"/>
        <v>-17600</v>
      </c>
      <c r="AX93" s="59">
        <f t="shared" ca="1" si="38"/>
        <v>-17600</v>
      </c>
      <c r="AY93" s="59">
        <f t="shared" ca="1" si="38"/>
        <v>-17600</v>
      </c>
      <c r="AZ93" s="59">
        <f t="shared" ca="1" si="38"/>
        <v>-17600</v>
      </c>
      <c r="BA93" s="59">
        <f t="shared" ca="1" si="38"/>
        <v>-17600</v>
      </c>
      <c r="BS93" s="5">
        <f t="shared" si="31"/>
        <v>-1</v>
      </c>
      <c r="BT93" s="5"/>
      <c r="CD93" s="5" t="e">
        <f t="shared" ca="1" si="26"/>
        <v>#REF!</v>
      </c>
      <c r="CE93" s="5" t="e">
        <f t="shared" ca="1" si="27"/>
        <v>#REF!</v>
      </c>
      <c r="CF93" s="5" t="e">
        <f t="shared" ca="1" si="25"/>
        <v>#REF!</v>
      </c>
      <c r="CG93" s="5"/>
    </row>
    <row r="94" spans="1:85" hidden="1" x14ac:dyDescent="0.25">
      <c r="A94" s="57"/>
      <c r="B94" s="57"/>
      <c r="C94" s="53"/>
      <c r="D94" s="54"/>
      <c r="E94" s="63"/>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c r="AE94" s="59"/>
      <c r="AF94" s="59"/>
      <c r="AG94" s="59"/>
      <c r="AH94" s="59"/>
      <c r="AI94" s="59"/>
      <c r="AJ94" s="59"/>
      <c r="AK94" s="59"/>
      <c r="AL94" s="59"/>
      <c r="AM94" s="59"/>
      <c r="AN94" s="59"/>
      <c r="AO94" s="59"/>
      <c r="AP94" s="59"/>
      <c r="AQ94" s="59"/>
      <c r="AR94" s="59"/>
      <c r="AS94" s="59"/>
      <c r="AT94" s="59"/>
      <c r="AU94" s="59"/>
      <c r="AV94" s="59"/>
      <c r="AW94" s="59"/>
      <c r="AX94" s="59"/>
      <c r="AY94" s="59"/>
      <c r="AZ94" s="59"/>
      <c r="BA94" s="59"/>
      <c r="BS94" s="5">
        <f t="shared" si="31"/>
        <v>-1</v>
      </c>
      <c r="BT94" s="5"/>
      <c r="CD94" s="5" t="e">
        <f t="shared" ca="1" si="26"/>
        <v>#REF!</v>
      </c>
      <c r="CE94" s="5" t="e">
        <f t="shared" ca="1" si="27"/>
        <v>#REF!</v>
      </c>
      <c r="CF94" s="5" t="e">
        <f t="shared" ca="1" si="25"/>
        <v>#REF!</v>
      </c>
      <c r="CG94" s="5"/>
    </row>
    <row r="95" spans="1:85" hidden="1" x14ac:dyDescent="0.25">
      <c r="A95" s="57"/>
      <c r="B95" s="57"/>
      <c r="C95" s="53"/>
      <c r="D95" s="54"/>
      <c r="E95" s="63"/>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c r="AE95" s="59"/>
      <c r="AF95" s="59"/>
      <c r="AG95" s="59"/>
      <c r="AH95" s="59"/>
      <c r="AI95" s="59"/>
      <c r="AJ95" s="59"/>
      <c r="AK95" s="59"/>
      <c r="AL95" s="59"/>
      <c r="AM95" s="59"/>
      <c r="AN95" s="59"/>
      <c r="AO95" s="59"/>
      <c r="AP95" s="59"/>
      <c r="AQ95" s="59"/>
      <c r="AR95" s="59"/>
      <c r="AS95" s="59"/>
      <c r="AT95" s="59"/>
      <c r="AU95" s="59"/>
      <c r="AV95" s="59"/>
      <c r="AW95" s="59"/>
      <c r="AX95" s="59"/>
      <c r="AY95" s="59"/>
      <c r="AZ95" s="59"/>
      <c r="BA95" s="59"/>
      <c r="BS95" s="5">
        <f t="shared" si="31"/>
        <v>-1</v>
      </c>
      <c r="BT95" s="5"/>
      <c r="CD95" s="5" t="e">
        <f t="shared" ca="1" si="26"/>
        <v>#REF!</v>
      </c>
      <c r="CE95" s="5" t="e">
        <f t="shared" ca="1" si="27"/>
        <v>#REF!</v>
      </c>
      <c r="CF95" s="5" t="e">
        <f t="shared" ca="1" si="25"/>
        <v>#REF!</v>
      </c>
      <c r="CG95" s="5"/>
    </row>
    <row r="96" spans="1:85" hidden="1" x14ac:dyDescent="0.25">
      <c r="A96" s="57"/>
      <c r="B96" s="57" t="s">
        <v>85</v>
      </c>
      <c r="C96" s="53"/>
      <c r="D96" s="54"/>
      <c r="E96" s="63"/>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c r="AE96" s="59"/>
      <c r="AF96" s="59"/>
      <c r="AG96" s="59"/>
      <c r="AH96" s="59"/>
      <c r="AI96" s="59"/>
      <c r="AJ96" s="59"/>
      <c r="AK96" s="59"/>
      <c r="AL96" s="59"/>
      <c r="AM96" s="59"/>
      <c r="AN96" s="59"/>
      <c r="AO96" s="59"/>
      <c r="AP96" s="59"/>
      <c r="AQ96" s="59"/>
      <c r="AR96" s="59"/>
      <c r="AS96" s="59"/>
      <c r="AT96" s="59"/>
      <c r="AU96" s="59"/>
      <c r="AV96" s="59"/>
      <c r="AW96" s="59"/>
      <c r="AX96" s="59"/>
      <c r="AY96" s="59"/>
      <c r="AZ96" s="59"/>
      <c r="BA96" s="59"/>
      <c r="BS96" s="5">
        <f t="shared" si="31"/>
        <v>-1</v>
      </c>
      <c r="BT96" s="5"/>
      <c r="CD96" s="5" t="e">
        <f t="shared" ca="1" si="26"/>
        <v>#REF!</v>
      </c>
      <c r="CE96" s="5" t="e">
        <f t="shared" ca="1" si="27"/>
        <v>#REF!</v>
      </c>
      <c r="CF96" s="5" t="e">
        <f t="shared" ca="1" si="25"/>
        <v>#REF!</v>
      </c>
      <c r="CG96" s="5"/>
    </row>
    <row r="97" spans="1:85" x14ac:dyDescent="0.25">
      <c r="A97" s="57" t="str" cm="1">
        <f t="array" aca="1" ref="A97:A99" ca="1">_xlfn._xlws.FILTER(INDIRECT($B96&amp;"[Titel]"),INDIRECT($B96&amp;"[Abziehb]")=1)</f>
        <v>Unterhaltskosten Leonard</v>
      </c>
      <c r="B97" s="57" cm="1">
        <f t="array" aca="1" ref="B97:B99" ca="1">_xlfn._xlws.FILTER(INDIRECT($B96&amp;"[Id]"),INDIRECT($B96&amp;"[Abziehb]")=1)</f>
        <v>4</v>
      </c>
      <c r="C97" s="53" t="str" cm="1">
        <f t="array" aca="1" ref="C97:C99" ca="1">_xlfn._xlws.FILTER(INDIRECT($B96&amp;"[Zugehörigkeit Bezeichnung]"),INDIRECT($B96&amp;"[Abziehb]")=1)</f>
        <v>Amy</v>
      </c>
      <c r="D97" s="54" cm="1">
        <f t="array" aca="1" ref="D97:D99" ca="1">_xlfn._xlws.FILTER(INDIRECT($B96&amp;"[Rendite / Zins]"),INDIRECT($B96&amp;"[Abziehb]")=1)</f>
        <v>0</v>
      </c>
      <c r="E97" s="54"/>
      <c r="F97" s="59" cm="1">
        <f t="array" aca="1" ref="F97:F99" ca="1">_xlfn._xlws.FILTER(INDIRECT($B96&amp;"[Betrag]"),INDIRECT($B96&amp;"[Abziehb]")=1)</f>
        <v>-12000</v>
      </c>
      <c r="G97" s="59" cm="1">
        <f t="array" aca="1" ref="G97:G99" ca="1">_xlfn.SWITCH(IFERROR(VLOOKUP(G$3&amp;$B$96&amp;_xlfn.ANCHORARRAY($B97),$BT:$CA,5,0),0),
0,_xlfn.ANCHORARRAY(F97)*(1+_xlfn.ANCHORARRAY($D97))+SUMIF($BT:$BT,G$3&amp;$B$96&amp;_xlfn.ANCHORARRAY($B97),$CA:$CA),
1,VLOOKUP(G$3&amp;$B$96&amp;_xlfn.ANCHORARRAY($B97),$BT:$CA,6,0),
2,_xlfn.ANCHORARRAY(F97)*(1+_xlfn.ANCHORARRAY($D97))*VLOOKUP(G$3&amp;$B$96&amp;_xlfn.ANCHORARRAY($B97),$BT:$CA,7,0))</f>
        <v>-12000</v>
      </c>
      <c r="H97" s="59" cm="1">
        <f t="array" aca="1" ref="H97:H99" ca="1">_xlfn.SWITCH(IFERROR(VLOOKUP(H$3&amp;$B$20&amp;_xlfn.ANCHORARRAY($B97),$BT:$CA,5,0),0),
0,_xlfn.ANCHORARRAY(G97)*(1+_xlfn.ANCHORARRAY($D97))+SUMIF($BT:$BT,H$3&amp;$B$20&amp;_xlfn.ANCHORARRAY($B97),$CA:$CA),
1,VLOOKUP(H$3&amp;$B$20&amp;_xlfn.ANCHORARRAY($B97),$BT:$CA,6,0),
2,_xlfn.ANCHORARRAY(G97)*(1+_xlfn.ANCHORARRAY($D97))*VLOOKUP(H$3&amp;$B$20&amp;_xlfn.ANCHORARRAY($B97),$BT:$CA,7,0))</f>
        <v>-12000</v>
      </c>
      <c r="I97" s="59" cm="1">
        <f t="array" aca="1" ref="I97:I99" ca="1">_xlfn.SWITCH(IFERROR(VLOOKUP(I$3&amp;$B$20&amp;_xlfn.ANCHORARRAY($B97),$BT:$CA,5,0),0),
0,_xlfn.ANCHORARRAY(H97)*(1+_xlfn.ANCHORARRAY($D97))+SUMIF($BT:$BT,I$3&amp;$B$20&amp;_xlfn.ANCHORARRAY($B97),$CA:$CA),
1,VLOOKUP(I$3&amp;$B$20&amp;_xlfn.ANCHORARRAY($B97),$BT:$CA,6,0),
2,_xlfn.ANCHORARRAY(H97)*(1+_xlfn.ANCHORARRAY($D97))*VLOOKUP(I$3&amp;$B$20&amp;_xlfn.ANCHORARRAY($B97),$BT:$CA,7,0))</f>
        <v>-12000</v>
      </c>
      <c r="J97" s="59" cm="1">
        <f t="array" aca="1" ref="J97:J99" ca="1">_xlfn.SWITCH(IFERROR(VLOOKUP(J$3&amp;$B$20&amp;_xlfn.ANCHORARRAY($B97),$BT:$CA,5,0),0),
0,_xlfn.ANCHORARRAY(I97)*(1+_xlfn.ANCHORARRAY($D97))+SUMIF($BT:$BT,J$3&amp;$B$20&amp;_xlfn.ANCHORARRAY($B97),$CA:$CA),
1,VLOOKUP(J$3&amp;$B$20&amp;_xlfn.ANCHORARRAY($B97),$BT:$CA,6,0),
2,_xlfn.ANCHORARRAY(I97)*(1+_xlfn.ANCHORARRAY($D97))*VLOOKUP(J$3&amp;$B$20&amp;_xlfn.ANCHORARRAY($B97),$BT:$CA,7,0))</f>
        <v>-12000</v>
      </c>
      <c r="K97" s="59" cm="1">
        <f t="array" aca="1" ref="K97:K99" ca="1">_xlfn.SWITCH(IFERROR(VLOOKUP(K$3&amp;$B$20&amp;_xlfn.ANCHORARRAY($B97),$BT:$CA,5,0),0),
0,_xlfn.ANCHORARRAY(J97)*(1+_xlfn.ANCHORARRAY($D97))+SUMIF($BT:$BT,K$3&amp;$B$20&amp;_xlfn.ANCHORARRAY($B97),$CA:$CA),
1,VLOOKUP(K$3&amp;$B$20&amp;_xlfn.ANCHORARRAY($B97),$BT:$CA,6,0),
2,_xlfn.ANCHORARRAY(J97)*(1+_xlfn.ANCHORARRAY($D97))*VLOOKUP(K$3&amp;$B$20&amp;_xlfn.ANCHORARRAY($B97),$BT:$CA,7,0))</f>
        <v>-8000</v>
      </c>
      <c r="L97" s="59" cm="1">
        <f t="array" aca="1" ref="L97:L99" ca="1">_xlfn.SWITCH(IFERROR(VLOOKUP(L$3&amp;$B$20&amp;_xlfn.ANCHORARRAY($B97),$BT:$CA,5,0),0),
0,_xlfn.ANCHORARRAY(K97)*(1+_xlfn.ANCHORARRAY($D97))+SUMIF($BT:$BT,L$3&amp;$B$20&amp;_xlfn.ANCHORARRAY($B97),$CA:$CA),
1,VLOOKUP(L$3&amp;$B$20&amp;_xlfn.ANCHORARRAY($B97),$BT:$CA,6,0),
2,_xlfn.ANCHORARRAY(K97)*(1+_xlfn.ANCHORARRAY($D97))*VLOOKUP(L$3&amp;$B$20&amp;_xlfn.ANCHORARRAY($B97),$BT:$CA,7,0))</f>
        <v>0</v>
      </c>
      <c r="M97" s="59" cm="1">
        <f t="array" aca="1" ref="M97:M99" ca="1">_xlfn.SWITCH(IFERROR(VLOOKUP(M$3&amp;$B$20&amp;_xlfn.ANCHORARRAY($B97),$BT:$CA,5,0),0),
0,_xlfn.ANCHORARRAY(L97)*(1+_xlfn.ANCHORARRAY($D97))+SUMIF($BT:$BT,M$3&amp;$B$20&amp;_xlfn.ANCHORARRAY($B97),$CA:$CA),
1,VLOOKUP(M$3&amp;$B$20&amp;_xlfn.ANCHORARRAY($B97),$BT:$CA,6,0),
2,_xlfn.ANCHORARRAY(L97)*(1+_xlfn.ANCHORARRAY($D97))*VLOOKUP(M$3&amp;$B$20&amp;_xlfn.ANCHORARRAY($B97),$BT:$CA,7,0))</f>
        <v>0</v>
      </c>
      <c r="N97" s="59" cm="1">
        <f t="array" aca="1" ref="N97:N99" ca="1">_xlfn.SWITCH(IFERROR(VLOOKUP(N$3&amp;$B$20&amp;_xlfn.ANCHORARRAY($B97),$BT:$CA,5,0),0),
0,_xlfn.ANCHORARRAY(M97)*(1+_xlfn.ANCHORARRAY($D97))+SUMIF($BT:$BT,N$3&amp;$B$20&amp;_xlfn.ANCHORARRAY($B97),$CA:$CA),
1,VLOOKUP(N$3&amp;$B$20&amp;_xlfn.ANCHORARRAY($B97),$BT:$CA,6,0),
2,_xlfn.ANCHORARRAY(M97)*(1+_xlfn.ANCHORARRAY($D97))*VLOOKUP(N$3&amp;$B$20&amp;_xlfn.ANCHORARRAY($B97),$BT:$CA,7,0))</f>
        <v>0</v>
      </c>
      <c r="O97" s="59" cm="1">
        <f t="array" aca="1" ref="O97:O99" ca="1">_xlfn.SWITCH(IFERROR(VLOOKUP(O$3&amp;$B$20&amp;_xlfn.ANCHORARRAY($B97),$BT:$CA,5,0),0),
0,_xlfn.ANCHORARRAY(N97)*(1+_xlfn.ANCHORARRAY($D97))+SUMIF($BT:$BT,O$3&amp;$B$20&amp;_xlfn.ANCHORARRAY($B97),$CA:$CA),
1,VLOOKUP(O$3&amp;$B$20&amp;_xlfn.ANCHORARRAY($B97),$BT:$CA,6,0),
2,_xlfn.ANCHORARRAY(N97)*(1+_xlfn.ANCHORARRAY($D97))*VLOOKUP(O$3&amp;$B$20&amp;_xlfn.ANCHORARRAY($B97),$BT:$CA,7,0))</f>
        <v>0</v>
      </c>
      <c r="P97" s="59" cm="1">
        <f t="array" aca="1" ref="P97:P99" ca="1">_xlfn.SWITCH(IFERROR(VLOOKUP(P$3&amp;$B$20&amp;_xlfn.ANCHORARRAY($B97),$BT:$CA,5,0),0),
0,_xlfn.ANCHORARRAY(O97)*(1+_xlfn.ANCHORARRAY($D97))+SUMIF($BT:$BT,P$3&amp;$B$20&amp;_xlfn.ANCHORARRAY($B97),$CA:$CA),
1,VLOOKUP(P$3&amp;$B$20&amp;_xlfn.ANCHORARRAY($B97),$BT:$CA,6,0),
2,_xlfn.ANCHORARRAY(O97)*(1+_xlfn.ANCHORARRAY($D97))*VLOOKUP(P$3&amp;$B$20&amp;_xlfn.ANCHORARRAY($B97),$BT:$CA,7,0))</f>
        <v>0</v>
      </c>
      <c r="Q97" s="59" cm="1">
        <f t="array" aca="1" ref="Q97:Q99" ca="1">_xlfn.SWITCH(IFERROR(VLOOKUP(Q$3&amp;$B$20&amp;_xlfn.ANCHORARRAY($B97),$BT:$CA,5,0),0),
0,_xlfn.ANCHORARRAY(P97)*(1+_xlfn.ANCHORARRAY($D97))+SUMIF($BT:$BT,Q$3&amp;$B$20&amp;_xlfn.ANCHORARRAY($B97),$CA:$CA),
1,VLOOKUP(Q$3&amp;$B$20&amp;_xlfn.ANCHORARRAY($B97),$BT:$CA,6,0),
2,_xlfn.ANCHORARRAY(P97)*(1+_xlfn.ANCHORARRAY($D97))*VLOOKUP(Q$3&amp;$B$20&amp;_xlfn.ANCHORARRAY($B97),$BT:$CA,7,0))</f>
        <v>0</v>
      </c>
      <c r="R97" s="59" cm="1">
        <f t="array" aca="1" ref="R97:R99" ca="1">_xlfn.SWITCH(IFERROR(VLOOKUP(R$3&amp;$B$20&amp;_xlfn.ANCHORARRAY($B97),$BT:$CA,5,0),0),
0,_xlfn.ANCHORARRAY(Q97)*(1+_xlfn.ANCHORARRAY($D97))+SUMIF($BT:$BT,R$3&amp;$B$20&amp;_xlfn.ANCHORARRAY($B97),$CA:$CA),
1,VLOOKUP(R$3&amp;$B$20&amp;_xlfn.ANCHORARRAY($B97),$BT:$CA,6,0),
2,_xlfn.ANCHORARRAY(Q97)*(1+_xlfn.ANCHORARRAY($D97))*VLOOKUP(R$3&amp;$B$20&amp;_xlfn.ANCHORARRAY($B97),$BT:$CA,7,0))</f>
        <v>0</v>
      </c>
      <c r="S97" s="59" cm="1">
        <f t="array" aca="1" ref="S97:S99" ca="1">_xlfn.SWITCH(IFERROR(VLOOKUP(S$3&amp;$B$20&amp;_xlfn.ANCHORARRAY($B97),$BT:$CA,5,0),0),
0,_xlfn.ANCHORARRAY(R97)*(1+_xlfn.ANCHORARRAY($D97))+SUMIF($BT:$BT,S$3&amp;$B$20&amp;_xlfn.ANCHORARRAY($B97),$CA:$CA),
1,VLOOKUP(S$3&amp;$B$20&amp;_xlfn.ANCHORARRAY($B97),$BT:$CA,6,0),
2,_xlfn.ANCHORARRAY(R97)*(1+_xlfn.ANCHORARRAY($D97))*VLOOKUP(S$3&amp;$B$20&amp;_xlfn.ANCHORARRAY($B97),$BT:$CA,7,0))</f>
        <v>0</v>
      </c>
      <c r="T97" s="59" cm="1">
        <f t="array" aca="1" ref="T97:T99" ca="1">_xlfn.SWITCH(IFERROR(VLOOKUP(T$3&amp;$B$20&amp;_xlfn.ANCHORARRAY($B97),$BT:$CA,5,0),0),
0,_xlfn.ANCHORARRAY(S97)*(1+_xlfn.ANCHORARRAY($D97))+SUMIF($BT:$BT,T$3&amp;$B$20&amp;_xlfn.ANCHORARRAY($B97),$CA:$CA),
1,VLOOKUP(T$3&amp;$B$20&amp;_xlfn.ANCHORARRAY($B97),$BT:$CA,6,0),
2,_xlfn.ANCHORARRAY(S97)*(1+_xlfn.ANCHORARRAY($D97))*VLOOKUP(T$3&amp;$B$20&amp;_xlfn.ANCHORARRAY($B97),$BT:$CA,7,0))</f>
        <v>0</v>
      </c>
      <c r="U97" s="59" cm="1">
        <f t="array" aca="1" ref="U97:U99" ca="1">_xlfn.SWITCH(IFERROR(VLOOKUP(U$3&amp;$B$20&amp;_xlfn.ANCHORARRAY($B97),$BT:$CA,5,0),0),
0,_xlfn.ANCHORARRAY(T97)*(1+_xlfn.ANCHORARRAY($D97))+SUMIF($BT:$BT,U$3&amp;$B$20&amp;_xlfn.ANCHORARRAY($B97),$CA:$CA),
1,VLOOKUP(U$3&amp;$B$20&amp;_xlfn.ANCHORARRAY($B97),$BT:$CA,6,0),
2,_xlfn.ANCHORARRAY(T97)*(1+_xlfn.ANCHORARRAY($D97))*VLOOKUP(U$3&amp;$B$20&amp;_xlfn.ANCHORARRAY($B97),$BT:$CA,7,0))</f>
        <v>0</v>
      </c>
      <c r="V97" s="59" cm="1">
        <f t="array" aca="1" ref="V97:V99" ca="1">_xlfn.SWITCH(IFERROR(VLOOKUP(V$3&amp;$B$20&amp;_xlfn.ANCHORARRAY($B97),$BT:$CA,5,0),0),
0,_xlfn.ANCHORARRAY(U97)*(1+_xlfn.ANCHORARRAY($D97))+SUMIF($BT:$BT,V$3&amp;$B$20&amp;_xlfn.ANCHORARRAY($B97),$CA:$CA),
1,VLOOKUP(V$3&amp;$B$20&amp;_xlfn.ANCHORARRAY($B97),$BT:$CA,6,0),
2,_xlfn.ANCHORARRAY(U97)*(1+_xlfn.ANCHORARRAY($D97))*VLOOKUP(V$3&amp;$B$20&amp;_xlfn.ANCHORARRAY($B97),$BT:$CA,7,0))</f>
        <v>0</v>
      </c>
      <c r="W97" s="59" cm="1">
        <f t="array" aca="1" ref="W97:W99" ca="1">_xlfn.SWITCH(IFERROR(VLOOKUP(W$3&amp;$B$20&amp;_xlfn.ANCHORARRAY($B97),$BT:$CA,5,0),0),
0,_xlfn.ANCHORARRAY(V97)*(1+_xlfn.ANCHORARRAY($D97))+SUMIF($BT:$BT,W$3&amp;$B$20&amp;_xlfn.ANCHORARRAY($B97),$CA:$CA),
1,VLOOKUP(W$3&amp;$B$20&amp;_xlfn.ANCHORARRAY($B97),$BT:$CA,6,0),
2,_xlfn.ANCHORARRAY(V97)*(1+_xlfn.ANCHORARRAY($D97))*VLOOKUP(W$3&amp;$B$20&amp;_xlfn.ANCHORARRAY($B97),$BT:$CA,7,0))</f>
        <v>0</v>
      </c>
      <c r="X97" s="59" cm="1">
        <f t="array" aca="1" ref="X97:X99" ca="1">_xlfn.SWITCH(IFERROR(VLOOKUP(X$3&amp;$B$20&amp;_xlfn.ANCHORARRAY($B97),$BT:$CA,5,0),0),
0,_xlfn.ANCHORARRAY(W97)*(1+_xlfn.ANCHORARRAY($D97))+SUMIF($BT:$BT,X$3&amp;$B$20&amp;_xlfn.ANCHORARRAY($B97),$CA:$CA),
1,VLOOKUP(X$3&amp;$B$20&amp;_xlfn.ANCHORARRAY($B97),$BT:$CA,6,0),
2,_xlfn.ANCHORARRAY(W97)*(1+_xlfn.ANCHORARRAY($D97))*VLOOKUP(X$3&amp;$B$20&amp;_xlfn.ANCHORARRAY($B97),$BT:$CA,7,0))</f>
        <v>0</v>
      </c>
      <c r="Y97" s="59" cm="1">
        <f t="array" aca="1" ref="Y97:Y99" ca="1">_xlfn.SWITCH(IFERROR(VLOOKUP(Y$3&amp;$B$20&amp;_xlfn.ANCHORARRAY($B97),$BT:$CA,5,0),0),
0,_xlfn.ANCHORARRAY(X97)*(1+_xlfn.ANCHORARRAY($D97))+SUMIF($BT:$BT,Y$3&amp;$B$20&amp;_xlfn.ANCHORARRAY($B97),$CA:$CA),
1,VLOOKUP(Y$3&amp;$B$20&amp;_xlfn.ANCHORARRAY($B97),$BT:$CA,6,0),
2,_xlfn.ANCHORARRAY(X97)*(1+_xlfn.ANCHORARRAY($D97))*VLOOKUP(Y$3&amp;$B$20&amp;_xlfn.ANCHORARRAY($B97),$BT:$CA,7,0))</f>
        <v>0</v>
      </c>
      <c r="Z97" s="59" cm="1">
        <f t="array" aca="1" ref="Z97:Z99" ca="1">_xlfn.SWITCH(IFERROR(VLOOKUP(Z$3&amp;$B$20&amp;_xlfn.ANCHORARRAY($B97),$BT:$CA,5,0),0),
0,_xlfn.ANCHORARRAY(Y97)*(1+_xlfn.ANCHORARRAY($D97))+SUMIF($BT:$BT,Z$3&amp;$B$20&amp;_xlfn.ANCHORARRAY($B97),$CA:$CA),
1,VLOOKUP(Z$3&amp;$B$20&amp;_xlfn.ANCHORARRAY($B97),$BT:$CA,6,0),
2,_xlfn.ANCHORARRAY(Y97)*(1+_xlfn.ANCHORARRAY($D97))*VLOOKUP(Z$3&amp;$B$20&amp;_xlfn.ANCHORARRAY($B97),$BT:$CA,7,0))</f>
        <v>0</v>
      </c>
      <c r="AA97" s="59" cm="1">
        <f t="array" aca="1" ref="AA97:AA99" ca="1">_xlfn.SWITCH(IFERROR(VLOOKUP(AA$3&amp;$B$20&amp;_xlfn.ANCHORARRAY($B97),$BT:$CA,5,0),0),
0,_xlfn.ANCHORARRAY(Z97)*(1+_xlfn.ANCHORARRAY($D97))+SUMIF($BT:$BT,AA$3&amp;$B$20&amp;_xlfn.ANCHORARRAY($B97),$CA:$CA),
1,VLOOKUP(AA$3&amp;$B$20&amp;_xlfn.ANCHORARRAY($B97),$BT:$CA,6,0),
2,_xlfn.ANCHORARRAY(Z97)*(1+_xlfn.ANCHORARRAY($D97))*VLOOKUP(AA$3&amp;$B$20&amp;_xlfn.ANCHORARRAY($B97),$BT:$CA,7,0))</f>
        <v>0</v>
      </c>
      <c r="AB97" s="59" cm="1">
        <f t="array" aca="1" ref="AB97:AB99" ca="1">_xlfn.SWITCH(IFERROR(VLOOKUP(AB$3&amp;$B$20&amp;_xlfn.ANCHORARRAY($B97),$BT:$CA,5,0),0),
0,_xlfn.ANCHORARRAY(AA97)*(1+_xlfn.ANCHORARRAY($D97))+SUMIF($BT:$BT,AB$3&amp;$B$20&amp;_xlfn.ANCHORARRAY($B97),$CA:$CA),
1,VLOOKUP(AB$3&amp;$B$20&amp;_xlfn.ANCHORARRAY($B97),$BT:$CA,6,0),
2,_xlfn.ANCHORARRAY(AA97)*(1+_xlfn.ANCHORARRAY($D97))*VLOOKUP(AB$3&amp;$B$20&amp;_xlfn.ANCHORARRAY($B97),$BT:$CA,7,0))</f>
        <v>0</v>
      </c>
      <c r="AC97" s="59" cm="1">
        <f t="array" aca="1" ref="AC97:AC99" ca="1">_xlfn.SWITCH(IFERROR(VLOOKUP(AC$3&amp;$B$20&amp;_xlfn.ANCHORARRAY($B97),$BT:$CA,5,0),0),
0,_xlfn.ANCHORARRAY(AB97)*(1+_xlfn.ANCHORARRAY($D97))+SUMIF($BT:$BT,AC$3&amp;$B$20&amp;_xlfn.ANCHORARRAY($B97),$CA:$CA),
1,VLOOKUP(AC$3&amp;$B$20&amp;_xlfn.ANCHORARRAY($B97),$BT:$CA,6,0),
2,_xlfn.ANCHORARRAY(AB97)*(1+_xlfn.ANCHORARRAY($D97))*VLOOKUP(AC$3&amp;$B$20&amp;_xlfn.ANCHORARRAY($B97),$BT:$CA,7,0))</f>
        <v>0</v>
      </c>
      <c r="AD97" s="59" cm="1">
        <f t="array" aca="1" ref="AD97:AD99" ca="1">_xlfn.SWITCH(IFERROR(VLOOKUP(AD$3&amp;$B$20&amp;_xlfn.ANCHORARRAY($B97),$BT:$CA,5,0),0),
0,_xlfn.ANCHORARRAY(AC97)*(1+_xlfn.ANCHORARRAY($D97))+SUMIF($BT:$BT,AD$3&amp;$B$20&amp;_xlfn.ANCHORARRAY($B97),$CA:$CA),
1,VLOOKUP(AD$3&amp;$B$20&amp;_xlfn.ANCHORARRAY($B97),$BT:$CA,6,0),
2,_xlfn.ANCHORARRAY(AC97)*(1+_xlfn.ANCHORARRAY($D97))*VLOOKUP(AD$3&amp;$B$20&amp;_xlfn.ANCHORARRAY($B97),$BT:$CA,7,0))</f>
        <v>0</v>
      </c>
      <c r="AE97" s="59" cm="1">
        <f t="array" aca="1" ref="AE97:AE99" ca="1">_xlfn.SWITCH(IFERROR(VLOOKUP(AE$3&amp;$B$20&amp;_xlfn.ANCHORARRAY($B97),$BT:$CA,5,0),0),
0,_xlfn.ANCHORARRAY(AD97)*(1+_xlfn.ANCHORARRAY($D97))+SUMIF($BT:$BT,AE$3&amp;$B$20&amp;_xlfn.ANCHORARRAY($B97),$CA:$CA),
1,VLOOKUP(AE$3&amp;$B$20&amp;_xlfn.ANCHORARRAY($B97),$BT:$CA,6,0),
2,_xlfn.ANCHORARRAY(AD97)*(1+_xlfn.ANCHORARRAY($D97))*VLOOKUP(AE$3&amp;$B$20&amp;_xlfn.ANCHORARRAY($B97),$BT:$CA,7,0))</f>
        <v>0</v>
      </c>
      <c r="AF97" s="59" cm="1">
        <f t="array" aca="1" ref="AF97:AF99" ca="1">_xlfn.SWITCH(IFERROR(VLOOKUP(AF$3&amp;$B$20&amp;_xlfn.ANCHORARRAY($B97),$BT:$CA,5,0),0),
0,_xlfn.ANCHORARRAY(AE97)*(1+_xlfn.ANCHORARRAY($D97))+SUMIF($BT:$BT,AF$3&amp;$B$20&amp;_xlfn.ANCHORARRAY($B97),$CA:$CA),
1,VLOOKUP(AF$3&amp;$B$20&amp;_xlfn.ANCHORARRAY($B97),$BT:$CA,6,0),
2,_xlfn.ANCHORARRAY(AE97)*(1+_xlfn.ANCHORARRAY($D97))*VLOOKUP(AF$3&amp;$B$20&amp;_xlfn.ANCHORARRAY($B97),$BT:$CA,7,0))</f>
        <v>0</v>
      </c>
      <c r="AG97" s="59" cm="1">
        <f t="array" aca="1" ref="AG97:AG99" ca="1">_xlfn.SWITCH(IFERROR(VLOOKUP(AG$3&amp;$B$20&amp;_xlfn.ANCHORARRAY($B97),$BT:$CA,5,0),0),
0,_xlfn.ANCHORARRAY(AF97)*(1+_xlfn.ANCHORARRAY($D97))+SUMIF($BT:$BT,AG$3&amp;$B$20&amp;_xlfn.ANCHORARRAY($B97),$CA:$CA),
1,VLOOKUP(AG$3&amp;$B$20&amp;_xlfn.ANCHORARRAY($B97),$BT:$CA,6,0),
2,_xlfn.ANCHORARRAY(AF97)*(1+_xlfn.ANCHORARRAY($D97))*VLOOKUP(AG$3&amp;$B$20&amp;_xlfn.ANCHORARRAY($B97),$BT:$CA,7,0))</f>
        <v>0</v>
      </c>
      <c r="AH97" s="59" cm="1">
        <f t="array" aca="1" ref="AH97:AH99" ca="1">_xlfn.SWITCH(IFERROR(VLOOKUP(AH$3&amp;$B$20&amp;_xlfn.ANCHORARRAY($B97),$BT:$CA,5,0),0),
0,_xlfn.ANCHORARRAY(AG97)*(1+_xlfn.ANCHORARRAY($D97))+SUMIF($BT:$BT,AH$3&amp;$B$20&amp;_xlfn.ANCHORARRAY($B97),$CA:$CA),
1,VLOOKUP(AH$3&amp;$B$20&amp;_xlfn.ANCHORARRAY($B97),$BT:$CA,6,0),
2,_xlfn.ANCHORARRAY(AG97)*(1+_xlfn.ANCHORARRAY($D97))*VLOOKUP(AH$3&amp;$B$20&amp;_xlfn.ANCHORARRAY($B97),$BT:$CA,7,0))</f>
        <v>0</v>
      </c>
      <c r="AI97" s="59" cm="1">
        <f t="array" aca="1" ref="AI97:AI99" ca="1">_xlfn.SWITCH(IFERROR(VLOOKUP(AI$3&amp;$B$20&amp;_xlfn.ANCHORARRAY($B97),$BT:$CA,5,0),0),
0,_xlfn.ANCHORARRAY(AH97)*(1+_xlfn.ANCHORARRAY($D97))+SUMIF($BT:$BT,AI$3&amp;$B$20&amp;_xlfn.ANCHORARRAY($B97),$CA:$CA),
1,VLOOKUP(AI$3&amp;$B$20&amp;_xlfn.ANCHORARRAY($B97),$BT:$CA,6,0),
2,_xlfn.ANCHORARRAY(AH97)*(1+_xlfn.ANCHORARRAY($D97))*VLOOKUP(AI$3&amp;$B$20&amp;_xlfn.ANCHORARRAY($B97),$BT:$CA,7,0))</f>
        <v>0</v>
      </c>
      <c r="AJ97" s="59" cm="1">
        <f t="array" aca="1" ref="AJ97:AJ99" ca="1">_xlfn.SWITCH(IFERROR(VLOOKUP(AJ$3&amp;$B$20&amp;_xlfn.ANCHORARRAY($B97),$BT:$CA,5,0),0),
0,_xlfn.ANCHORARRAY(AI97)*(1+_xlfn.ANCHORARRAY($D97))+SUMIF($BT:$BT,AJ$3&amp;$B$20&amp;_xlfn.ANCHORARRAY($B97),$CA:$CA),
1,VLOOKUP(AJ$3&amp;$B$20&amp;_xlfn.ANCHORARRAY($B97),$BT:$CA,6,0),
2,_xlfn.ANCHORARRAY(AI97)*(1+_xlfn.ANCHORARRAY($D97))*VLOOKUP(AJ$3&amp;$B$20&amp;_xlfn.ANCHORARRAY($B97),$BT:$CA,7,0))</f>
        <v>0</v>
      </c>
      <c r="AK97" s="59" cm="1">
        <f t="array" aca="1" ref="AK97:AK99" ca="1">_xlfn.SWITCH(IFERROR(VLOOKUP(AK$3&amp;$B$20&amp;_xlfn.ANCHORARRAY($B97),$BT:$CA,5,0),0),
0,_xlfn.ANCHORARRAY(AJ97)*(1+_xlfn.ANCHORARRAY($D97))+SUMIF($BT:$BT,AK$3&amp;$B$20&amp;_xlfn.ANCHORARRAY($B97),$CA:$CA),
1,VLOOKUP(AK$3&amp;$B$20&amp;_xlfn.ANCHORARRAY($B97),$BT:$CA,6,0),
2,_xlfn.ANCHORARRAY(AJ97)*(1+_xlfn.ANCHORARRAY($D97))*VLOOKUP(AK$3&amp;$B$20&amp;_xlfn.ANCHORARRAY($B97),$BT:$CA,7,0))</f>
        <v>0</v>
      </c>
      <c r="AL97" s="59" cm="1">
        <f t="array" aca="1" ref="AL97:AL99" ca="1">_xlfn.SWITCH(IFERROR(VLOOKUP(AL$3&amp;$B$20&amp;_xlfn.ANCHORARRAY($B97),$BT:$CA,5,0),0),
0,_xlfn.ANCHORARRAY(AK97)*(1+_xlfn.ANCHORARRAY($D97))+SUMIF($BT:$BT,AL$3&amp;$B$20&amp;_xlfn.ANCHORARRAY($B97),$CA:$CA),
1,VLOOKUP(AL$3&amp;$B$20&amp;_xlfn.ANCHORARRAY($B97),$BT:$CA,6,0),
2,_xlfn.ANCHORARRAY(AK97)*(1+_xlfn.ANCHORARRAY($D97))*VLOOKUP(AL$3&amp;$B$20&amp;_xlfn.ANCHORARRAY($B97),$BT:$CA,7,0))</f>
        <v>0</v>
      </c>
      <c r="AM97" s="59" cm="1">
        <f t="array" aca="1" ref="AM97:AM99" ca="1">_xlfn.SWITCH(IFERROR(VLOOKUP(AM$3&amp;$B$20&amp;_xlfn.ANCHORARRAY($B97),$BT:$CA,5,0),0),
0,_xlfn.ANCHORARRAY(AL97)*(1+_xlfn.ANCHORARRAY($D97))+SUMIF($BT:$BT,AM$3&amp;$B$20&amp;_xlfn.ANCHORARRAY($B97),$CA:$CA),
1,VLOOKUP(AM$3&amp;$B$20&amp;_xlfn.ANCHORARRAY($B97),$BT:$CA,6,0),
2,_xlfn.ANCHORARRAY(AL97)*(1+_xlfn.ANCHORARRAY($D97))*VLOOKUP(AM$3&amp;$B$20&amp;_xlfn.ANCHORARRAY($B97),$BT:$CA,7,0))</f>
        <v>0</v>
      </c>
      <c r="AN97" s="59" cm="1">
        <f t="array" aca="1" ref="AN97:AN99" ca="1">_xlfn.SWITCH(IFERROR(VLOOKUP(AN$3&amp;$B$20&amp;_xlfn.ANCHORARRAY($B97),$BT:$CA,5,0),0),
0,_xlfn.ANCHORARRAY(AM97)*(1+_xlfn.ANCHORARRAY($D97))+SUMIF($BT:$BT,AN$3&amp;$B$20&amp;_xlfn.ANCHORARRAY($B97),$CA:$CA),
1,VLOOKUP(AN$3&amp;$B$20&amp;_xlfn.ANCHORARRAY($B97),$BT:$CA,6,0),
2,_xlfn.ANCHORARRAY(AM97)*(1+_xlfn.ANCHORARRAY($D97))*VLOOKUP(AN$3&amp;$B$20&amp;_xlfn.ANCHORARRAY($B97),$BT:$CA,7,0))</f>
        <v>0</v>
      </c>
      <c r="AO97" s="59" cm="1">
        <f t="array" aca="1" ref="AO97:AO99" ca="1">_xlfn.SWITCH(IFERROR(VLOOKUP(AO$3&amp;$B$20&amp;_xlfn.ANCHORARRAY($B97),$BT:$CA,5,0),0),
0,_xlfn.ANCHORARRAY(AN97)*(1+_xlfn.ANCHORARRAY($D97))+SUMIF($BT:$BT,AO$3&amp;$B$20&amp;_xlfn.ANCHORARRAY($B97),$CA:$CA),
1,VLOOKUP(AO$3&amp;$B$20&amp;_xlfn.ANCHORARRAY($B97),$BT:$CA,6,0),
2,_xlfn.ANCHORARRAY(AN97)*(1+_xlfn.ANCHORARRAY($D97))*VLOOKUP(AO$3&amp;$B$20&amp;_xlfn.ANCHORARRAY($B97),$BT:$CA,7,0))</f>
        <v>0</v>
      </c>
      <c r="AP97" s="59" cm="1">
        <f t="array" aca="1" ref="AP97:AP99" ca="1">_xlfn.SWITCH(IFERROR(VLOOKUP(AP$3&amp;$B$20&amp;_xlfn.ANCHORARRAY($B97),$BT:$CA,5,0),0),
0,_xlfn.ANCHORARRAY(AO97)*(1+_xlfn.ANCHORARRAY($D97))+SUMIF($BT:$BT,AP$3&amp;$B$20&amp;_xlfn.ANCHORARRAY($B97),$CA:$CA),
1,VLOOKUP(AP$3&amp;$B$20&amp;_xlfn.ANCHORARRAY($B97),$BT:$CA,6,0),
2,_xlfn.ANCHORARRAY(AO97)*(1+_xlfn.ANCHORARRAY($D97))*VLOOKUP(AP$3&amp;$B$20&amp;_xlfn.ANCHORARRAY($B97),$BT:$CA,7,0))</f>
        <v>0</v>
      </c>
      <c r="AQ97" s="59" cm="1">
        <f t="array" aca="1" ref="AQ97:AQ99" ca="1">_xlfn.SWITCH(IFERROR(VLOOKUP(AQ$3&amp;$B$20&amp;_xlfn.ANCHORARRAY($B97),$BT:$CA,5,0),0),
0,_xlfn.ANCHORARRAY(AP97)*(1+_xlfn.ANCHORARRAY($D97))+SUMIF($BT:$BT,AQ$3&amp;$B$20&amp;_xlfn.ANCHORARRAY($B97),$CA:$CA),
1,VLOOKUP(AQ$3&amp;$B$20&amp;_xlfn.ANCHORARRAY($B97),$BT:$CA,6,0),
2,_xlfn.ANCHORARRAY(AP97)*(1+_xlfn.ANCHORARRAY($D97))*VLOOKUP(AQ$3&amp;$B$20&amp;_xlfn.ANCHORARRAY($B97),$BT:$CA,7,0))</f>
        <v>0</v>
      </c>
      <c r="AR97" s="59" cm="1">
        <f t="array" aca="1" ref="AR97:AR99" ca="1">_xlfn.SWITCH(IFERROR(VLOOKUP(AR$3&amp;$B$20&amp;_xlfn.ANCHORARRAY($B97),$BT:$CA,5,0),0),
0,_xlfn.ANCHORARRAY(AQ97)*(1+_xlfn.ANCHORARRAY($D97))+SUMIF($BT:$BT,AR$3&amp;$B$20&amp;_xlfn.ANCHORARRAY($B97),$CA:$CA),
1,VLOOKUP(AR$3&amp;$B$20&amp;_xlfn.ANCHORARRAY($B97),$BT:$CA,6,0),
2,_xlfn.ANCHORARRAY(AQ97)*(1+_xlfn.ANCHORARRAY($D97))*VLOOKUP(AR$3&amp;$B$20&amp;_xlfn.ANCHORARRAY($B97),$BT:$CA,7,0))</f>
        <v>0</v>
      </c>
      <c r="AS97" s="59" cm="1">
        <f t="array" aca="1" ref="AS97:AS99" ca="1">_xlfn.SWITCH(IFERROR(VLOOKUP(AS$3&amp;$B$20&amp;_xlfn.ANCHORARRAY($B97),$BT:$CA,5,0),0),
0,_xlfn.ANCHORARRAY(AR97)*(1+_xlfn.ANCHORARRAY($D97))+SUMIF($BT:$BT,AS$3&amp;$B$20&amp;_xlfn.ANCHORARRAY($B97),$CA:$CA),
1,VLOOKUP(AS$3&amp;$B$20&amp;_xlfn.ANCHORARRAY($B97),$BT:$CA,6,0),
2,_xlfn.ANCHORARRAY(AR97)*(1+_xlfn.ANCHORARRAY($D97))*VLOOKUP(AS$3&amp;$B$20&amp;_xlfn.ANCHORARRAY($B97),$BT:$CA,7,0))</f>
        <v>0</v>
      </c>
      <c r="AT97" s="59" cm="1">
        <f t="array" aca="1" ref="AT97:AT99" ca="1">_xlfn.SWITCH(IFERROR(VLOOKUP(AT$3&amp;$B$20&amp;_xlfn.ANCHORARRAY($B97),$BT:$CA,5,0),0),
0,_xlfn.ANCHORARRAY(AS97)*(1+_xlfn.ANCHORARRAY($D97))+SUMIF($BT:$BT,AT$3&amp;$B$20&amp;_xlfn.ANCHORARRAY($B97),$CA:$CA),
1,VLOOKUP(AT$3&amp;$B$20&amp;_xlfn.ANCHORARRAY($B97),$BT:$CA,6,0),
2,_xlfn.ANCHORARRAY(AS97)*(1+_xlfn.ANCHORARRAY($D97))*VLOOKUP(AT$3&amp;$B$20&amp;_xlfn.ANCHORARRAY($B97),$BT:$CA,7,0))</f>
        <v>0</v>
      </c>
      <c r="AU97" s="59" cm="1">
        <f t="array" aca="1" ref="AU97:AU99" ca="1">_xlfn.SWITCH(IFERROR(VLOOKUP(AU$3&amp;$B$20&amp;_xlfn.ANCHORARRAY($B97),$BT:$CA,5,0),0),
0,_xlfn.ANCHORARRAY(AT97)*(1+_xlfn.ANCHORARRAY($D97))+SUMIF($BT:$BT,AU$3&amp;$B$20&amp;_xlfn.ANCHORARRAY($B97),$CA:$CA),
1,VLOOKUP(AU$3&amp;$B$20&amp;_xlfn.ANCHORARRAY($B97),$BT:$CA,6,0),
2,_xlfn.ANCHORARRAY(AT97)*(1+_xlfn.ANCHORARRAY($D97))*VLOOKUP(AU$3&amp;$B$20&amp;_xlfn.ANCHORARRAY($B97),$BT:$CA,7,0))</f>
        <v>0</v>
      </c>
      <c r="AV97" s="59" cm="1">
        <f t="array" aca="1" ref="AV97:AV99" ca="1">_xlfn.SWITCH(IFERROR(VLOOKUP(AV$3&amp;$B$20&amp;_xlfn.ANCHORARRAY($B97),$BT:$CA,5,0),0),
0,_xlfn.ANCHORARRAY(AU97)*(1+_xlfn.ANCHORARRAY($D97))+SUMIF($BT:$BT,AV$3&amp;$B$20&amp;_xlfn.ANCHORARRAY($B97),$CA:$CA),
1,VLOOKUP(AV$3&amp;$B$20&amp;_xlfn.ANCHORARRAY($B97),$BT:$CA,6,0),
2,_xlfn.ANCHORARRAY(AU97)*(1+_xlfn.ANCHORARRAY($D97))*VLOOKUP(AV$3&amp;$B$20&amp;_xlfn.ANCHORARRAY($B97),$BT:$CA,7,0))</f>
        <v>0</v>
      </c>
      <c r="AW97" s="59" cm="1">
        <f t="array" aca="1" ref="AW97:AW99" ca="1">_xlfn.SWITCH(IFERROR(VLOOKUP(AW$3&amp;$B$20&amp;_xlfn.ANCHORARRAY($B97),$BT:$CA,5,0),0),
0,_xlfn.ANCHORARRAY(AV97)*(1+_xlfn.ANCHORARRAY($D97))+SUMIF($BT:$BT,AW$3&amp;$B$20&amp;_xlfn.ANCHORARRAY($B97),$CA:$CA),
1,VLOOKUP(AW$3&amp;$B$20&amp;_xlfn.ANCHORARRAY($B97),$BT:$CA,6,0),
2,_xlfn.ANCHORARRAY(AV97)*(1+_xlfn.ANCHORARRAY($D97))*VLOOKUP(AW$3&amp;$B$20&amp;_xlfn.ANCHORARRAY($B97),$BT:$CA,7,0))</f>
        <v>0</v>
      </c>
      <c r="AX97" s="59" cm="1">
        <f t="array" aca="1" ref="AX97:AX99" ca="1">_xlfn.SWITCH(IFERROR(VLOOKUP(AX$3&amp;$B$20&amp;_xlfn.ANCHORARRAY($B97),$BT:$CA,5,0),0),
0,_xlfn.ANCHORARRAY(AW97)*(1+_xlfn.ANCHORARRAY($D97))+SUMIF($BT:$BT,AX$3&amp;$B$20&amp;_xlfn.ANCHORARRAY($B97),$CA:$CA),
1,VLOOKUP(AX$3&amp;$B$20&amp;_xlfn.ANCHORARRAY($B97),$BT:$CA,6,0),
2,_xlfn.ANCHORARRAY(AW97)*(1+_xlfn.ANCHORARRAY($D97))*VLOOKUP(AX$3&amp;$B$20&amp;_xlfn.ANCHORARRAY($B97),$BT:$CA,7,0))</f>
        <v>0</v>
      </c>
      <c r="AY97" s="59" cm="1">
        <f t="array" aca="1" ref="AY97:AY99" ca="1">_xlfn.SWITCH(IFERROR(VLOOKUP(AY$3&amp;$B$20&amp;_xlfn.ANCHORARRAY($B97),$BT:$CA,5,0),0),
0,_xlfn.ANCHORARRAY(AX97)*(1+_xlfn.ANCHORARRAY($D97))+SUMIF($BT:$BT,AY$3&amp;$B$20&amp;_xlfn.ANCHORARRAY($B97),$CA:$CA),
1,VLOOKUP(AY$3&amp;$B$20&amp;_xlfn.ANCHORARRAY($B97),$BT:$CA,6,0),
2,_xlfn.ANCHORARRAY(AX97)*(1+_xlfn.ANCHORARRAY($D97))*VLOOKUP(AY$3&amp;$B$20&amp;_xlfn.ANCHORARRAY($B97),$BT:$CA,7,0))</f>
        <v>0</v>
      </c>
      <c r="AZ97" s="59" cm="1">
        <f t="array" aca="1" ref="AZ97:AZ99" ca="1">_xlfn.SWITCH(IFERROR(VLOOKUP(AZ$3&amp;$B$20&amp;_xlfn.ANCHORARRAY($B97),$BT:$CA,5,0),0),
0,_xlfn.ANCHORARRAY(AY97)*(1+_xlfn.ANCHORARRAY($D97))+SUMIF($BT:$BT,AZ$3&amp;$B$20&amp;_xlfn.ANCHORARRAY($B97),$CA:$CA),
1,VLOOKUP(AZ$3&amp;$B$20&amp;_xlfn.ANCHORARRAY($B97),$BT:$CA,6,0),
2,_xlfn.ANCHORARRAY(AY97)*(1+_xlfn.ANCHORARRAY($D97))*VLOOKUP(AZ$3&amp;$B$20&amp;_xlfn.ANCHORARRAY($B97),$BT:$CA,7,0))</f>
        <v>0</v>
      </c>
      <c r="BA97" s="59" cm="1">
        <f t="array" aca="1" ref="BA97:BA99" ca="1">_xlfn.SWITCH(IFERROR(VLOOKUP(BA$3&amp;$B$20&amp;_xlfn.ANCHORARRAY($B97),$BT:$CA,5,0),0),
0,_xlfn.ANCHORARRAY(AZ97)*(1+_xlfn.ANCHORARRAY($D97))+SUMIF($BT:$BT,BA$3&amp;$B$20&amp;_xlfn.ANCHORARRAY($B97),$CA:$CA),
1,VLOOKUP(BA$3&amp;$B$20&amp;_xlfn.ANCHORARRAY($B97),$BT:$CA,6,0),
2,_xlfn.ANCHORARRAY(AZ97)*(1+_xlfn.ANCHORARRAY($D97))*VLOOKUP(BA$3&amp;$B$20&amp;_xlfn.ANCHORARRAY($B97),$BT:$CA,7,0))</f>
        <v>0</v>
      </c>
      <c r="BS97" s="5">
        <f t="shared" si="31"/>
        <v>-1</v>
      </c>
      <c r="BT97" s="5"/>
      <c r="CD97" s="5" t="e">
        <f t="shared" ca="1" si="26"/>
        <v>#REF!</v>
      </c>
      <c r="CE97" s="5" t="e">
        <f t="shared" ca="1" si="27"/>
        <v>#REF!</v>
      </c>
      <c r="CF97" s="5" t="e">
        <f t="shared" ca="1" si="25"/>
        <v>#REF!</v>
      </c>
      <c r="CG97" s="5"/>
    </row>
    <row r="98" spans="1:85" x14ac:dyDescent="0.25">
      <c r="A98" s="57" t="str">
        <f ca="1"/>
        <v>Säule 3a Beitrag</v>
      </c>
      <c r="B98" s="57">
        <f ca="1"/>
        <v>6</v>
      </c>
      <c r="C98" s="53" t="str">
        <f ca="1"/>
        <v>Amy</v>
      </c>
      <c r="D98" s="54">
        <f ca="1"/>
        <v>0</v>
      </c>
      <c r="E98" s="54"/>
      <c r="F98" s="59">
        <f ca="1"/>
        <v>-7056</v>
      </c>
      <c r="G98" s="59">
        <f ca="1"/>
        <v>-7056</v>
      </c>
      <c r="H98" s="59">
        <f ca="1"/>
        <v>-7056</v>
      </c>
      <c r="I98" s="59">
        <f ca="1"/>
        <v>-7056</v>
      </c>
      <c r="J98" s="59">
        <f ca="1"/>
        <v>-7056</v>
      </c>
      <c r="K98" s="59">
        <f ca="1"/>
        <v>-7056</v>
      </c>
      <c r="L98" s="59">
        <f ca="1"/>
        <v>-5600</v>
      </c>
      <c r="M98" s="59">
        <f ca="1"/>
        <v>-2800</v>
      </c>
      <c r="N98" s="59">
        <f ca="1"/>
        <v>0</v>
      </c>
      <c r="O98" s="59">
        <f ca="1"/>
        <v>0</v>
      </c>
      <c r="P98" s="59">
        <f ca="1"/>
        <v>0</v>
      </c>
      <c r="Q98" s="59">
        <f ca="1"/>
        <v>0</v>
      </c>
      <c r="R98" s="59">
        <f ca="1"/>
        <v>0</v>
      </c>
      <c r="S98" s="59">
        <f ca="1"/>
        <v>0</v>
      </c>
      <c r="T98" s="59">
        <f ca="1"/>
        <v>0</v>
      </c>
      <c r="U98" s="59">
        <f ca="1"/>
        <v>0</v>
      </c>
      <c r="V98" s="59">
        <f ca="1"/>
        <v>0</v>
      </c>
      <c r="W98" s="59">
        <f ca="1"/>
        <v>0</v>
      </c>
      <c r="X98" s="59">
        <f ca="1"/>
        <v>0</v>
      </c>
      <c r="Y98" s="59">
        <f ca="1"/>
        <v>0</v>
      </c>
      <c r="Z98" s="59">
        <f ca="1"/>
        <v>0</v>
      </c>
      <c r="AA98" s="59">
        <f ca="1"/>
        <v>0</v>
      </c>
      <c r="AB98" s="59">
        <f ca="1"/>
        <v>0</v>
      </c>
      <c r="AC98" s="59">
        <f ca="1"/>
        <v>0</v>
      </c>
      <c r="AD98" s="59">
        <f ca="1"/>
        <v>0</v>
      </c>
      <c r="AE98" s="59">
        <f ca="1"/>
        <v>0</v>
      </c>
      <c r="AF98" s="59">
        <f ca="1"/>
        <v>0</v>
      </c>
      <c r="AG98" s="59">
        <f ca="1"/>
        <v>0</v>
      </c>
      <c r="AH98" s="59">
        <f ca="1"/>
        <v>0</v>
      </c>
      <c r="AI98" s="59">
        <f ca="1"/>
        <v>0</v>
      </c>
      <c r="AJ98" s="59">
        <f ca="1"/>
        <v>0</v>
      </c>
      <c r="AK98" s="59">
        <f ca="1"/>
        <v>0</v>
      </c>
      <c r="AL98" s="59">
        <f ca="1"/>
        <v>0</v>
      </c>
      <c r="AM98" s="59">
        <f ca="1"/>
        <v>0</v>
      </c>
      <c r="AN98" s="59">
        <f ca="1"/>
        <v>0</v>
      </c>
      <c r="AO98" s="59">
        <f ca="1"/>
        <v>0</v>
      </c>
      <c r="AP98" s="59">
        <f ca="1"/>
        <v>0</v>
      </c>
      <c r="AQ98" s="59">
        <f ca="1"/>
        <v>0</v>
      </c>
      <c r="AR98" s="59">
        <f ca="1"/>
        <v>0</v>
      </c>
      <c r="AS98" s="59">
        <f ca="1"/>
        <v>0</v>
      </c>
      <c r="AT98" s="59">
        <f ca="1"/>
        <v>0</v>
      </c>
      <c r="AU98" s="59">
        <f ca="1"/>
        <v>0</v>
      </c>
      <c r="AV98" s="59">
        <f ca="1"/>
        <v>0</v>
      </c>
      <c r="AW98" s="59">
        <f ca="1"/>
        <v>0</v>
      </c>
      <c r="AX98" s="59">
        <f ca="1"/>
        <v>0</v>
      </c>
      <c r="AY98" s="59">
        <f ca="1"/>
        <v>0</v>
      </c>
      <c r="AZ98" s="59">
        <f ca="1"/>
        <v>0</v>
      </c>
      <c r="BA98" s="59">
        <f ca="1"/>
        <v>0</v>
      </c>
      <c r="BS98" s="5">
        <f t="shared" si="31"/>
        <v>-1</v>
      </c>
      <c r="BT98" s="5"/>
      <c r="CD98" s="5" t="e">
        <f t="shared" ca="1" si="26"/>
        <v>#REF!</v>
      </c>
      <c r="CE98" s="5" t="e">
        <f t="shared" ca="1" si="27"/>
        <v>#REF!</v>
      </c>
      <c r="CF98" s="5" t="e">
        <f t="shared" ca="1" si="25"/>
        <v>#REF!</v>
      </c>
      <c r="CG98" s="5"/>
    </row>
    <row r="99" spans="1:85" x14ac:dyDescent="0.25">
      <c r="A99" s="57" t="str">
        <f ca="1"/>
        <v>Säule 3a Beitrag</v>
      </c>
      <c r="B99" s="57">
        <f ca="1"/>
        <v>5</v>
      </c>
      <c r="C99" s="53" t="str">
        <f ca="1"/>
        <v>Sheldon</v>
      </c>
      <c r="D99" s="54">
        <f ca="1"/>
        <v>0</v>
      </c>
      <c r="E99" s="54"/>
      <c r="F99" s="59">
        <f ca="1"/>
        <v>-7056</v>
      </c>
      <c r="G99" s="59">
        <f ca="1"/>
        <v>-7056</v>
      </c>
      <c r="H99" s="59">
        <f ca="1"/>
        <v>-7056</v>
      </c>
      <c r="I99" s="59">
        <f ca="1"/>
        <v>-7056</v>
      </c>
      <c r="J99" s="59">
        <f ca="1"/>
        <v>-7056</v>
      </c>
      <c r="K99" s="59">
        <f ca="1"/>
        <v>-7056</v>
      </c>
      <c r="L99" s="59">
        <f ca="1"/>
        <v>-7056</v>
      </c>
      <c r="M99" s="59">
        <f ca="1"/>
        <v>0</v>
      </c>
      <c r="N99" s="59">
        <f ca="1"/>
        <v>0</v>
      </c>
      <c r="O99" s="59">
        <f ca="1"/>
        <v>0</v>
      </c>
      <c r="P99" s="59">
        <f ca="1"/>
        <v>0</v>
      </c>
      <c r="Q99" s="59">
        <f ca="1"/>
        <v>0</v>
      </c>
      <c r="R99" s="59">
        <f ca="1"/>
        <v>0</v>
      </c>
      <c r="S99" s="59">
        <f ca="1"/>
        <v>0</v>
      </c>
      <c r="T99" s="59">
        <f ca="1"/>
        <v>0</v>
      </c>
      <c r="U99" s="59">
        <f ca="1"/>
        <v>0</v>
      </c>
      <c r="V99" s="59">
        <f ca="1"/>
        <v>0</v>
      </c>
      <c r="W99" s="59">
        <f ca="1"/>
        <v>0</v>
      </c>
      <c r="X99" s="59">
        <f ca="1"/>
        <v>0</v>
      </c>
      <c r="Y99" s="59">
        <f ca="1"/>
        <v>0</v>
      </c>
      <c r="Z99" s="59">
        <f ca="1"/>
        <v>0</v>
      </c>
      <c r="AA99" s="59">
        <f ca="1"/>
        <v>0</v>
      </c>
      <c r="AB99" s="59">
        <f ca="1"/>
        <v>0</v>
      </c>
      <c r="AC99" s="59">
        <f ca="1"/>
        <v>0</v>
      </c>
      <c r="AD99" s="59">
        <f ca="1"/>
        <v>0</v>
      </c>
      <c r="AE99" s="59">
        <f ca="1"/>
        <v>0</v>
      </c>
      <c r="AF99" s="59">
        <f ca="1"/>
        <v>0</v>
      </c>
      <c r="AG99" s="59">
        <f ca="1"/>
        <v>0</v>
      </c>
      <c r="AH99" s="59">
        <f ca="1"/>
        <v>0</v>
      </c>
      <c r="AI99" s="59">
        <f ca="1"/>
        <v>0</v>
      </c>
      <c r="AJ99" s="59">
        <f ca="1"/>
        <v>0</v>
      </c>
      <c r="AK99" s="59">
        <f ca="1"/>
        <v>0</v>
      </c>
      <c r="AL99" s="59">
        <f ca="1"/>
        <v>0</v>
      </c>
      <c r="AM99" s="59">
        <f ca="1"/>
        <v>0</v>
      </c>
      <c r="AN99" s="59">
        <f ca="1"/>
        <v>0</v>
      </c>
      <c r="AO99" s="59">
        <f ca="1"/>
        <v>0</v>
      </c>
      <c r="AP99" s="59">
        <f ca="1"/>
        <v>0</v>
      </c>
      <c r="AQ99" s="59">
        <f ca="1"/>
        <v>0</v>
      </c>
      <c r="AR99" s="59">
        <f ca="1"/>
        <v>0</v>
      </c>
      <c r="AS99" s="59">
        <f ca="1"/>
        <v>0</v>
      </c>
      <c r="AT99" s="59">
        <f ca="1"/>
        <v>0</v>
      </c>
      <c r="AU99" s="59">
        <f ca="1"/>
        <v>0</v>
      </c>
      <c r="AV99" s="59">
        <f ca="1"/>
        <v>0</v>
      </c>
      <c r="AW99" s="59">
        <f ca="1"/>
        <v>0</v>
      </c>
      <c r="AX99" s="59">
        <f ca="1"/>
        <v>0</v>
      </c>
      <c r="AY99" s="59">
        <f ca="1"/>
        <v>0</v>
      </c>
      <c r="AZ99" s="59">
        <f ca="1"/>
        <v>0</v>
      </c>
      <c r="BA99" s="59">
        <f ca="1"/>
        <v>0</v>
      </c>
      <c r="BS99" s="5">
        <f t="shared" si="31"/>
        <v>-1</v>
      </c>
      <c r="BT99" s="5"/>
      <c r="CD99" s="5" t="e">
        <f t="shared" ca="1" si="26"/>
        <v>#REF!</v>
      </c>
      <c r="CE99" s="5" t="e">
        <f t="shared" ca="1" si="27"/>
        <v>#REF!</v>
      </c>
      <c r="CF99" s="5" t="e">
        <f t="shared" ca="1" si="25"/>
        <v>#REF!</v>
      </c>
      <c r="CG99" s="5"/>
    </row>
    <row r="100" spans="1:85" hidden="1" x14ac:dyDescent="0.25">
      <c r="A100" s="57"/>
      <c r="B100" s="57"/>
      <c r="C100" s="53"/>
      <c r="D100" s="54"/>
      <c r="E100" s="54"/>
      <c r="F100" s="59"/>
      <c r="G100" s="59"/>
      <c r="H100" s="59"/>
      <c r="I100" s="59"/>
      <c r="J100" s="59"/>
      <c r="K100" s="59"/>
      <c r="L100" s="59"/>
      <c r="M100" s="59"/>
      <c r="N100" s="59"/>
      <c r="O100" s="59"/>
      <c r="P100" s="59"/>
      <c r="Q100" s="59"/>
      <c r="R100" s="59"/>
      <c r="S100" s="59"/>
      <c r="T100" s="59"/>
      <c r="U100" s="59"/>
      <c r="V100" s="59"/>
      <c r="W100" s="59"/>
      <c r="X100" s="59"/>
      <c r="Y100" s="59"/>
      <c r="Z100" s="59"/>
      <c r="AA100" s="59"/>
      <c r="AB100" s="59"/>
      <c r="AC100" s="59"/>
      <c r="AD100" s="59"/>
      <c r="AE100" s="59"/>
      <c r="AF100" s="59"/>
      <c r="AG100" s="59"/>
      <c r="AH100" s="59"/>
      <c r="AI100" s="59"/>
      <c r="AJ100" s="59"/>
      <c r="AK100" s="59"/>
      <c r="AL100" s="59"/>
      <c r="AM100" s="59"/>
      <c r="AN100" s="59"/>
      <c r="AO100" s="59"/>
      <c r="AP100" s="59"/>
      <c r="AQ100" s="59"/>
      <c r="AR100" s="59"/>
      <c r="AS100" s="59"/>
      <c r="AT100" s="59"/>
      <c r="AU100" s="59"/>
      <c r="AV100" s="59"/>
      <c r="AW100" s="59"/>
      <c r="AX100" s="59"/>
      <c r="AY100" s="59"/>
      <c r="AZ100" s="59"/>
      <c r="BA100" s="59"/>
      <c r="BS100" s="5">
        <f t="shared" si="31"/>
        <v>-1</v>
      </c>
      <c r="BT100" s="5"/>
      <c r="CD100" s="5" t="e">
        <f t="shared" ca="1" si="26"/>
        <v>#REF!</v>
      </c>
      <c r="CE100" s="5" t="e">
        <f t="shared" ca="1" si="27"/>
        <v>#REF!</v>
      </c>
      <c r="CF100" s="5" t="e">
        <f t="shared" ca="1" si="25"/>
        <v>#REF!</v>
      </c>
      <c r="CG100" s="5"/>
    </row>
    <row r="101" spans="1:85" hidden="1" x14ac:dyDescent="0.25">
      <c r="A101" s="57"/>
      <c r="B101" s="57"/>
      <c r="C101" s="53"/>
      <c r="D101" s="54"/>
      <c r="E101" s="54"/>
      <c r="F101" s="59"/>
      <c r="G101" s="59"/>
      <c r="H101" s="59"/>
      <c r="I101" s="59"/>
      <c r="J101" s="59"/>
      <c r="K101" s="59"/>
      <c r="L101" s="59"/>
      <c r="M101" s="59"/>
      <c r="N101" s="59"/>
      <c r="O101" s="59"/>
      <c r="P101" s="59"/>
      <c r="Q101" s="59"/>
      <c r="R101" s="59"/>
      <c r="S101" s="59"/>
      <c r="T101" s="59"/>
      <c r="U101" s="59"/>
      <c r="V101" s="59"/>
      <c r="W101" s="59"/>
      <c r="X101" s="59"/>
      <c r="Y101" s="59"/>
      <c r="Z101" s="59"/>
      <c r="AA101" s="59"/>
      <c r="AB101" s="59"/>
      <c r="AC101" s="59"/>
      <c r="AD101" s="59"/>
      <c r="AE101" s="59"/>
      <c r="AF101" s="59"/>
      <c r="AG101" s="59"/>
      <c r="AH101" s="59"/>
      <c r="AI101" s="59"/>
      <c r="AJ101" s="59"/>
      <c r="AK101" s="59"/>
      <c r="AL101" s="59"/>
      <c r="AM101" s="59"/>
      <c r="AN101" s="59"/>
      <c r="AO101" s="59"/>
      <c r="AP101" s="59"/>
      <c r="AQ101" s="59"/>
      <c r="AR101" s="59"/>
      <c r="AS101" s="59"/>
      <c r="AT101" s="59"/>
      <c r="AU101" s="59"/>
      <c r="AV101" s="59"/>
      <c r="AW101" s="59"/>
      <c r="AX101" s="59"/>
      <c r="AY101" s="59"/>
      <c r="AZ101" s="59"/>
      <c r="BA101" s="59"/>
      <c r="BS101" s="5">
        <f t="shared" si="31"/>
        <v>-1</v>
      </c>
      <c r="BT101" s="5"/>
      <c r="CD101" s="5" t="e">
        <f t="shared" ca="1" si="26"/>
        <v>#REF!</v>
      </c>
      <c r="CE101" s="5" t="e">
        <f t="shared" ca="1" si="27"/>
        <v>#REF!</v>
      </c>
      <c r="CF101" s="5" t="e">
        <f t="shared" ca="1" si="25"/>
        <v>#REF!</v>
      </c>
      <c r="CG101" s="5"/>
    </row>
    <row r="102" spans="1:85" hidden="1" x14ac:dyDescent="0.25">
      <c r="A102" s="57"/>
      <c r="B102" s="57"/>
      <c r="C102" s="53"/>
      <c r="D102" s="54"/>
      <c r="E102" s="54"/>
      <c r="F102" s="59"/>
      <c r="G102" s="59"/>
      <c r="H102" s="59"/>
      <c r="I102" s="59"/>
      <c r="J102" s="59"/>
      <c r="K102" s="59"/>
      <c r="L102" s="59"/>
      <c r="M102" s="59"/>
      <c r="N102" s="59"/>
      <c r="O102" s="59"/>
      <c r="P102" s="59"/>
      <c r="Q102" s="59"/>
      <c r="R102" s="59"/>
      <c r="S102" s="59"/>
      <c r="T102" s="59"/>
      <c r="U102" s="59"/>
      <c r="V102" s="59"/>
      <c r="W102" s="59"/>
      <c r="X102" s="59"/>
      <c r="Y102" s="59"/>
      <c r="Z102" s="59"/>
      <c r="AA102" s="59"/>
      <c r="AB102" s="59"/>
      <c r="AC102" s="59"/>
      <c r="AD102" s="59"/>
      <c r="AE102" s="59"/>
      <c r="AF102" s="59"/>
      <c r="AG102" s="59"/>
      <c r="AH102" s="59"/>
      <c r="AI102" s="59"/>
      <c r="AJ102" s="59"/>
      <c r="AK102" s="59"/>
      <c r="AL102" s="59"/>
      <c r="AM102" s="59"/>
      <c r="AN102" s="59"/>
      <c r="AO102" s="59"/>
      <c r="AP102" s="59"/>
      <c r="AQ102" s="59"/>
      <c r="AR102" s="59"/>
      <c r="AS102" s="59"/>
      <c r="AT102" s="59"/>
      <c r="AU102" s="59"/>
      <c r="AV102" s="59"/>
      <c r="AW102" s="59"/>
      <c r="AX102" s="59"/>
      <c r="AY102" s="59"/>
      <c r="AZ102" s="59"/>
      <c r="BA102" s="59"/>
      <c r="BS102" s="5">
        <f t="shared" si="31"/>
        <v>-1</v>
      </c>
      <c r="BT102" s="5"/>
      <c r="CD102" s="5" t="e">
        <f t="shared" ca="1" si="26"/>
        <v>#REF!</v>
      </c>
      <c r="CE102" s="5" t="e">
        <f t="shared" ca="1" si="27"/>
        <v>#REF!</v>
      </c>
      <c r="CF102" s="5" t="e">
        <f t="shared" ca="1" si="25"/>
        <v>#REF!</v>
      </c>
      <c r="CG102" s="5"/>
    </row>
    <row r="103" spans="1:85" hidden="1" x14ac:dyDescent="0.25">
      <c r="A103" s="57"/>
      <c r="B103" s="57"/>
      <c r="C103" s="53"/>
      <c r="D103" s="54"/>
      <c r="E103" s="63"/>
      <c r="F103" s="59"/>
      <c r="G103" s="59"/>
      <c r="H103" s="59"/>
      <c r="I103" s="59"/>
      <c r="J103" s="59"/>
      <c r="K103" s="59"/>
      <c r="L103" s="59"/>
      <c r="M103" s="59"/>
      <c r="N103" s="59"/>
      <c r="O103" s="59"/>
      <c r="P103" s="59"/>
      <c r="Q103" s="59"/>
      <c r="R103" s="59"/>
      <c r="S103" s="59"/>
      <c r="T103" s="59"/>
      <c r="U103" s="59"/>
      <c r="V103" s="59"/>
      <c r="W103" s="59"/>
      <c r="X103" s="59"/>
      <c r="Y103" s="59"/>
      <c r="Z103" s="59"/>
      <c r="AA103" s="59"/>
      <c r="AB103" s="59"/>
      <c r="AC103" s="59"/>
      <c r="AD103" s="59"/>
      <c r="AE103" s="59"/>
      <c r="AF103" s="59"/>
      <c r="AG103" s="59"/>
      <c r="AH103" s="59"/>
      <c r="AI103" s="59"/>
      <c r="AJ103" s="59"/>
      <c r="AK103" s="59"/>
      <c r="AL103" s="59"/>
      <c r="AM103" s="59"/>
      <c r="AN103" s="59"/>
      <c r="AO103" s="59"/>
      <c r="AP103" s="59"/>
      <c r="AQ103" s="59"/>
      <c r="AR103" s="59"/>
      <c r="AS103" s="59"/>
      <c r="AT103" s="59"/>
      <c r="AU103" s="59"/>
      <c r="AV103" s="59"/>
      <c r="AW103" s="59"/>
      <c r="AX103" s="59"/>
      <c r="AY103" s="59"/>
      <c r="AZ103" s="59"/>
      <c r="BA103" s="59"/>
      <c r="BS103" s="5">
        <f t="shared" si="31"/>
        <v>-1</v>
      </c>
      <c r="BT103" s="5"/>
      <c r="CD103" s="5" t="e">
        <f t="shared" ca="1" si="26"/>
        <v>#REF!</v>
      </c>
      <c r="CE103" s="5" t="e">
        <f t="shared" ca="1" si="27"/>
        <v>#REF!</v>
      </c>
      <c r="CF103" s="5" t="e">
        <f t="shared" ca="1" si="25"/>
        <v>#REF!</v>
      </c>
      <c r="CG103" s="5"/>
    </row>
    <row r="104" spans="1:85" hidden="1" x14ac:dyDescent="0.25">
      <c r="A104" s="57"/>
      <c r="B104" s="57"/>
      <c r="C104" s="53"/>
      <c r="D104" s="54"/>
      <c r="E104" s="63"/>
      <c r="F104" s="59"/>
      <c r="G104" s="59"/>
      <c r="H104" s="59"/>
      <c r="I104" s="59"/>
      <c r="J104" s="59"/>
      <c r="K104" s="59"/>
      <c r="L104" s="59"/>
      <c r="M104" s="59"/>
      <c r="N104" s="59"/>
      <c r="O104" s="59"/>
      <c r="P104" s="59"/>
      <c r="Q104" s="59"/>
      <c r="R104" s="59"/>
      <c r="S104" s="59"/>
      <c r="T104" s="59"/>
      <c r="U104" s="59"/>
      <c r="V104" s="59"/>
      <c r="W104" s="59"/>
      <c r="X104" s="59"/>
      <c r="Y104" s="59"/>
      <c r="Z104" s="59"/>
      <c r="AA104" s="59"/>
      <c r="AB104" s="59"/>
      <c r="AC104" s="59"/>
      <c r="AD104" s="59"/>
      <c r="AE104" s="59"/>
      <c r="AF104" s="59"/>
      <c r="AG104" s="59"/>
      <c r="AH104" s="59"/>
      <c r="AI104" s="59"/>
      <c r="AJ104" s="59"/>
      <c r="AK104" s="59"/>
      <c r="AL104" s="59"/>
      <c r="AM104" s="59"/>
      <c r="AN104" s="59"/>
      <c r="AO104" s="59"/>
      <c r="AP104" s="59"/>
      <c r="AQ104" s="59"/>
      <c r="AR104" s="59"/>
      <c r="AS104" s="59"/>
      <c r="AT104" s="59"/>
      <c r="AU104" s="59"/>
      <c r="AV104" s="59"/>
      <c r="AW104" s="59"/>
      <c r="AX104" s="59"/>
      <c r="AY104" s="59"/>
      <c r="AZ104" s="59"/>
      <c r="BA104" s="59"/>
      <c r="BS104" s="5">
        <f t="shared" si="31"/>
        <v>-1</v>
      </c>
      <c r="BT104" s="5" t="str">
        <f t="shared" ref="BT104:BT133" si="39">BU104&amp;BV104&amp;BW104</f>
        <v/>
      </c>
      <c r="CD104" s="5" t="e">
        <f t="shared" ca="1" si="26"/>
        <v>#REF!</v>
      </c>
      <c r="CE104" s="5" t="e">
        <f t="shared" ca="1" si="27"/>
        <v>#REF!</v>
      </c>
      <c r="CF104" s="5" t="e">
        <f t="shared" ca="1" si="25"/>
        <v>#REF!</v>
      </c>
      <c r="CG104" s="5"/>
    </row>
    <row r="105" spans="1:85" hidden="1" x14ac:dyDescent="0.25">
      <c r="A105" s="57"/>
      <c r="B105" s="57"/>
      <c r="C105" s="53"/>
      <c r="D105" s="54"/>
      <c r="E105" s="63"/>
      <c r="F105" s="59"/>
      <c r="G105" s="59"/>
      <c r="H105" s="59"/>
      <c r="I105" s="59"/>
      <c r="J105" s="59"/>
      <c r="K105" s="59"/>
      <c r="L105" s="59"/>
      <c r="M105" s="59"/>
      <c r="N105" s="59"/>
      <c r="O105" s="59"/>
      <c r="P105" s="59"/>
      <c r="Q105" s="59"/>
      <c r="R105" s="59"/>
      <c r="S105" s="59"/>
      <c r="T105" s="59"/>
      <c r="U105" s="59"/>
      <c r="V105" s="59"/>
      <c r="W105" s="59"/>
      <c r="X105" s="59"/>
      <c r="Y105" s="59"/>
      <c r="Z105" s="59"/>
      <c r="AA105" s="59"/>
      <c r="AB105" s="59"/>
      <c r="AC105" s="59"/>
      <c r="AD105" s="59"/>
      <c r="AE105" s="59"/>
      <c r="AF105" s="59"/>
      <c r="AG105" s="59"/>
      <c r="AH105" s="59"/>
      <c r="AI105" s="59"/>
      <c r="AJ105" s="59"/>
      <c r="AK105" s="59"/>
      <c r="AL105" s="59"/>
      <c r="AM105" s="59"/>
      <c r="AN105" s="59"/>
      <c r="AO105" s="59"/>
      <c r="AP105" s="59"/>
      <c r="AQ105" s="59"/>
      <c r="AR105" s="59"/>
      <c r="AS105" s="59"/>
      <c r="AT105" s="59"/>
      <c r="AU105" s="59"/>
      <c r="AV105" s="59"/>
      <c r="AW105" s="59"/>
      <c r="AX105" s="59"/>
      <c r="AY105" s="59"/>
      <c r="AZ105" s="59"/>
      <c r="BA105" s="59"/>
      <c r="BS105" s="5">
        <f t="shared" ref="BS105:BS134" si="40">COUNTIF(BT:BT,BT104)-1</f>
        <v>1048495</v>
      </c>
      <c r="BT105" s="5" t="str">
        <f t="shared" si="39"/>
        <v/>
      </c>
      <c r="CD105" s="5" t="e">
        <f t="shared" ca="1" si="26"/>
        <v>#REF!</v>
      </c>
      <c r="CE105" s="5" t="e">
        <f t="shared" ca="1" si="27"/>
        <v>#REF!</v>
      </c>
      <c r="CF105" s="5" t="e">
        <f t="shared" ca="1" si="25"/>
        <v>#REF!</v>
      </c>
      <c r="CG105" s="5"/>
    </row>
    <row r="106" spans="1:85" hidden="1" x14ac:dyDescent="0.25">
      <c r="A106" s="57"/>
      <c r="B106" s="57"/>
      <c r="C106" s="53"/>
      <c r="D106" s="54"/>
      <c r="E106" s="63"/>
      <c r="F106" s="59"/>
      <c r="G106" s="59"/>
      <c r="H106" s="59"/>
      <c r="I106" s="59"/>
      <c r="J106" s="59"/>
      <c r="K106" s="59"/>
      <c r="L106" s="59"/>
      <c r="M106" s="59"/>
      <c r="N106" s="59"/>
      <c r="O106" s="59"/>
      <c r="P106" s="59"/>
      <c r="Q106" s="59"/>
      <c r="R106" s="59"/>
      <c r="S106" s="59"/>
      <c r="T106" s="59"/>
      <c r="U106" s="59"/>
      <c r="V106" s="59"/>
      <c r="W106" s="59"/>
      <c r="X106" s="59"/>
      <c r="Y106" s="59"/>
      <c r="Z106" s="59"/>
      <c r="AA106" s="59"/>
      <c r="AB106" s="59"/>
      <c r="AC106" s="59"/>
      <c r="AD106" s="59"/>
      <c r="AE106" s="59"/>
      <c r="AF106" s="59"/>
      <c r="AG106" s="59"/>
      <c r="AH106" s="59"/>
      <c r="AI106" s="59"/>
      <c r="AJ106" s="59"/>
      <c r="AK106" s="59"/>
      <c r="AL106" s="59"/>
      <c r="AM106" s="59"/>
      <c r="AN106" s="59"/>
      <c r="AO106" s="59"/>
      <c r="AP106" s="59"/>
      <c r="AQ106" s="59"/>
      <c r="AR106" s="59"/>
      <c r="AS106" s="59"/>
      <c r="AT106" s="59"/>
      <c r="AU106" s="59"/>
      <c r="AV106" s="59"/>
      <c r="AW106" s="59"/>
      <c r="AX106" s="59"/>
      <c r="AY106" s="59"/>
      <c r="AZ106" s="59"/>
      <c r="BA106" s="59"/>
      <c r="BS106" s="5">
        <f t="shared" si="40"/>
        <v>1048495</v>
      </c>
      <c r="BT106" s="5" t="str">
        <f t="shared" si="39"/>
        <v/>
      </c>
      <c r="CD106" s="5" t="e">
        <f t="shared" ca="1" si="26"/>
        <v>#REF!</v>
      </c>
      <c r="CE106" s="5" t="e">
        <f t="shared" ca="1" si="27"/>
        <v>#REF!</v>
      </c>
      <c r="CF106" s="5" t="e">
        <f t="shared" ca="1" si="25"/>
        <v>#REF!</v>
      </c>
      <c r="CG106" s="5"/>
    </row>
    <row r="107" spans="1:85" hidden="1" x14ac:dyDescent="0.25">
      <c r="A107" s="57"/>
      <c r="B107" s="57"/>
      <c r="C107" s="53"/>
      <c r="D107" s="54"/>
      <c r="E107" s="63"/>
      <c r="F107" s="59"/>
      <c r="G107" s="59"/>
      <c r="H107" s="59"/>
      <c r="I107" s="59"/>
      <c r="J107" s="59"/>
      <c r="K107" s="59"/>
      <c r="L107" s="59"/>
      <c r="M107" s="59"/>
      <c r="N107" s="59"/>
      <c r="O107" s="59"/>
      <c r="P107" s="59"/>
      <c r="Q107" s="59"/>
      <c r="R107" s="59"/>
      <c r="S107" s="59"/>
      <c r="T107" s="59"/>
      <c r="U107" s="59"/>
      <c r="V107" s="59"/>
      <c r="W107" s="59"/>
      <c r="X107" s="59"/>
      <c r="Y107" s="59"/>
      <c r="Z107" s="59"/>
      <c r="AA107" s="59"/>
      <c r="AB107" s="59"/>
      <c r="AC107" s="59"/>
      <c r="AD107" s="59"/>
      <c r="AE107" s="59"/>
      <c r="AF107" s="59"/>
      <c r="AG107" s="59"/>
      <c r="AH107" s="59"/>
      <c r="AI107" s="59"/>
      <c r="AJ107" s="59"/>
      <c r="AK107" s="59"/>
      <c r="AL107" s="59"/>
      <c r="AM107" s="59"/>
      <c r="AN107" s="59"/>
      <c r="AO107" s="59"/>
      <c r="AP107" s="59"/>
      <c r="AQ107" s="59"/>
      <c r="AR107" s="59"/>
      <c r="AS107" s="59"/>
      <c r="AT107" s="59"/>
      <c r="AU107" s="59"/>
      <c r="AV107" s="59"/>
      <c r="AW107" s="59"/>
      <c r="AX107" s="59"/>
      <c r="AY107" s="59"/>
      <c r="AZ107" s="59"/>
      <c r="BA107" s="59"/>
      <c r="BS107" s="5">
        <f t="shared" si="40"/>
        <v>1048495</v>
      </c>
      <c r="BT107" s="5" t="str">
        <f t="shared" si="39"/>
        <v/>
      </c>
      <c r="CD107" s="5" t="e">
        <f t="shared" ca="1" si="26"/>
        <v>#REF!</v>
      </c>
      <c r="CE107" s="5" t="e">
        <f t="shared" ca="1" si="27"/>
        <v>#REF!</v>
      </c>
      <c r="CF107" s="5" t="e">
        <f t="shared" ca="1" si="25"/>
        <v>#REF!</v>
      </c>
      <c r="CG107" s="5"/>
    </row>
    <row r="108" spans="1:85" hidden="1" x14ac:dyDescent="0.25">
      <c r="A108" s="57"/>
      <c r="B108" s="57"/>
      <c r="C108" s="53"/>
      <c r="D108" s="54"/>
      <c r="E108" s="63"/>
      <c r="F108" s="59"/>
      <c r="G108" s="59"/>
      <c r="H108" s="59"/>
      <c r="I108" s="59"/>
      <c r="J108" s="59"/>
      <c r="K108" s="59"/>
      <c r="L108" s="59"/>
      <c r="M108" s="59"/>
      <c r="N108" s="59"/>
      <c r="O108" s="59"/>
      <c r="P108" s="59"/>
      <c r="Q108" s="59"/>
      <c r="R108" s="59"/>
      <c r="S108" s="59"/>
      <c r="T108" s="59"/>
      <c r="U108" s="59"/>
      <c r="V108" s="59"/>
      <c r="W108" s="59"/>
      <c r="X108" s="59"/>
      <c r="Y108" s="59"/>
      <c r="Z108" s="59"/>
      <c r="AA108" s="59"/>
      <c r="AB108" s="59"/>
      <c r="AC108" s="59"/>
      <c r="AD108" s="59"/>
      <c r="AE108" s="59"/>
      <c r="AF108" s="59"/>
      <c r="AG108" s="59"/>
      <c r="AH108" s="59"/>
      <c r="AI108" s="59"/>
      <c r="AJ108" s="59"/>
      <c r="AK108" s="59"/>
      <c r="AL108" s="59"/>
      <c r="AM108" s="59"/>
      <c r="AN108" s="59"/>
      <c r="AO108" s="59"/>
      <c r="AP108" s="59"/>
      <c r="AQ108" s="59"/>
      <c r="AR108" s="59"/>
      <c r="AS108" s="59"/>
      <c r="AT108" s="59"/>
      <c r="AU108" s="59"/>
      <c r="AV108" s="59"/>
      <c r="AW108" s="59"/>
      <c r="AX108" s="59"/>
      <c r="AY108" s="59"/>
      <c r="AZ108" s="59"/>
      <c r="BA108" s="59"/>
      <c r="BS108" s="5">
        <f t="shared" si="40"/>
        <v>1048495</v>
      </c>
      <c r="BT108" s="5" t="str">
        <f t="shared" si="39"/>
        <v/>
      </c>
      <c r="CD108" s="5" t="e">
        <f t="shared" ca="1" si="26"/>
        <v>#REF!</v>
      </c>
      <c r="CE108" s="5" t="e">
        <f t="shared" ca="1" si="27"/>
        <v>#REF!</v>
      </c>
      <c r="CF108" s="5" t="e">
        <f t="shared" ca="1" si="25"/>
        <v>#REF!</v>
      </c>
      <c r="CG108" s="5"/>
    </row>
    <row r="109" spans="1:85" hidden="1" x14ac:dyDescent="0.25">
      <c r="A109" s="57"/>
      <c r="B109" s="57"/>
      <c r="C109" s="53"/>
      <c r="D109" s="54"/>
      <c r="E109" s="63"/>
      <c r="F109" s="59"/>
      <c r="G109" s="59"/>
      <c r="H109" s="59"/>
      <c r="I109" s="59"/>
      <c r="J109" s="59"/>
      <c r="K109" s="59"/>
      <c r="L109" s="59"/>
      <c r="M109" s="59"/>
      <c r="N109" s="59"/>
      <c r="O109" s="59"/>
      <c r="P109" s="59"/>
      <c r="Q109" s="59"/>
      <c r="R109" s="59"/>
      <c r="S109" s="59"/>
      <c r="T109" s="59"/>
      <c r="U109" s="59"/>
      <c r="V109" s="59"/>
      <c r="W109" s="59"/>
      <c r="X109" s="59"/>
      <c r="Y109" s="59"/>
      <c r="Z109" s="59"/>
      <c r="AA109" s="59"/>
      <c r="AB109" s="59"/>
      <c r="AC109" s="59"/>
      <c r="AD109" s="59"/>
      <c r="AE109" s="59"/>
      <c r="AF109" s="59"/>
      <c r="AG109" s="59"/>
      <c r="AH109" s="59"/>
      <c r="AI109" s="59"/>
      <c r="AJ109" s="59"/>
      <c r="AK109" s="59"/>
      <c r="AL109" s="59"/>
      <c r="AM109" s="59"/>
      <c r="AN109" s="59"/>
      <c r="AO109" s="59"/>
      <c r="AP109" s="59"/>
      <c r="AQ109" s="59"/>
      <c r="AR109" s="59"/>
      <c r="AS109" s="59"/>
      <c r="AT109" s="59"/>
      <c r="AU109" s="59"/>
      <c r="AV109" s="59"/>
      <c r="AW109" s="59"/>
      <c r="AX109" s="59"/>
      <c r="AY109" s="59"/>
      <c r="AZ109" s="59"/>
      <c r="BA109" s="59"/>
      <c r="BS109" s="5">
        <f t="shared" si="40"/>
        <v>1048495</v>
      </c>
      <c r="BT109" s="5" t="str">
        <f t="shared" si="39"/>
        <v/>
      </c>
      <c r="CD109" s="5" t="e">
        <f t="shared" ca="1" si="26"/>
        <v>#REF!</v>
      </c>
      <c r="CE109" s="5" t="e">
        <f t="shared" ca="1" si="27"/>
        <v>#REF!</v>
      </c>
      <c r="CF109" s="5" t="e">
        <f t="shared" ca="1" si="25"/>
        <v>#REF!</v>
      </c>
      <c r="CG109" s="5"/>
    </row>
    <row r="110" spans="1:85" hidden="1" x14ac:dyDescent="0.25">
      <c r="A110" s="57"/>
      <c r="B110" s="57"/>
      <c r="C110" s="53"/>
      <c r="D110" s="54"/>
      <c r="E110" s="63"/>
      <c r="F110" s="59"/>
      <c r="G110" s="59"/>
      <c r="H110" s="59"/>
      <c r="I110" s="59"/>
      <c r="J110" s="59"/>
      <c r="K110" s="59"/>
      <c r="L110" s="59"/>
      <c r="M110" s="59"/>
      <c r="N110" s="59"/>
      <c r="O110" s="59"/>
      <c r="P110" s="59"/>
      <c r="Q110" s="59"/>
      <c r="R110" s="59"/>
      <c r="S110" s="59"/>
      <c r="T110" s="59"/>
      <c r="U110" s="59"/>
      <c r="V110" s="59"/>
      <c r="W110" s="59"/>
      <c r="X110" s="59"/>
      <c r="Y110" s="59"/>
      <c r="Z110" s="59"/>
      <c r="AA110" s="59"/>
      <c r="AB110" s="59"/>
      <c r="AC110" s="59"/>
      <c r="AD110" s="59"/>
      <c r="AE110" s="59"/>
      <c r="AF110" s="59"/>
      <c r="AG110" s="59"/>
      <c r="AH110" s="59"/>
      <c r="AI110" s="59"/>
      <c r="AJ110" s="59"/>
      <c r="AK110" s="59"/>
      <c r="AL110" s="59"/>
      <c r="AM110" s="59"/>
      <c r="AN110" s="59"/>
      <c r="AO110" s="59"/>
      <c r="AP110" s="59"/>
      <c r="AQ110" s="59"/>
      <c r="AR110" s="59"/>
      <c r="AS110" s="59"/>
      <c r="AT110" s="59"/>
      <c r="AU110" s="59"/>
      <c r="AV110" s="59"/>
      <c r="AW110" s="59"/>
      <c r="AX110" s="59"/>
      <c r="AY110" s="59"/>
      <c r="AZ110" s="59"/>
      <c r="BA110" s="59"/>
      <c r="BS110" s="5">
        <f t="shared" si="40"/>
        <v>1048495</v>
      </c>
      <c r="BT110" s="5" t="str">
        <f t="shared" si="39"/>
        <v/>
      </c>
      <c r="CD110" s="5" t="e">
        <f t="shared" ca="1" si="26"/>
        <v>#REF!</v>
      </c>
      <c r="CE110" s="5" t="e">
        <f t="shared" ca="1" si="27"/>
        <v>#REF!</v>
      </c>
      <c r="CF110" s="5" t="e">
        <f t="shared" ca="1" si="25"/>
        <v>#REF!</v>
      </c>
      <c r="CG110" s="5"/>
    </row>
    <row r="111" spans="1:85" hidden="1" x14ac:dyDescent="0.25">
      <c r="A111" s="57"/>
      <c r="B111" s="57"/>
      <c r="C111" s="53"/>
      <c r="D111" s="54"/>
      <c r="E111" s="63"/>
      <c r="F111" s="59"/>
      <c r="G111" s="59"/>
      <c r="H111" s="59"/>
      <c r="I111" s="59"/>
      <c r="J111" s="59"/>
      <c r="K111" s="59"/>
      <c r="L111" s="59"/>
      <c r="M111" s="59"/>
      <c r="N111" s="59"/>
      <c r="O111" s="59"/>
      <c r="P111" s="59"/>
      <c r="Q111" s="59"/>
      <c r="R111" s="59"/>
      <c r="S111" s="59"/>
      <c r="T111" s="59"/>
      <c r="U111" s="59"/>
      <c r="V111" s="59"/>
      <c r="W111" s="59"/>
      <c r="X111" s="59"/>
      <c r="Y111" s="59"/>
      <c r="Z111" s="59"/>
      <c r="AA111" s="59"/>
      <c r="AB111" s="59"/>
      <c r="AC111" s="59"/>
      <c r="AD111" s="59"/>
      <c r="AE111" s="59"/>
      <c r="AF111" s="59"/>
      <c r="AG111" s="59"/>
      <c r="AH111" s="59"/>
      <c r="AI111" s="59"/>
      <c r="AJ111" s="59"/>
      <c r="AK111" s="59"/>
      <c r="AL111" s="59"/>
      <c r="AM111" s="59"/>
      <c r="AN111" s="59"/>
      <c r="AO111" s="59"/>
      <c r="AP111" s="59"/>
      <c r="AQ111" s="59"/>
      <c r="AR111" s="59"/>
      <c r="AS111" s="59"/>
      <c r="AT111" s="59"/>
      <c r="AU111" s="59"/>
      <c r="AV111" s="59"/>
      <c r="AW111" s="59"/>
      <c r="AX111" s="59"/>
      <c r="AY111" s="59"/>
      <c r="AZ111" s="59"/>
      <c r="BA111" s="59"/>
      <c r="BS111" s="5">
        <f t="shared" si="40"/>
        <v>1048495</v>
      </c>
      <c r="BT111" s="5" t="str">
        <f t="shared" si="39"/>
        <v/>
      </c>
      <c r="CD111" s="5" t="e">
        <f t="shared" ca="1" si="26"/>
        <v>#REF!</v>
      </c>
      <c r="CE111" s="5" t="e">
        <f t="shared" ca="1" si="27"/>
        <v>#REF!</v>
      </c>
      <c r="CF111" s="5" t="e">
        <f t="shared" ca="1" si="25"/>
        <v>#REF!</v>
      </c>
      <c r="CG111" s="5"/>
    </row>
    <row r="112" spans="1:85" hidden="1" x14ac:dyDescent="0.25">
      <c r="A112" s="57"/>
      <c r="B112" s="57"/>
      <c r="C112" s="53"/>
      <c r="D112" s="54"/>
      <c r="E112" s="63"/>
      <c r="F112" s="59"/>
      <c r="G112" s="59"/>
      <c r="H112" s="59"/>
      <c r="I112" s="59"/>
      <c r="J112" s="59"/>
      <c r="K112" s="59"/>
      <c r="L112" s="59"/>
      <c r="M112" s="59"/>
      <c r="N112" s="59"/>
      <c r="O112" s="59"/>
      <c r="P112" s="59"/>
      <c r="Q112" s="59"/>
      <c r="R112" s="59"/>
      <c r="S112" s="59"/>
      <c r="T112" s="59"/>
      <c r="U112" s="59"/>
      <c r="V112" s="59"/>
      <c r="W112" s="59"/>
      <c r="X112" s="59"/>
      <c r="Y112" s="59"/>
      <c r="Z112" s="59"/>
      <c r="AA112" s="59"/>
      <c r="AB112" s="59"/>
      <c r="AC112" s="59"/>
      <c r="AD112" s="59"/>
      <c r="AE112" s="59"/>
      <c r="AF112" s="59"/>
      <c r="AG112" s="59"/>
      <c r="AH112" s="59"/>
      <c r="AI112" s="59"/>
      <c r="AJ112" s="59"/>
      <c r="AK112" s="59"/>
      <c r="AL112" s="59"/>
      <c r="AM112" s="59"/>
      <c r="AN112" s="59"/>
      <c r="AO112" s="59"/>
      <c r="AP112" s="59"/>
      <c r="AQ112" s="59"/>
      <c r="AR112" s="59"/>
      <c r="AS112" s="59"/>
      <c r="AT112" s="59"/>
      <c r="AU112" s="59"/>
      <c r="AV112" s="59"/>
      <c r="AW112" s="59"/>
      <c r="AX112" s="59"/>
      <c r="AY112" s="59"/>
      <c r="AZ112" s="59"/>
      <c r="BA112" s="59"/>
      <c r="BS112" s="5">
        <f t="shared" si="40"/>
        <v>1048495</v>
      </c>
      <c r="BT112" s="5" t="str">
        <f t="shared" si="39"/>
        <v/>
      </c>
      <c r="CD112" s="5" t="e">
        <f t="shared" ca="1" si="26"/>
        <v>#REF!</v>
      </c>
      <c r="CE112" s="5" t="e">
        <f t="shared" ca="1" si="27"/>
        <v>#REF!</v>
      </c>
      <c r="CF112" s="5" t="e">
        <f t="shared" ca="1" si="25"/>
        <v>#REF!</v>
      </c>
      <c r="CG112" s="5"/>
    </row>
    <row r="113" spans="1:85" hidden="1" x14ac:dyDescent="0.25">
      <c r="A113" s="57"/>
      <c r="B113" s="57"/>
      <c r="C113" s="53"/>
      <c r="D113" s="54"/>
      <c r="E113" s="63"/>
      <c r="F113" s="59"/>
      <c r="G113" s="59"/>
      <c r="H113" s="59"/>
      <c r="I113" s="59"/>
      <c r="J113" s="59"/>
      <c r="K113" s="59"/>
      <c r="L113" s="59"/>
      <c r="M113" s="59"/>
      <c r="N113" s="59"/>
      <c r="O113" s="59"/>
      <c r="P113" s="59"/>
      <c r="Q113" s="59"/>
      <c r="R113" s="59"/>
      <c r="S113" s="59"/>
      <c r="T113" s="59"/>
      <c r="U113" s="59"/>
      <c r="V113" s="59"/>
      <c r="W113" s="59"/>
      <c r="X113" s="59"/>
      <c r="Y113" s="59"/>
      <c r="Z113" s="59"/>
      <c r="AA113" s="59"/>
      <c r="AB113" s="59"/>
      <c r="AC113" s="59"/>
      <c r="AD113" s="59"/>
      <c r="AE113" s="59"/>
      <c r="AF113" s="59"/>
      <c r="AG113" s="59"/>
      <c r="AH113" s="59"/>
      <c r="AI113" s="59"/>
      <c r="AJ113" s="59"/>
      <c r="AK113" s="59"/>
      <c r="AL113" s="59"/>
      <c r="AM113" s="59"/>
      <c r="AN113" s="59"/>
      <c r="AO113" s="59"/>
      <c r="AP113" s="59"/>
      <c r="AQ113" s="59"/>
      <c r="AR113" s="59"/>
      <c r="AS113" s="59"/>
      <c r="AT113" s="59"/>
      <c r="AU113" s="59"/>
      <c r="AV113" s="59"/>
      <c r="AW113" s="59"/>
      <c r="AX113" s="59"/>
      <c r="AY113" s="59"/>
      <c r="AZ113" s="59"/>
      <c r="BA113" s="59"/>
      <c r="BS113" s="5">
        <f t="shared" si="40"/>
        <v>1048495</v>
      </c>
      <c r="BT113" s="5" t="str">
        <f t="shared" si="39"/>
        <v/>
      </c>
      <c r="CD113" s="5" t="e">
        <f t="shared" ca="1" si="26"/>
        <v>#REF!</v>
      </c>
      <c r="CE113" s="5" t="e">
        <f t="shared" ca="1" si="27"/>
        <v>#REF!</v>
      </c>
      <c r="CF113" s="5" t="e">
        <f t="shared" ca="1" si="25"/>
        <v>#REF!</v>
      </c>
      <c r="CG113" s="5"/>
    </row>
    <row r="114" spans="1:85" hidden="1" x14ac:dyDescent="0.25">
      <c r="A114" s="57"/>
      <c r="B114" s="57"/>
      <c r="C114" s="53"/>
      <c r="D114" s="54"/>
      <c r="E114" s="63"/>
      <c r="F114" s="59"/>
      <c r="G114" s="59"/>
      <c r="H114" s="59"/>
      <c r="I114" s="59"/>
      <c r="J114" s="59"/>
      <c r="K114" s="59"/>
      <c r="L114" s="59"/>
      <c r="M114" s="59"/>
      <c r="N114" s="59"/>
      <c r="O114" s="59"/>
      <c r="P114" s="59"/>
      <c r="Q114" s="59"/>
      <c r="R114" s="59"/>
      <c r="S114" s="59"/>
      <c r="T114" s="59"/>
      <c r="U114" s="59"/>
      <c r="V114" s="59"/>
      <c r="W114" s="59"/>
      <c r="X114" s="59"/>
      <c r="Y114" s="59"/>
      <c r="Z114" s="59"/>
      <c r="AA114" s="59"/>
      <c r="AB114" s="59"/>
      <c r="AC114" s="59"/>
      <c r="AD114" s="59"/>
      <c r="AE114" s="59"/>
      <c r="AF114" s="59"/>
      <c r="AG114" s="59"/>
      <c r="AH114" s="59"/>
      <c r="AI114" s="59"/>
      <c r="AJ114" s="59"/>
      <c r="AK114" s="59"/>
      <c r="AL114" s="59"/>
      <c r="AM114" s="59"/>
      <c r="AN114" s="59"/>
      <c r="AO114" s="59"/>
      <c r="AP114" s="59"/>
      <c r="AQ114" s="59"/>
      <c r="AR114" s="59"/>
      <c r="AS114" s="59"/>
      <c r="AT114" s="59"/>
      <c r="AU114" s="59"/>
      <c r="AV114" s="59"/>
      <c r="AW114" s="59"/>
      <c r="AX114" s="59"/>
      <c r="AY114" s="59"/>
      <c r="AZ114" s="59"/>
      <c r="BA114" s="59"/>
      <c r="BS114" s="5">
        <f t="shared" si="40"/>
        <v>1048495</v>
      </c>
      <c r="BT114" s="5" t="str">
        <f t="shared" si="39"/>
        <v/>
      </c>
      <c r="CD114" s="5" t="e">
        <f t="shared" ca="1" si="26"/>
        <v>#REF!</v>
      </c>
      <c r="CE114" s="5" t="e">
        <f t="shared" ca="1" si="27"/>
        <v>#REF!</v>
      </c>
      <c r="CF114" s="5" t="e">
        <f t="shared" ca="1" si="25"/>
        <v>#REF!</v>
      </c>
      <c r="CG114" s="5"/>
    </row>
    <row r="115" spans="1:85" hidden="1" x14ac:dyDescent="0.25">
      <c r="A115" s="57"/>
      <c r="B115" s="57" t="s">
        <v>110</v>
      </c>
      <c r="C115" s="53"/>
      <c r="D115" s="54"/>
      <c r="E115" s="63"/>
      <c r="F115" s="59"/>
      <c r="G115" s="59"/>
      <c r="H115" s="59"/>
      <c r="I115" s="59"/>
      <c r="J115" s="59"/>
      <c r="K115" s="59"/>
      <c r="L115" s="59"/>
      <c r="M115" s="59"/>
      <c r="N115" s="59"/>
      <c r="O115" s="59"/>
      <c r="P115" s="59"/>
      <c r="Q115" s="59"/>
      <c r="R115" s="59"/>
      <c r="S115" s="59"/>
      <c r="T115" s="59"/>
      <c r="U115" s="59"/>
      <c r="V115" s="59"/>
      <c r="W115" s="59"/>
      <c r="X115" s="59"/>
      <c r="Y115" s="59"/>
      <c r="Z115" s="59"/>
      <c r="AA115" s="59"/>
      <c r="AB115" s="59"/>
      <c r="AC115" s="59"/>
      <c r="AD115" s="59"/>
      <c r="AE115" s="59"/>
      <c r="AF115" s="59"/>
      <c r="AG115" s="59"/>
      <c r="AH115" s="59"/>
      <c r="AI115" s="59"/>
      <c r="AJ115" s="59"/>
      <c r="AK115" s="59"/>
      <c r="AL115" s="59"/>
      <c r="AM115" s="59"/>
      <c r="AN115" s="59"/>
      <c r="AO115" s="59"/>
      <c r="AP115" s="59"/>
      <c r="AQ115" s="59"/>
      <c r="AR115" s="59"/>
      <c r="AS115" s="59"/>
      <c r="AT115" s="59"/>
      <c r="AU115" s="59"/>
      <c r="AV115" s="59"/>
      <c r="AW115" s="59"/>
      <c r="AX115" s="59"/>
      <c r="AY115" s="59"/>
      <c r="AZ115" s="59"/>
      <c r="BA115" s="59"/>
      <c r="BS115" s="5">
        <f t="shared" si="40"/>
        <v>1048495</v>
      </c>
      <c r="BT115" s="5" t="str">
        <f t="shared" si="39"/>
        <v/>
      </c>
      <c r="CD115" s="5" t="e">
        <f t="shared" ca="1" si="26"/>
        <v>#REF!</v>
      </c>
      <c r="CE115" s="5" t="e">
        <f t="shared" ca="1" si="27"/>
        <v>#REF!</v>
      </c>
      <c r="CF115" s="5" t="e">
        <f t="shared" ca="1" si="25"/>
        <v>#REF!</v>
      </c>
      <c r="CG115" s="5"/>
    </row>
    <row r="116" spans="1:85" x14ac:dyDescent="0.25">
      <c r="A116" s="57" t="str" cm="1">
        <f t="array" aca="1" ref="A116:A129" ca="1">INDIRECT($B90&amp;"[Titel]")</f>
        <v>Eigenmietwert Pasadena</v>
      </c>
      <c r="B116" s="57" cm="1">
        <f t="array" aca="1" ref="B116:B129" ca="1">INDIRECT($B90&amp;"[Id]")</f>
        <v>2</v>
      </c>
      <c r="C116" s="53" t="str" cm="1">
        <f t="array" aca="1" ref="C116:C129" ca="1">INDIRECT($B115&amp;"[Zugehörigkeit Bezeichnung]")</f>
        <v>Sheldon</v>
      </c>
      <c r="D116" s="54"/>
      <c r="E116" s="63"/>
      <c r="F116" s="59" cm="1">
        <f t="array" aca="1" ref="F116:F129" ca="1">INDIRECT($B90&amp;"[Betrag]")</f>
        <v>11700</v>
      </c>
      <c r="G116" s="59" cm="1">
        <f t="array" aca="1" ref="G116:G129" ca="1">_xlfn.SWITCH(IFERROR(VLOOKUP(G$3&amp;$B$90&amp;_xlfn.ANCHORARRAY($B116),$BT:$CA,5,0),0),
0,_xlfn.ANCHORARRAY(F116)*(1+$D116)+SUMIF($BT:$BT,G$3&amp;$B$90&amp;_xlfn.ANCHORARRAY($B116),$CA:$CA),
1,VLOOKUP(G$3&amp;$B$90&amp;_xlfn.ANCHORARRAY($B116),$BT:$CA,6,0),
2,_xlfn.ANCHORARRAY(F116)*(1+_xlfn.ANCHORARRAY($D116))*VLOOKUP(G$3&amp;$B$90&amp;_xlfn.ANCHORARRAY($B116),$BT:$CA,7,0))</f>
        <v>11700</v>
      </c>
      <c r="H116" s="59" cm="1">
        <f t="array" aca="1" ref="H116:H129" ca="1">_xlfn.SWITCH(IFERROR(VLOOKUP(H$3&amp;$B$90&amp;_xlfn.ANCHORARRAY($B116),$BT:$CA,5,0),0),
0,_xlfn.ANCHORARRAY(G116)*(1+$D116)+SUMIF($BT:$BT,H$3&amp;$B$90&amp;_xlfn.ANCHORARRAY($B116),$CA:$CA),
1,VLOOKUP(H$3&amp;$B$90&amp;_xlfn.ANCHORARRAY($B116),$BT:$CA,6,0),
2,_xlfn.ANCHORARRAY(G116)*(1+_xlfn.ANCHORARRAY($D116))*VLOOKUP(H$3&amp;$B$90&amp;_xlfn.ANCHORARRAY($B116),$BT:$CA,7,0))</f>
        <v>11700</v>
      </c>
      <c r="I116" s="59" cm="1">
        <f t="array" aca="1" ref="I116:I129" ca="1">_xlfn.SWITCH(IFERROR(VLOOKUP(I$3&amp;$B$90&amp;_xlfn.ANCHORARRAY($B116),$BT:$CA,5,0),0),
0,_xlfn.ANCHORARRAY(H116)*(1+$D116)+SUMIF($BT:$BT,I$3&amp;$B$90&amp;_xlfn.ANCHORARRAY($B116),$CA:$CA),
1,VLOOKUP(I$3&amp;$B$90&amp;_xlfn.ANCHORARRAY($B116),$BT:$CA,6,0),
2,_xlfn.ANCHORARRAY(H116)*(1+_xlfn.ANCHORARRAY($D116))*VLOOKUP(I$3&amp;$B$90&amp;_xlfn.ANCHORARRAY($B116),$BT:$CA,7,0))</f>
        <v>11700</v>
      </c>
      <c r="J116" s="59" cm="1">
        <f t="array" aca="1" ref="J116:J129" ca="1">_xlfn.SWITCH(IFERROR(VLOOKUP(J$3&amp;$B$90&amp;_xlfn.ANCHORARRAY($B116),$BT:$CA,5,0),0),
0,_xlfn.ANCHORARRAY(I116)*(1+$D116)+SUMIF($BT:$BT,J$3&amp;$B$90&amp;_xlfn.ANCHORARRAY($B116),$CA:$CA),
1,VLOOKUP(J$3&amp;$B$90&amp;_xlfn.ANCHORARRAY($B116),$BT:$CA,6,0),
2,_xlfn.ANCHORARRAY(I116)*(1+_xlfn.ANCHORARRAY($D116))*VLOOKUP(J$3&amp;$B$90&amp;_xlfn.ANCHORARRAY($B116),$BT:$CA,7,0))</f>
        <v>11700</v>
      </c>
      <c r="K116" s="59" cm="1">
        <f t="array" aca="1" ref="K116:K129" ca="1">_xlfn.SWITCH(IFERROR(VLOOKUP(K$3&amp;$B$90&amp;_xlfn.ANCHORARRAY($B116),$BT:$CA,5,0),0),
0,_xlfn.ANCHORARRAY(J116)*(1+$D116)+SUMIF($BT:$BT,K$3&amp;$B$90&amp;_xlfn.ANCHORARRAY($B116),$CA:$CA),
1,VLOOKUP(K$3&amp;$B$90&amp;_xlfn.ANCHORARRAY($B116),$BT:$CA,6,0),
2,_xlfn.ANCHORARRAY(J116)*(1+_xlfn.ANCHORARRAY($D116))*VLOOKUP(K$3&amp;$B$90&amp;_xlfn.ANCHORARRAY($B116),$BT:$CA,7,0))</f>
        <v>11700</v>
      </c>
      <c r="L116" s="59" cm="1">
        <f t="array" aca="1" ref="L116:L129" ca="1">_xlfn.SWITCH(IFERROR(VLOOKUP(L$3&amp;$B$90&amp;_xlfn.ANCHORARRAY($B116),$BT:$CA,5,0),0),
0,_xlfn.ANCHORARRAY(K116)*(1+$D116)+SUMIF($BT:$BT,L$3&amp;$B$90&amp;_xlfn.ANCHORARRAY($B116),$CA:$CA),
1,VLOOKUP(L$3&amp;$B$90&amp;_xlfn.ANCHORARRAY($B116),$BT:$CA,6,0),
2,_xlfn.ANCHORARRAY(K116)*(1+_xlfn.ANCHORARRAY($D116))*VLOOKUP(L$3&amp;$B$90&amp;_xlfn.ANCHORARRAY($B116),$BT:$CA,7,0))</f>
        <v>11700</v>
      </c>
      <c r="M116" s="59" cm="1">
        <f t="array" aca="1" ref="M116:M129" ca="1">_xlfn.SWITCH(IFERROR(VLOOKUP(M$3&amp;$B$90&amp;_xlfn.ANCHORARRAY($B116),$BT:$CA,5,0),0),
0,_xlfn.ANCHORARRAY(L116)*(1+$D116)+SUMIF($BT:$BT,M$3&amp;$B$90&amp;_xlfn.ANCHORARRAY($B116),$CA:$CA),
1,VLOOKUP(M$3&amp;$B$90&amp;_xlfn.ANCHORARRAY($B116),$BT:$CA,6,0),
2,_xlfn.ANCHORARRAY(L116)*(1+_xlfn.ANCHORARRAY($D116))*VLOOKUP(M$3&amp;$B$90&amp;_xlfn.ANCHORARRAY($B116),$BT:$CA,7,0))</f>
        <v>11700</v>
      </c>
      <c r="N116" s="59" cm="1">
        <f t="array" aca="1" ref="N116:N129" ca="1">_xlfn.SWITCH(IFERROR(VLOOKUP(N$3&amp;$B$90&amp;_xlfn.ANCHORARRAY($B116),$BT:$CA,5,0),0),
0,_xlfn.ANCHORARRAY(M116)*(1+$D116)+SUMIF($BT:$BT,N$3&amp;$B$90&amp;_xlfn.ANCHORARRAY($B116),$CA:$CA),
1,VLOOKUP(N$3&amp;$B$90&amp;_xlfn.ANCHORARRAY($B116),$BT:$CA,6,0),
2,_xlfn.ANCHORARRAY(M116)*(1+_xlfn.ANCHORARRAY($D116))*VLOOKUP(N$3&amp;$B$90&amp;_xlfn.ANCHORARRAY($B116),$BT:$CA,7,0))</f>
        <v>11700</v>
      </c>
      <c r="O116" s="59" cm="1">
        <f t="array" aca="1" ref="O116:O129" ca="1">_xlfn.SWITCH(IFERROR(VLOOKUP(O$3&amp;$B$90&amp;_xlfn.ANCHORARRAY($B116),$BT:$CA,5,0),0),
0,_xlfn.ANCHORARRAY(N116)*(1+$D116)+SUMIF($BT:$BT,O$3&amp;$B$90&amp;_xlfn.ANCHORARRAY($B116),$CA:$CA),
1,VLOOKUP(O$3&amp;$B$90&amp;_xlfn.ANCHORARRAY($B116),$BT:$CA,6,0),
2,_xlfn.ANCHORARRAY(N116)*(1+_xlfn.ANCHORARRAY($D116))*VLOOKUP(O$3&amp;$B$90&amp;_xlfn.ANCHORARRAY($B116),$BT:$CA,7,0))</f>
        <v>11700</v>
      </c>
      <c r="P116" s="59" cm="1">
        <f t="array" aca="1" ref="P116:P129" ca="1">_xlfn.SWITCH(IFERROR(VLOOKUP(P$3&amp;$B$90&amp;_xlfn.ANCHORARRAY($B116),$BT:$CA,5,0),0),
0,_xlfn.ANCHORARRAY(O116)*(1+$D116)+SUMIF($BT:$BT,P$3&amp;$B$90&amp;_xlfn.ANCHORARRAY($B116),$CA:$CA),
1,VLOOKUP(P$3&amp;$B$90&amp;_xlfn.ANCHORARRAY($B116),$BT:$CA,6,0),
2,_xlfn.ANCHORARRAY(O116)*(1+_xlfn.ANCHORARRAY($D116))*VLOOKUP(P$3&amp;$B$90&amp;_xlfn.ANCHORARRAY($B116),$BT:$CA,7,0))</f>
        <v>11700</v>
      </c>
      <c r="Q116" s="59" cm="1">
        <f t="array" aca="1" ref="Q116:Q129" ca="1">_xlfn.SWITCH(IFERROR(VLOOKUP(Q$3&amp;$B$90&amp;_xlfn.ANCHORARRAY($B116),$BT:$CA,5,0),0),
0,_xlfn.ANCHORARRAY(P116)*(1+$D116)+SUMIF($BT:$BT,Q$3&amp;$B$90&amp;_xlfn.ANCHORARRAY($B116),$CA:$CA),
1,VLOOKUP(Q$3&amp;$B$90&amp;_xlfn.ANCHORARRAY($B116),$BT:$CA,6,0),
2,_xlfn.ANCHORARRAY(P116)*(1+_xlfn.ANCHORARRAY($D116))*VLOOKUP(Q$3&amp;$B$90&amp;_xlfn.ANCHORARRAY($B116),$BT:$CA,7,0))</f>
        <v>11700</v>
      </c>
      <c r="R116" s="59" cm="1">
        <f t="array" aca="1" ref="R116:R129" ca="1">_xlfn.SWITCH(IFERROR(VLOOKUP(R$3&amp;$B$90&amp;_xlfn.ANCHORARRAY($B116),$BT:$CA,5,0),0),
0,_xlfn.ANCHORARRAY(Q116)*(1+$D116)+SUMIF($BT:$BT,R$3&amp;$B$90&amp;_xlfn.ANCHORARRAY($B116),$CA:$CA),
1,VLOOKUP(R$3&amp;$B$90&amp;_xlfn.ANCHORARRAY($B116),$BT:$CA,6,0),
2,_xlfn.ANCHORARRAY(Q116)*(1+_xlfn.ANCHORARRAY($D116))*VLOOKUP(R$3&amp;$B$90&amp;_xlfn.ANCHORARRAY($B116),$BT:$CA,7,0))</f>
        <v>11700</v>
      </c>
      <c r="S116" s="59" cm="1">
        <f t="array" aca="1" ref="S116:S129" ca="1">_xlfn.SWITCH(IFERROR(VLOOKUP(S$3&amp;$B$90&amp;_xlfn.ANCHORARRAY($B116),$BT:$CA,5,0),0),
0,_xlfn.ANCHORARRAY(R116)*(1+$D116)+SUMIF($BT:$BT,S$3&amp;$B$90&amp;_xlfn.ANCHORARRAY($B116),$CA:$CA),
1,VLOOKUP(S$3&amp;$B$90&amp;_xlfn.ANCHORARRAY($B116),$BT:$CA,6,0),
2,_xlfn.ANCHORARRAY(R116)*(1+_xlfn.ANCHORARRAY($D116))*VLOOKUP(S$3&amp;$B$90&amp;_xlfn.ANCHORARRAY($B116),$BT:$CA,7,0))</f>
        <v>11700</v>
      </c>
      <c r="T116" s="59" cm="1">
        <f t="array" aca="1" ref="T116:T129" ca="1">_xlfn.SWITCH(IFERROR(VLOOKUP(T$3&amp;$B$90&amp;_xlfn.ANCHORARRAY($B116),$BT:$CA,5,0),0),
0,_xlfn.ANCHORARRAY(S116)*(1+$D116)+SUMIF($BT:$BT,T$3&amp;$B$90&amp;_xlfn.ANCHORARRAY($B116),$CA:$CA),
1,VLOOKUP(T$3&amp;$B$90&amp;_xlfn.ANCHORARRAY($B116),$BT:$CA,6,0),
2,_xlfn.ANCHORARRAY(S116)*(1+_xlfn.ANCHORARRAY($D116))*VLOOKUP(T$3&amp;$B$90&amp;_xlfn.ANCHORARRAY($B116),$BT:$CA,7,0))</f>
        <v>11700</v>
      </c>
      <c r="U116" s="59" cm="1">
        <f t="array" aca="1" ref="U116:U129" ca="1">_xlfn.SWITCH(IFERROR(VLOOKUP(U$3&amp;$B$90&amp;_xlfn.ANCHORARRAY($B116),$BT:$CA,5,0),0),
0,_xlfn.ANCHORARRAY(T116)*(1+$D116)+SUMIF($BT:$BT,U$3&amp;$B$90&amp;_xlfn.ANCHORARRAY($B116),$CA:$CA),
1,VLOOKUP(U$3&amp;$B$90&amp;_xlfn.ANCHORARRAY($B116),$BT:$CA,6,0),
2,_xlfn.ANCHORARRAY(T116)*(1+_xlfn.ANCHORARRAY($D116))*VLOOKUP(U$3&amp;$B$90&amp;_xlfn.ANCHORARRAY($B116),$BT:$CA,7,0))</f>
        <v>11700</v>
      </c>
      <c r="V116" s="59" cm="1">
        <f t="array" aca="1" ref="V116:V129" ca="1">_xlfn.SWITCH(IFERROR(VLOOKUP(V$3&amp;$B$90&amp;_xlfn.ANCHORARRAY($B116),$BT:$CA,5,0),0),
0,_xlfn.ANCHORARRAY(U116)*(1+$D116)+SUMIF($BT:$BT,V$3&amp;$B$90&amp;_xlfn.ANCHORARRAY($B116),$CA:$CA),
1,VLOOKUP(V$3&amp;$B$90&amp;_xlfn.ANCHORARRAY($B116),$BT:$CA,6,0),
2,_xlfn.ANCHORARRAY(U116)*(1+_xlfn.ANCHORARRAY($D116))*VLOOKUP(V$3&amp;$B$90&amp;_xlfn.ANCHORARRAY($B116),$BT:$CA,7,0))</f>
        <v>11700</v>
      </c>
      <c r="W116" s="59" cm="1">
        <f t="array" aca="1" ref="W116:W129" ca="1">_xlfn.SWITCH(IFERROR(VLOOKUP(W$3&amp;$B$90&amp;_xlfn.ANCHORARRAY($B116),$BT:$CA,5,0),0),
0,_xlfn.ANCHORARRAY(V116)*(1+$D116)+SUMIF($BT:$BT,W$3&amp;$B$90&amp;_xlfn.ANCHORARRAY($B116),$CA:$CA),
1,VLOOKUP(W$3&amp;$B$90&amp;_xlfn.ANCHORARRAY($B116),$BT:$CA,6,0),
2,_xlfn.ANCHORARRAY(V116)*(1+_xlfn.ANCHORARRAY($D116))*VLOOKUP(W$3&amp;$B$90&amp;_xlfn.ANCHORARRAY($B116),$BT:$CA,7,0))</f>
        <v>11700</v>
      </c>
      <c r="X116" s="59" cm="1">
        <f t="array" aca="1" ref="X116:X129" ca="1">_xlfn.SWITCH(IFERROR(VLOOKUP(X$3&amp;$B$90&amp;_xlfn.ANCHORARRAY($B116),$BT:$CA,5,0),0),
0,_xlfn.ANCHORARRAY(W116)*(1+$D116)+SUMIF($BT:$BT,X$3&amp;$B$90&amp;_xlfn.ANCHORARRAY($B116),$CA:$CA),
1,VLOOKUP(X$3&amp;$B$90&amp;_xlfn.ANCHORARRAY($B116),$BT:$CA,6,0),
2,_xlfn.ANCHORARRAY(W116)*(1+_xlfn.ANCHORARRAY($D116))*VLOOKUP(X$3&amp;$B$90&amp;_xlfn.ANCHORARRAY($B116),$BT:$CA,7,0))</f>
        <v>11700</v>
      </c>
      <c r="Y116" s="59" cm="1">
        <f t="array" aca="1" ref="Y116:Y129" ca="1">_xlfn.SWITCH(IFERROR(VLOOKUP(Y$3&amp;$B$90&amp;_xlfn.ANCHORARRAY($B116),$BT:$CA,5,0),0),
0,_xlfn.ANCHORARRAY(X116)*(1+$D116)+SUMIF($BT:$BT,Y$3&amp;$B$90&amp;_xlfn.ANCHORARRAY($B116),$CA:$CA),
1,VLOOKUP(Y$3&amp;$B$90&amp;_xlfn.ANCHORARRAY($B116),$BT:$CA,6,0),
2,_xlfn.ANCHORARRAY(X116)*(1+_xlfn.ANCHORARRAY($D116))*VLOOKUP(Y$3&amp;$B$90&amp;_xlfn.ANCHORARRAY($B116),$BT:$CA,7,0))</f>
        <v>11700</v>
      </c>
      <c r="Z116" s="59" cm="1">
        <f t="array" aca="1" ref="Z116:Z129" ca="1">_xlfn.SWITCH(IFERROR(VLOOKUP(Z$3&amp;$B$90&amp;_xlfn.ANCHORARRAY($B116),$BT:$CA,5,0),0),
0,_xlfn.ANCHORARRAY(Y116)*(1+$D116)+SUMIF($BT:$BT,Z$3&amp;$B$90&amp;_xlfn.ANCHORARRAY($B116),$CA:$CA),
1,VLOOKUP(Z$3&amp;$B$90&amp;_xlfn.ANCHORARRAY($B116),$BT:$CA,6,0),
2,_xlfn.ANCHORARRAY(Y116)*(1+_xlfn.ANCHORARRAY($D116))*VLOOKUP(Z$3&amp;$B$90&amp;_xlfn.ANCHORARRAY($B116),$BT:$CA,7,0))</f>
        <v>11700</v>
      </c>
      <c r="AA116" s="59" cm="1">
        <f t="array" aca="1" ref="AA116:AA129" ca="1">_xlfn.SWITCH(IFERROR(VLOOKUP(AA$3&amp;$B$90&amp;_xlfn.ANCHORARRAY($B116),$BT:$CA,5,0),0),
0,_xlfn.ANCHORARRAY(Z116)*(1+$D116)+SUMIF($BT:$BT,AA$3&amp;$B$90&amp;_xlfn.ANCHORARRAY($B116),$CA:$CA),
1,VLOOKUP(AA$3&amp;$B$90&amp;_xlfn.ANCHORARRAY($B116),$BT:$CA,6,0),
2,_xlfn.ANCHORARRAY(Z116)*(1+_xlfn.ANCHORARRAY($D116))*VLOOKUP(AA$3&amp;$B$90&amp;_xlfn.ANCHORARRAY($B116),$BT:$CA,7,0))</f>
        <v>11700</v>
      </c>
      <c r="AB116" s="59" cm="1">
        <f t="array" aca="1" ref="AB116:AB129" ca="1">_xlfn.SWITCH(IFERROR(VLOOKUP(AB$3&amp;$B$90&amp;_xlfn.ANCHORARRAY($B116),$BT:$CA,5,0),0),
0,_xlfn.ANCHORARRAY(AA116)*(1+$D116)+SUMIF($BT:$BT,AB$3&amp;$B$90&amp;_xlfn.ANCHORARRAY($B116),$CA:$CA),
1,VLOOKUP(AB$3&amp;$B$90&amp;_xlfn.ANCHORARRAY($B116),$BT:$CA,6,0),
2,_xlfn.ANCHORARRAY(AA116)*(1+_xlfn.ANCHORARRAY($D116))*VLOOKUP(AB$3&amp;$B$90&amp;_xlfn.ANCHORARRAY($B116),$BT:$CA,7,0))</f>
        <v>11700</v>
      </c>
      <c r="AC116" s="59" cm="1">
        <f t="array" aca="1" ref="AC116:AC129" ca="1">_xlfn.SWITCH(IFERROR(VLOOKUP(AC$3&amp;$B$90&amp;_xlfn.ANCHORARRAY($B116),$BT:$CA,5,0),0),
0,_xlfn.ANCHORARRAY(AB116)*(1+$D116)+SUMIF($BT:$BT,AC$3&amp;$B$90&amp;_xlfn.ANCHORARRAY($B116),$CA:$CA),
1,VLOOKUP(AC$3&amp;$B$90&amp;_xlfn.ANCHORARRAY($B116),$BT:$CA,6,0),
2,_xlfn.ANCHORARRAY(AB116)*(1+_xlfn.ANCHORARRAY($D116))*VLOOKUP(AC$3&amp;$B$90&amp;_xlfn.ANCHORARRAY($B116),$BT:$CA,7,0))</f>
        <v>11700</v>
      </c>
      <c r="AD116" s="59" cm="1">
        <f t="array" aca="1" ref="AD116:AD129" ca="1">_xlfn.SWITCH(IFERROR(VLOOKUP(AD$3&amp;$B$90&amp;_xlfn.ANCHORARRAY($B116),$BT:$CA,5,0),0),
0,_xlfn.ANCHORARRAY(AC116)*(1+$D116)+SUMIF($BT:$BT,AD$3&amp;$B$90&amp;_xlfn.ANCHORARRAY($B116),$CA:$CA),
1,VLOOKUP(AD$3&amp;$B$90&amp;_xlfn.ANCHORARRAY($B116),$BT:$CA,6,0),
2,_xlfn.ANCHORARRAY(AC116)*(1+_xlfn.ANCHORARRAY($D116))*VLOOKUP(AD$3&amp;$B$90&amp;_xlfn.ANCHORARRAY($B116),$BT:$CA,7,0))</f>
        <v>11700</v>
      </c>
      <c r="AE116" s="59" cm="1">
        <f t="array" aca="1" ref="AE116:AE129" ca="1">_xlfn.SWITCH(IFERROR(VLOOKUP(AE$3&amp;$B$90&amp;_xlfn.ANCHORARRAY($B116),$BT:$CA,5,0),0),
0,_xlfn.ANCHORARRAY(AD116)*(1+$D116)+SUMIF($BT:$BT,AE$3&amp;$B$90&amp;_xlfn.ANCHORARRAY($B116),$CA:$CA),
1,VLOOKUP(AE$3&amp;$B$90&amp;_xlfn.ANCHORARRAY($B116),$BT:$CA,6,0),
2,_xlfn.ANCHORARRAY(AD116)*(1+_xlfn.ANCHORARRAY($D116))*VLOOKUP(AE$3&amp;$B$90&amp;_xlfn.ANCHORARRAY($B116),$BT:$CA,7,0))</f>
        <v>11700</v>
      </c>
      <c r="AF116" s="59" cm="1">
        <f t="array" aca="1" ref="AF116:AF129" ca="1">_xlfn.SWITCH(IFERROR(VLOOKUP(AF$3&amp;$B$90&amp;_xlfn.ANCHORARRAY($B116),$BT:$CA,5,0),0),
0,_xlfn.ANCHORARRAY(AE116)*(1+$D116)+SUMIF($BT:$BT,AF$3&amp;$B$90&amp;_xlfn.ANCHORARRAY($B116),$CA:$CA),
1,VLOOKUP(AF$3&amp;$B$90&amp;_xlfn.ANCHORARRAY($B116),$BT:$CA,6,0),
2,_xlfn.ANCHORARRAY(AE116)*(1+_xlfn.ANCHORARRAY($D116))*VLOOKUP(AF$3&amp;$B$90&amp;_xlfn.ANCHORARRAY($B116),$BT:$CA,7,0))</f>
        <v>11700</v>
      </c>
      <c r="AG116" s="59" cm="1">
        <f t="array" aca="1" ref="AG116:AG129" ca="1">_xlfn.SWITCH(IFERROR(VLOOKUP(AG$3&amp;$B$90&amp;_xlfn.ANCHORARRAY($B116),$BT:$CA,5,0),0),
0,_xlfn.ANCHORARRAY(AF116)*(1+$D116)+SUMIF($BT:$BT,AG$3&amp;$B$90&amp;_xlfn.ANCHORARRAY($B116),$CA:$CA),
1,VLOOKUP(AG$3&amp;$B$90&amp;_xlfn.ANCHORARRAY($B116),$BT:$CA,6,0),
2,_xlfn.ANCHORARRAY(AF116)*(1+_xlfn.ANCHORARRAY($D116))*VLOOKUP(AG$3&amp;$B$90&amp;_xlfn.ANCHORARRAY($B116),$BT:$CA,7,0))</f>
        <v>11700</v>
      </c>
      <c r="AH116" s="59" cm="1">
        <f t="array" aca="1" ref="AH116:AH129" ca="1">_xlfn.SWITCH(IFERROR(VLOOKUP(AH$3&amp;$B$90&amp;_xlfn.ANCHORARRAY($B116),$BT:$CA,5,0),0),
0,_xlfn.ANCHORARRAY(AG116)*(1+$D116)+SUMIF($BT:$BT,AH$3&amp;$B$90&amp;_xlfn.ANCHORARRAY($B116),$CA:$CA),
1,VLOOKUP(AH$3&amp;$B$90&amp;_xlfn.ANCHORARRAY($B116),$BT:$CA,6,0),
2,_xlfn.ANCHORARRAY(AG116)*(1+_xlfn.ANCHORARRAY($D116))*VLOOKUP(AH$3&amp;$B$90&amp;_xlfn.ANCHORARRAY($B116),$BT:$CA,7,0))</f>
        <v>11700</v>
      </c>
      <c r="AI116" s="59" cm="1">
        <f t="array" aca="1" ref="AI116:AI129" ca="1">_xlfn.SWITCH(IFERROR(VLOOKUP(AI$3&amp;$B$90&amp;_xlfn.ANCHORARRAY($B116),$BT:$CA,5,0),0),
0,_xlfn.ANCHORARRAY(AH116)*(1+$D116)+SUMIF($BT:$BT,AI$3&amp;$B$90&amp;_xlfn.ANCHORARRAY($B116),$CA:$CA),
1,VLOOKUP(AI$3&amp;$B$90&amp;_xlfn.ANCHORARRAY($B116),$BT:$CA,6,0),
2,_xlfn.ANCHORARRAY(AH116)*(1+_xlfn.ANCHORARRAY($D116))*VLOOKUP(AI$3&amp;$B$90&amp;_xlfn.ANCHORARRAY($B116),$BT:$CA,7,0))</f>
        <v>11700</v>
      </c>
      <c r="AJ116" s="59" cm="1">
        <f t="array" aca="1" ref="AJ116:AJ129" ca="1">_xlfn.SWITCH(IFERROR(VLOOKUP(AJ$3&amp;$B$90&amp;_xlfn.ANCHORARRAY($B116),$BT:$CA,5,0),0),
0,_xlfn.ANCHORARRAY(AI116)*(1+$D116)+SUMIF($BT:$BT,AJ$3&amp;$B$90&amp;_xlfn.ANCHORARRAY($B116),$CA:$CA),
1,VLOOKUP(AJ$3&amp;$B$90&amp;_xlfn.ANCHORARRAY($B116),$BT:$CA,6,0),
2,_xlfn.ANCHORARRAY(AI116)*(1+_xlfn.ANCHORARRAY($D116))*VLOOKUP(AJ$3&amp;$B$90&amp;_xlfn.ANCHORARRAY($B116),$BT:$CA,7,0))</f>
        <v>11700</v>
      </c>
      <c r="AK116" s="59" cm="1">
        <f t="array" aca="1" ref="AK116:AK129" ca="1">_xlfn.SWITCH(IFERROR(VLOOKUP(AK$3&amp;$B$90&amp;_xlfn.ANCHORARRAY($B116),$BT:$CA,5,0),0),
0,_xlfn.ANCHORARRAY(AJ116)*(1+$D116)+SUMIF($BT:$BT,AK$3&amp;$B$90&amp;_xlfn.ANCHORARRAY($B116),$CA:$CA),
1,VLOOKUP(AK$3&amp;$B$90&amp;_xlfn.ANCHORARRAY($B116),$BT:$CA,6,0),
2,_xlfn.ANCHORARRAY(AJ116)*(1+_xlfn.ANCHORARRAY($D116))*VLOOKUP(AK$3&amp;$B$90&amp;_xlfn.ANCHORARRAY($B116),$BT:$CA,7,0))</f>
        <v>11700</v>
      </c>
      <c r="AL116" s="59" cm="1">
        <f t="array" aca="1" ref="AL116:AL129" ca="1">_xlfn.SWITCH(IFERROR(VLOOKUP(AL$3&amp;$B$90&amp;_xlfn.ANCHORARRAY($B116),$BT:$CA,5,0),0),
0,_xlfn.ANCHORARRAY(AK116)*(1+$D116)+SUMIF($BT:$BT,AL$3&amp;$B$90&amp;_xlfn.ANCHORARRAY($B116),$CA:$CA),
1,VLOOKUP(AL$3&amp;$B$90&amp;_xlfn.ANCHORARRAY($B116),$BT:$CA,6,0),
2,_xlfn.ANCHORARRAY(AK116)*(1+_xlfn.ANCHORARRAY($D116))*VLOOKUP(AL$3&amp;$B$90&amp;_xlfn.ANCHORARRAY($B116),$BT:$CA,7,0))</f>
        <v>11700</v>
      </c>
      <c r="AM116" s="59" cm="1">
        <f t="array" aca="1" ref="AM116:AM129" ca="1">_xlfn.SWITCH(IFERROR(VLOOKUP(AM$3&amp;$B$90&amp;_xlfn.ANCHORARRAY($B116),$BT:$CA,5,0),0),
0,_xlfn.ANCHORARRAY(AL116)*(1+$D116)+SUMIF($BT:$BT,AM$3&amp;$B$90&amp;_xlfn.ANCHORARRAY($B116),$CA:$CA),
1,VLOOKUP(AM$3&amp;$B$90&amp;_xlfn.ANCHORARRAY($B116),$BT:$CA,6,0),
2,_xlfn.ANCHORARRAY(AL116)*(1+_xlfn.ANCHORARRAY($D116))*VLOOKUP(AM$3&amp;$B$90&amp;_xlfn.ANCHORARRAY($B116),$BT:$CA,7,0))</f>
        <v>11700</v>
      </c>
      <c r="AN116" s="59" cm="1">
        <f t="array" aca="1" ref="AN116:AN129" ca="1">_xlfn.SWITCH(IFERROR(VLOOKUP(AN$3&amp;$B$90&amp;_xlfn.ANCHORARRAY($B116),$BT:$CA,5,0),0),
0,_xlfn.ANCHORARRAY(AM116)*(1+$D116)+SUMIF($BT:$BT,AN$3&amp;$B$90&amp;_xlfn.ANCHORARRAY($B116),$CA:$CA),
1,VLOOKUP(AN$3&amp;$B$90&amp;_xlfn.ANCHORARRAY($B116),$BT:$CA,6,0),
2,_xlfn.ANCHORARRAY(AM116)*(1+_xlfn.ANCHORARRAY($D116))*VLOOKUP(AN$3&amp;$B$90&amp;_xlfn.ANCHORARRAY($B116),$BT:$CA,7,0))</f>
        <v>11700</v>
      </c>
      <c r="AO116" s="59" cm="1">
        <f t="array" aca="1" ref="AO116:AO129" ca="1">_xlfn.SWITCH(IFERROR(VLOOKUP(AO$3&amp;$B$90&amp;_xlfn.ANCHORARRAY($B116),$BT:$CA,5,0),0),
0,_xlfn.ANCHORARRAY(AN116)*(1+$D116)+SUMIF($BT:$BT,AO$3&amp;$B$90&amp;_xlfn.ANCHORARRAY($B116),$CA:$CA),
1,VLOOKUP(AO$3&amp;$B$90&amp;_xlfn.ANCHORARRAY($B116),$BT:$CA,6,0),
2,_xlfn.ANCHORARRAY(AN116)*(1+_xlfn.ANCHORARRAY($D116))*VLOOKUP(AO$3&amp;$B$90&amp;_xlfn.ANCHORARRAY($B116),$BT:$CA,7,0))</f>
        <v>11700</v>
      </c>
      <c r="AP116" s="59" cm="1">
        <f t="array" aca="1" ref="AP116:AP129" ca="1">_xlfn.SWITCH(IFERROR(VLOOKUP(AP$3&amp;$B$90&amp;_xlfn.ANCHORARRAY($B116),$BT:$CA,5,0),0),
0,_xlfn.ANCHORARRAY(AO116)*(1+$D116)+SUMIF($BT:$BT,AP$3&amp;$B$90&amp;_xlfn.ANCHORARRAY($B116),$CA:$CA),
1,VLOOKUP(AP$3&amp;$B$90&amp;_xlfn.ANCHORARRAY($B116),$BT:$CA,6,0),
2,_xlfn.ANCHORARRAY(AO116)*(1+_xlfn.ANCHORARRAY($D116))*VLOOKUP(AP$3&amp;$B$90&amp;_xlfn.ANCHORARRAY($B116),$BT:$CA,7,0))</f>
        <v>11700</v>
      </c>
      <c r="AQ116" s="59" cm="1">
        <f t="array" aca="1" ref="AQ116:AQ129" ca="1">_xlfn.SWITCH(IFERROR(VLOOKUP(AQ$3&amp;$B$90&amp;_xlfn.ANCHORARRAY($B116),$BT:$CA,5,0),0),
0,_xlfn.ANCHORARRAY(AP116)*(1+$D116)+SUMIF($BT:$BT,AQ$3&amp;$B$90&amp;_xlfn.ANCHORARRAY($B116),$CA:$CA),
1,VLOOKUP(AQ$3&amp;$B$90&amp;_xlfn.ANCHORARRAY($B116),$BT:$CA,6,0),
2,_xlfn.ANCHORARRAY(AP116)*(1+_xlfn.ANCHORARRAY($D116))*VLOOKUP(AQ$3&amp;$B$90&amp;_xlfn.ANCHORARRAY($B116),$BT:$CA,7,0))</f>
        <v>11700</v>
      </c>
      <c r="AR116" s="59" cm="1">
        <f t="array" aca="1" ref="AR116:AR129" ca="1">_xlfn.SWITCH(IFERROR(VLOOKUP(AR$3&amp;$B$90&amp;_xlfn.ANCHORARRAY($B116),$BT:$CA,5,0),0),
0,_xlfn.ANCHORARRAY(AQ116)*(1+$D116)+SUMIF($BT:$BT,AR$3&amp;$B$90&amp;_xlfn.ANCHORARRAY($B116),$CA:$CA),
1,VLOOKUP(AR$3&amp;$B$90&amp;_xlfn.ANCHORARRAY($B116),$BT:$CA,6,0),
2,_xlfn.ANCHORARRAY(AQ116)*(1+_xlfn.ANCHORARRAY($D116))*VLOOKUP(AR$3&amp;$B$90&amp;_xlfn.ANCHORARRAY($B116),$BT:$CA,7,0))</f>
        <v>11700</v>
      </c>
      <c r="AS116" s="59" cm="1">
        <f t="array" aca="1" ref="AS116:AS129" ca="1">_xlfn.SWITCH(IFERROR(VLOOKUP(AS$3&amp;$B$90&amp;_xlfn.ANCHORARRAY($B116),$BT:$CA,5,0),0),
0,_xlfn.ANCHORARRAY(AR116)*(1+$D116)+SUMIF($BT:$BT,AS$3&amp;$B$90&amp;_xlfn.ANCHORARRAY($B116),$CA:$CA),
1,VLOOKUP(AS$3&amp;$B$90&amp;_xlfn.ANCHORARRAY($B116),$BT:$CA,6,0),
2,_xlfn.ANCHORARRAY(AR116)*(1+_xlfn.ANCHORARRAY($D116))*VLOOKUP(AS$3&amp;$B$90&amp;_xlfn.ANCHORARRAY($B116),$BT:$CA,7,0))</f>
        <v>11700</v>
      </c>
      <c r="AT116" s="59" cm="1">
        <f t="array" aca="1" ref="AT116:AT129" ca="1">_xlfn.SWITCH(IFERROR(VLOOKUP(AT$3&amp;$B$90&amp;_xlfn.ANCHORARRAY($B116),$BT:$CA,5,0),0),
0,_xlfn.ANCHORARRAY(AS116)*(1+$D116)+SUMIF($BT:$BT,AT$3&amp;$B$90&amp;_xlfn.ANCHORARRAY($B116),$CA:$CA),
1,VLOOKUP(AT$3&amp;$B$90&amp;_xlfn.ANCHORARRAY($B116),$BT:$CA,6,0),
2,_xlfn.ANCHORARRAY(AS116)*(1+_xlfn.ANCHORARRAY($D116))*VLOOKUP(AT$3&amp;$B$90&amp;_xlfn.ANCHORARRAY($B116),$BT:$CA,7,0))</f>
        <v>11700</v>
      </c>
      <c r="AU116" s="59" cm="1">
        <f t="array" aca="1" ref="AU116:AU129" ca="1">_xlfn.SWITCH(IFERROR(VLOOKUP(AU$3&amp;$B$90&amp;_xlfn.ANCHORARRAY($B116),$BT:$CA,5,0),0),
0,_xlfn.ANCHORARRAY(AT116)*(1+$D116)+SUMIF($BT:$BT,AU$3&amp;$B$90&amp;_xlfn.ANCHORARRAY($B116),$CA:$CA),
1,VLOOKUP(AU$3&amp;$B$90&amp;_xlfn.ANCHORARRAY($B116),$BT:$CA,6,0),
2,_xlfn.ANCHORARRAY(AT116)*(1+_xlfn.ANCHORARRAY($D116))*VLOOKUP(AU$3&amp;$B$90&amp;_xlfn.ANCHORARRAY($B116),$BT:$CA,7,0))</f>
        <v>11700</v>
      </c>
      <c r="AV116" s="59" cm="1">
        <f t="array" aca="1" ref="AV116:AV129" ca="1">_xlfn.SWITCH(IFERROR(VLOOKUP(AV$3&amp;$B$90&amp;_xlfn.ANCHORARRAY($B116),$BT:$CA,5,0),0),
0,_xlfn.ANCHORARRAY(AU116)*(1+$D116)+SUMIF($BT:$BT,AV$3&amp;$B$90&amp;_xlfn.ANCHORARRAY($B116),$CA:$CA),
1,VLOOKUP(AV$3&amp;$B$90&amp;_xlfn.ANCHORARRAY($B116),$BT:$CA,6,0),
2,_xlfn.ANCHORARRAY(AU116)*(1+_xlfn.ANCHORARRAY($D116))*VLOOKUP(AV$3&amp;$B$90&amp;_xlfn.ANCHORARRAY($B116),$BT:$CA,7,0))</f>
        <v>11700</v>
      </c>
      <c r="AW116" s="59" cm="1">
        <f t="array" aca="1" ref="AW116:AW129" ca="1">_xlfn.SWITCH(IFERROR(VLOOKUP(AW$3&amp;$B$90&amp;_xlfn.ANCHORARRAY($B116),$BT:$CA,5,0),0),
0,_xlfn.ANCHORARRAY(AV116)*(1+$D116)+SUMIF($BT:$BT,AW$3&amp;$B$90&amp;_xlfn.ANCHORARRAY($B116),$CA:$CA),
1,VLOOKUP(AW$3&amp;$B$90&amp;_xlfn.ANCHORARRAY($B116),$BT:$CA,6,0),
2,_xlfn.ANCHORARRAY(AV116)*(1+_xlfn.ANCHORARRAY($D116))*VLOOKUP(AW$3&amp;$B$90&amp;_xlfn.ANCHORARRAY($B116),$BT:$CA,7,0))</f>
        <v>11700</v>
      </c>
      <c r="AX116" s="59" cm="1">
        <f t="array" aca="1" ref="AX116:AX129" ca="1">_xlfn.SWITCH(IFERROR(VLOOKUP(AX$3&amp;$B$90&amp;_xlfn.ANCHORARRAY($B116),$BT:$CA,5,0),0),
0,_xlfn.ANCHORARRAY(AW116)*(1+$D116)+SUMIF($BT:$BT,AX$3&amp;$B$90&amp;_xlfn.ANCHORARRAY($B116),$CA:$CA),
1,VLOOKUP(AX$3&amp;$B$90&amp;_xlfn.ANCHORARRAY($B116),$BT:$CA,6,0),
2,_xlfn.ANCHORARRAY(AW116)*(1+_xlfn.ANCHORARRAY($D116))*VLOOKUP(AX$3&amp;$B$90&amp;_xlfn.ANCHORARRAY($B116),$BT:$CA,7,0))</f>
        <v>11700</v>
      </c>
      <c r="AY116" s="59" cm="1">
        <f t="array" aca="1" ref="AY116:AY129" ca="1">_xlfn.SWITCH(IFERROR(VLOOKUP(AY$3&amp;$B$90&amp;_xlfn.ANCHORARRAY($B116),$BT:$CA,5,0),0),
0,_xlfn.ANCHORARRAY(AX116)*(1+$D116)+SUMIF($BT:$BT,AY$3&amp;$B$90&amp;_xlfn.ANCHORARRAY($B116),$CA:$CA),
1,VLOOKUP(AY$3&amp;$B$90&amp;_xlfn.ANCHORARRAY($B116),$BT:$CA,6,0),
2,_xlfn.ANCHORARRAY(AX116)*(1+_xlfn.ANCHORARRAY($D116))*VLOOKUP(AY$3&amp;$B$90&amp;_xlfn.ANCHORARRAY($B116),$BT:$CA,7,0))</f>
        <v>11700</v>
      </c>
      <c r="AZ116" s="59" cm="1">
        <f t="array" aca="1" ref="AZ116:AZ129" ca="1">_xlfn.SWITCH(IFERROR(VLOOKUP(AZ$3&amp;$B$90&amp;_xlfn.ANCHORARRAY($B116),$BT:$CA,5,0),0),
0,_xlfn.ANCHORARRAY(AY116)*(1+$D116)+SUMIF($BT:$BT,AZ$3&amp;$B$90&amp;_xlfn.ANCHORARRAY($B116),$CA:$CA),
1,VLOOKUP(AZ$3&amp;$B$90&amp;_xlfn.ANCHORARRAY($B116),$BT:$CA,6,0),
2,_xlfn.ANCHORARRAY(AY116)*(1+_xlfn.ANCHORARRAY($D116))*VLOOKUP(AZ$3&amp;$B$90&amp;_xlfn.ANCHORARRAY($B116),$BT:$CA,7,0))</f>
        <v>11700</v>
      </c>
      <c r="BA116" s="59" cm="1">
        <f t="array" aca="1" ref="BA116:BA129" ca="1">_xlfn.SWITCH(IFERROR(VLOOKUP(BA$3&amp;$B$90&amp;_xlfn.ANCHORARRAY($B116),$BT:$CA,5,0),0),
0,_xlfn.ANCHORARRAY(AZ116)*(1+$D116)+SUMIF($BT:$BT,BA$3&amp;$B$90&amp;_xlfn.ANCHORARRAY($B116),$CA:$CA),
1,VLOOKUP(BA$3&amp;$B$90&amp;_xlfn.ANCHORARRAY($B116),$BT:$CA,6,0),
2,_xlfn.ANCHORARRAY(AZ116)*(1+_xlfn.ANCHORARRAY($D116))*VLOOKUP(BA$3&amp;$B$90&amp;_xlfn.ANCHORARRAY($B116),$BT:$CA,7,0))</f>
        <v>11700</v>
      </c>
      <c r="BS116" s="5">
        <f t="shared" si="40"/>
        <v>1048495</v>
      </c>
      <c r="BT116" s="5" t="str">
        <f t="shared" si="39"/>
        <v/>
      </c>
      <c r="CD116" s="5" t="e">
        <f t="shared" ca="1" si="26"/>
        <v>#REF!</v>
      </c>
      <c r="CE116" s="5" t="e">
        <f t="shared" ca="1" si="27"/>
        <v>#REF!</v>
      </c>
      <c r="CF116" s="5" t="e">
        <f t="shared" ca="1" si="25"/>
        <v>#REF!</v>
      </c>
      <c r="CG116" s="5"/>
    </row>
    <row r="117" spans="1:85" x14ac:dyDescent="0.25">
      <c r="A117" s="57" t="str">
        <f ca="1"/>
        <v>Liegenschaftsk. Pasadena (20% Mietwert)</v>
      </c>
      <c r="B117" s="57">
        <f ca="1"/>
        <v>3</v>
      </c>
      <c r="C117" s="53" t="str">
        <f ca="1"/>
        <v>Sheldon</v>
      </c>
      <c r="D117" s="54"/>
      <c r="E117" s="63"/>
      <c r="F117" s="59">
        <f ca="1"/>
        <v>-2340</v>
      </c>
      <c r="G117" s="59">
        <f ca="1"/>
        <v>-2340</v>
      </c>
      <c r="H117" s="59">
        <f ca="1"/>
        <v>-2340</v>
      </c>
      <c r="I117" s="59">
        <f ca="1"/>
        <v>-2340</v>
      </c>
      <c r="J117" s="59">
        <f ca="1"/>
        <v>-2340</v>
      </c>
      <c r="K117" s="59">
        <f ca="1"/>
        <v>-2340</v>
      </c>
      <c r="L117" s="59">
        <f ca="1"/>
        <v>-2340</v>
      </c>
      <c r="M117" s="59">
        <f ca="1"/>
        <v>-2340</v>
      </c>
      <c r="N117" s="59">
        <f ca="1"/>
        <v>-2340</v>
      </c>
      <c r="O117" s="59">
        <f ca="1"/>
        <v>-2340</v>
      </c>
      <c r="P117" s="59">
        <f ca="1"/>
        <v>-2340</v>
      </c>
      <c r="Q117" s="59">
        <f ca="1"/>
        <v>-2340</v>
      </c>
      <c r="R117" s="59">
        <f ca="1"/>
        <v>-2340</v>
      </c>
      <c r="S117" s="59">
        <f ca="1"/>
        <v>-2340</v>
      </c>
      <c r="T117" s="59">
        <f ca="1"/>
        <v>-2340</v>
      </c>
      <c r="U117" s="59">
        <f ca="1"/>
        <v>-2340</v>
      </c>
      <c r="V117" s="59">
        <f ca="1"/>
        <v>-2340</v>
      </c>
      <c r="W117" s="59">
        <f ca="1"/>
        <v>-2340</v>
      </c>
      <c r="X117" s="59">
        <f ca="1"/>
        <v>-2340</v>
      </c>
      <c r="Y117" s="59">
        <f ca="1"/>
        <v>-2340</v>
      </c>
      <c r="Z117" s="59">
        <f ca="1"/>
        <v>-2340</v>
      </c>
      <c r="AA117" s="59">
        <f ca="1"/>
        <v>-2340</v>
      </c>
      <c r="AB117" s="59">
        <f ca="1"/>
        <v>-2340</v>
      </c>
      <c r="AC117" s="59">
        <f ca="1"/>
        <v>-2340</v>
      </c>
      <c r="AD117" s="59">
        <f ca="1"/>
        <v>-2340</v>
      </c>
      <c r="AE117" s="59">
        <f ca="1"/>
        <v>-2340</v>
      </c>
      <c r="AF117" s="59">
        <f ca="1"/>
        <v>-2340</v>
      </c>
      <c r="AG117" s="59">
        <f ca="1"/>
        <v>-2340</v>
      </c>
      <c r="AH117" s="59">
        <f ca="1"/>
        <v>-2340</v>
      </c>
      <c r="AI117" s="59">
        <f ca="1"/>
        <v>-2340</v>
      </c>
      <c r="AJ117" s="59">
        <f ca="1"/>
        <v>-2340</v>
      </c>
      <c r="AK117" s="59">
        <f ca="1"/>
        <v>-2340</v>
      </c>
      <c r="AL117" s="59">
        <f ca="1"/>
        <v>-2340</v>
      </c>
      <c r="AM117" s="59">
        <f ca="1"/>
        <v>-2340</v>
      </c>
      <c r="AN117" s="59">
        <f ca="1"/>
        <v>-2340</v>
      </c>
      <c r="AO117" s="59">
        <f ca="1"/>
        <v>-2340</v>
      </c>
      <c r="AP117" s="59">
        <f ca="1"/>
        <v>-2340</v>
      </c>
      <c r="AQ117" s="59">
        <f ca="1"/>
        <v>-2340</v>
      </c>
      <c r="AR117" s="59">
        <f ca="1"/>
        <v>-2340</v>
      </c>
      <c r="AS117" s="59">
        <f ca="1"/>
        <v>-2340</v>
      </c>
      <c r="AT117" s="59">
        <f ca="1"/>
        <v>-2340</v>
      </c>
      <c r="AU117" s="59">
        <f ca="1"/>
        <v>-2340</v>
      </c>
      <c r="AV117" s="59">
        <f ca="1"/>
        <v>-2340</v>
      </c>
      <c r="AW117" s="59">
        <f ca="1"/>
        <v>-2340</v>
      </c>
      <c r="AX117" s="59">
        <f ca="1"/>
        <v>-2340</v>
      </c>
      <c r="AY117" s="59">
        <f ca="1"/>
        <v>-2340</v>
      </c>
      <c r="AZ117" s="59">
        <f ca="1"/>
        <v>-2340</v>
      </c>
      <c r="BA117" s="59">
        <f ca="1"/>
        <v>-2340</v>
      </c>
      <c r="BS117" s="5">
        <f t="shared" si="40"/>
        <v>1048495</v>
      </c>
      <c r="BT117" s="5" t="str">
        <f t="shared" si="39"/>
        <v/>
      </c>
      <c r="CD117" s="5" t="e">
        <f t="shared" ca="1" si="26"/>
        <v>#REF!</v>
      </c>
      <c r="CE117" s="5" t="e">
        <f t="shared" ca="1" si="27"/>
        <v>#REF!</v>
      </c>
      <c r="CF117" s="5" t="e">
        <f t="shared" ca="1" si="25"/>
        <v>#REF!</v>
      </c>
      <c r="CG117" s="5"/>
    </row>
    <row r="118" spans="1:85" x14ac:dyDescent="0.25">
      <c r="A118" s="57" t="str">
        <f ca="1"/>
        <v>Liegenschaftssteuer Pasadena</v>
      </c>
      <c r="B118" s="57">
        <f ca="1"/>
        <v>5</v>
      </c>
      <c r="C118" s="53" t="str">
        <f ca="1"/>
        <v>Sheldon</v>
      </c>
      <c r="D118" s="54"/>
      <c r="E118" s="63"/>
      <c r="F118" s="59">
        <f ca="1"/>
        <v>-281</v>
      </c>
      <c r="G118" s="59">
        <f ca="1"/>
        <v>-281</v>
      </c>
      <c r="H118" s="59">
        <f ca="1"/>
        <v>-281</v>
      </c>
      <c r="I118" s="59">
        <f ca="1"/>
        <v>-281</v>
      </c>
      <c r="J118" s="59">
        <f ca="1"/>
        <v>-281</v>
      </c>
      <c r="K118" s="59">
        <f ca="1"/>
        <v>-281</v>
      </c>
      <c r="L118" s="59">
        <f ca="1"/>
        <v>-281</v>
      </c>
      <c r="M118" s="59">
        <f ca="1"/>
        <v>-281</v>
      </c>
      <c r="N118" s="59">
        <f ca="1"/>
        <v>-281</v>
      </c>
      <c r="O118" s="59">
        <f ca="1"/>
        <v>-281</v>
      </c>
      <c r="P118" s="59">
        <f ca="1"/>
        <v>-281</v>
      </c>
      <c r="Q118" s="59">
        <f ca="1"/>
        <v>-281</v>
      </c>
      <c r="R118" s="59">
        <f ca="1"/>
        <v>-281</v>
      </c>
      <c r="S118" s="59">
        <f ca="1"/>
        <v>-281</v>
      </c>
      <c r="T118" s="59">
        <f ca="1"/>
        <v>-281</v>
      </c>
      <c r="U118" s="59">
        <f ca="1"/>
        <v>-281</v>
      </c>
      <c r="V118" s="59">
        <f ca="1"/>
        <v>-281</v>
      </c>
      <c r="W118" s="59">
        <f ca="1"/>
        <v>-281</v>
      </c>
      <c r="X118" s="59">
        <f ca="1"/>
        <v>-281</v>
      </c>
      <c r="Y118" s="59">
        <f ca="1"/>
        <v>-281</v>
      </c>
      <c r="Z118" s="59">
        <f ca="1"/>
        <v>-281</v>
      </c>
      <c r="AA118" s="59">
        <f ca="1"/>
        <v>-281</v>
      </c>
      <c r="AB118" s="59">
        <f ca="1"/>
        <v>-281</v>
      </c>
      <c r="AC118" s="59">
        <f ca="1"/>
        <v>-281</v>
      </c>
      <c r="AD118" s="59">
        <f ca="1"/>
        <v>-281</v>
      </c>
      <c r="AE118" s="59">
        <f ca="1"/>
        <v>-281</v>
      </c>
      <c r="AF118" s="59">
        <f ca="1"/>
        <v>-281</v>
      </c>
      <c r="AG118" s="59">
        <f ca="1"/>
        <v>-281</v>
      </c>
      <c r="AH118" s="59">
        <f ca="1"/>
        <v>-281</v>
      </c>
      <c r="AI118" s="59">
        <f ca="1"/>
        <v>-281</v>
      </c>
      <c r="AJ118" s="59">
        <f ca="1"/>
        <v>-281</v>
      </c>
      <c r="AK118" s="59">
        <f ca="1"/>
        <v>-281</v>
      </c>
      <c r="AL118" s="59">
        <f ca="1"/>
        <v>-281</v>
      </c>
      <c r="AM118" s="59">
        <f ca="1"/>
        <v>-281</v>
      </c>
      <c r="AN118" s="59">
        <f ca="1"/>
        <v>-281</v>
      </c>
      <c r="AO118" s="59">
        <f ca="1"/>
        <v>-281</v>
      </c>
      <c r="AP118" s="59">
        <f ca="1"/>
        <v>-281</v>
      </c>
      <c r="AQ118" s="59">
        <f ca="1"/>
        <v>-281</v>
      </c>
      <c r="AR118" s="59">
        <f ca="1"/>
        <v>-281</v>
      </c>
      <c r="AS118" s="59">
        <f ca="1"/>
        <v>-281</v>
      </c>
      <c r="AT118" s="59">
        <f ca="1"/>
        <v>-281</v>
      </c>
      <c r="AU118" s="59">
        <f ca="1"/>
        <v>-281</v>
      </c>
      <c r="AV118" s="59">
        <f ca="1"/>
        <v>-281</v>
      </c>
      <c r="AW118" s="59">
        <f ca="1"/>
        <v>-281</v>
      </c>
      <c r="AX118" s="59">
        <f ca="1"/>
        <v>-281</v>
      </c>
      <c r="AY118" s="59">
        <f ca="1"/>
        <v>-281</v>
      </c>
      <c r="AZ118" s="59">
        <f ca="1"/>
        <v>-281</v>
      </c>
      <c r="BA118" s="59">
        <f ca="1"/>
        <v>-281</v>
      </c>
      <c r="BS118" s="5">
        <f t="shared" si="40"/>
        <v>1048495</v>
      </c>
      <c r="BT118" s="5" t="str">
        <f t="shared" si="39"/>
        <v/>
      </c>
      <c r="CD118" s="5" t="e">
        <f t="shared" ca="1" si="26"/>
        <v>#REF!</v>
      </c>
      <c r="CE118" s="5" t="e">
        <f t="shared" ca="1" si="27"/>
        <v>#REF!</v>
      </c>
      <c r="CF118" s="5" t="e">
        <f t="shared" ca="1" si="25"/>
        <v>#REF!</v>
      </c>
      <c r="CG118" s="5"/>
    </row>
    <row r="119" spans="1:85" x14ac:dyDescent="0.25">
      <c r="A119" s="57" t="str">
        <f ca="1"/>
        <v>Fahrkosten</v>
      </c>
      <c r="B119" s="57">
        <f ca="1"/>
        <v>6</v>
      </c>
      <c r="C119" s="53" t="str">
        <f ca="1"/>
        <v>Sheldon</v>
      </c>
      <c r="D119" s="54"/>
      <c r="E119" s="63"/>
      <c r="F119" s="59">
        <f ca="1"/>
        <v>-1972</v>
      </c>
      <c r="G119" s="59">
        <f ca="1"/>
        <v>-1972</v>
      </c>
      <c r="H119" s="59">
        <f ca="1"/>
        <v>-1972</v>
      </c>
      <c r="I119" s="59">
        <f ca="1"/>
        <v>-1972</v>
      </c>
      <c r="J119" s="59">
        <f ca="1"/>
        <v>-1972</v>
      </c>
      <c r="K119" s="59">
        <f ca="1"/>
        <v>-1972</v>
      </c>
      <c r="L119" s="59">
        <f ca="1"/>
        <v>-1972</v>
      </c>
      <c r="M119" s="59">
        <f ca="1"/>
        <v>0</v>
      </c>
      <c r="N119" s="59">
        <f ca="1"/>
        <v>0</v>
      </c>
      <c r="O119" s="59">
        <f ca="1"/>
        <v>0</v>
      </c>
      <c r="P119" s="59">
        <f ca="1"/>
        <v>0</v>
      </c>
      <c r="Q119" s="59">
        <f ca="1"/>
        <v>0</v>
      </c>
      <c r="R119" s="59">
        <f ca="1"/>
        <v>0</v>
      </c>
      <c r="S119" s="59">
        <f ca="1"/>
        <v>0</v>
      </c>
      <c r="T119" s="59">
        <f ca="1"/>
        <v>0</v>
      </c>
      <c r="U119" s="59">
        <f ca="1"/>
        <v>0</v>
      </c>
      <c r="V119" s="59">
        <f ca="1"/>
        <v>0</v>
      </c>
      <c r="W119" s="59">
        <f ca="1"/>
        <v>0</v>
      </c>
      <c r="X119" s="59">
        <f ca="1"/>
        <v>0</v>
      </c>
      <c r="Y119" s="59">
        <f ca="1"/>
        <v>0</v>
      </c>
      <c r="Z119" s="59">
        <f ca="1"/>
        <v>0</v>
      </c>
      <c r="AA119" s="59">
        <f ca="1"/>
        <v>0</v>
      </c>
      <c r="AB119" s="59">
        <f ca="1"/>
        <v>0</v>
      </c>
      <c r="AC119" s="59">
        <f ca="1"/>
        <v>0</v>
      </c>
      <c r="AD119" s="59">
        <f ca="1"/>
        <v>0</v>
      </c>
      <c r="AE119" s="59">
        <f ca="1"/>
        <v>0</v>
      </c>
      <c r="AF119" s="59">
        <f ca="1"/>
        <v>0</v>
      </c>
      <c r="AG119" s="59">
        <f ca="1"/>
        <v>0</v>
      </c>
      <c r="AH119" s="59">
        <f ca="1"/>
        <v>0</v>
      </c>
      <c r="AI119" s="59">
        <f ca="1"/>
        <v>0</v>
      </c>
      <c r="AJ119" s="59">
        <f ca="1"/>
        <v>0</v>
      </c>
      <c r="AK119" s="59">
        <f ca="1"/>
        <v>0</v>
      </c>
      <c r="AL119" s="59">
        <f ca="1"/>
        <v>0</v>
      </c>
      <c r="AM119" s="59">
        <f ca="1"/>
        <v>0</v>
      </c>
      <c r="AN119" s="59">
        <f ca="1"/>
        <v>0</v>
      </c>
      <c r="AO119" s="59">
        <f ca="1"/>
        <v>0</v>
      </c>
      <c r="AP119" s="59">
        <f ca="1"/>
        <v>0</v>
      </c>
      <c r="AQ119" s="59">
        <f ca="1"/>
        <v>0</v>
      </c>
      <c r="AR119" s="59">
        <f ca="1"/>
        <v>0</v>
      </c>
      <c r="AS119" s="59">
        <f ca="1"/>
        <v>0</v>
      </c>
      <c r="AT119" s="59">
        <f ca="1"/>
        <v>0</v>
      </c>
      <c r="AU119" s="59">
        <f ca="1"/>
        <v>0</v>
      </c>
      <c r="AV119" s="59">
        <f ca="1"/>
        <v>0</v>
      </c>
      <c r="AW119" s="59">
        <f ca="1"/>
        <v>0</v>
      </c>
      <c r="AX119" s="59">
        <f ca="1"/>
        <v>0</v>
      </c>
      <c r="AY119" s="59">
        <f ca="1"/>
        <v>0</v>
      </c>
      <c r="AZ119" s="59">
        <f ca="1"/>
        <v>0</v>
      </c>
      <c r="BA119" s="59">
        <f ca="1"/>
        <v>0</v>
      </c>
      <c r="BS119" s="5">
        <f t="shared" si="40"/>
        <v>1048495</v>
      </c>
      <c r="BT119" s="5" t="str">
        <f t="shared" si="39"/>
        <v/>
      </c>
      <c r="CD119" s="5" t="e">
        <f t="shared" ca="1" si="26"/>
        <v>#REF!</v>
      </c>
      <c r="CE119" s="5" t="e">
        <f t="shared" ca="1" si="27"/>
        <v>#REF!</v>
      </c>
      <c r="CF119" s="5" t="e">
        <f t="shared" ca="1" si="25"/>
        <v>#REF!</v>
      </c>
      <c r="CG119" s="5"/>
    </row>
    <row r="120" spans="1:85" x14ac:dyDescent="0.25">
      <c r="A120" s="57" t="str">
        <f ca="1"/>
        <v>Auswärtige Verpflegung</v>
      </c>
      <c r="B120" s="57">
        <f ca="1"/>
        <v>7</v>
      </c>
      <c r="C120" s="53" t="str">
        <f ca="1"/>
        <v>Sheldon</v>
      </c>
      <c r="D120" s="54"/>
      <c r="E120" s="63"/>
      <c r="F120" s="59">
        <f ca="1"/>
        <v>-1200</v>
      </c>
      <c r="G120" s="59">
        <f ca="1"/>
        <v>-1200</v>
      </c>
      <c r="H120" s="59">
        <f ca="1"/>
        <v>-1200</v>
      </c>
      <c r="I120" s="59">
        <f ca="1"/>
        <v>-1200</v>
      </c>
      <c r="J120" s="59">
        <f ca="1"/>
        <v>-1200</v>
      </c>
      <c r="K120" s="59">
        <f ca="1"/>
        <v>-1200</v>
      </c>
      <c r="L120" s="59">
        <f ca="1"/>
        <v>-1200</v>
      </c>
      <c r="M120" s="59">
        <f ca="1"/>
        <v>0</v>
      </c>
      <c r="N120" s="59">
        <f ca="1"/>
        <v>0</v>
      </c>
      <c r="O120" s="59">
        <f ca="1"/>
        <v>0</v>
      </c>
      <c r="P120" s="59">
        <f ca="1"/>
        <v>0</v>
      </c>
      <c r="Q120" s="59">
        <f ca="1"/>
        <v>0</v>
      </c>
      <c r="R120" s="59">
        <f ca="1"/>
        <v>0</v>
      </c>
      <c r="S120" s="59">
        <f ca="1"/>
        <v>0</v>
      </c>
      <c r="T120" s="59">
        <f ca="1"/>
        <v>0</v>
      </c>
      <c r="U120" s="59">
        <f ca="1"/>
        <v>0</v>
      </c>
      <c r="V120" s="59">
        <f ca="1"/>
        <v>0</v>
      </c>
      <c r="W120" s="59">
        <f ca="1"/>
        <v>0</v>
      </c>
      <c r="X120" s="59">
        <f ca="1"/>
        <v>0</v>
      </c>
      <c r="Y120" s="59">
        <f ca="1"/>
        <v>0</v>
      </c>
      <c r="Z120" s="59">
        <f ca="1"/>
        <v>0</v>
      </c>
      <c r="AA120" s="59">
        <f ca="1"/>
        <v>0</v>
      </c>
      <c r="AB120" s="59">
        <f ca="1"/>
        <v>0</v>
      </c>
      <c r="AC120" s="59">
        <f ca="1"/>
        <v>0</v>
      </c>
      <c r="AD120" s="59">
        <f ca="1"/>
        <v>0</v>
      </c>
      <c r="AE120" s="59">
        <f ca="1"/>
        <v>0</v>
      </c>
      <c r="AF120" s="59">
        <f ca="1"/>
        <v>0</v>
      </c>
      <c r="AG120" s="59">
        <f ca="1"/>
        <v>0</v>
      </c>
      <c r="AH120" s="59">
        <f ca="1"/>
        <v>0</v>
      </c>
      <c r="AI120" s="59">
        <f ca="1"/>
        <v>0</v>
      </c>
      <c r="AJ120" s="59">
        <f ca="1"/>
        <v>0</v>
      </c>
      <c r="AK120" s="59">
        <f ca="1"/>
        <v>0</v>
      </c>
      <c r="AL120" s="59">
        <f ca="1"/>
        <v>0</v>
      </c>
      <c r="AM120" s="59">
        <f ca="1"/>
        <v>0</v>
      </c>
      <c r="AN120" s="59">
        <f ca="1"/>
        <v>0</v>
      </c>
      <c r="AO120" s="59">
        <f ca="1"/>
        <v>0</v>
      </c>
      <c r="AP120" s="59">
        <f ca="1"/>
        <v>0</v>
      </c>
      <c r="AQ120" s="59">
        <f ca="1"/>
        <v>0</v>
      </c>
      <c r="AR120" s="59">
        <f ca="1"/>
        <v>0</v>
      </c>
      <c r="AS120" s="59">
        <f ca="1"/>
        <v>0</v>
      </c>
      <c r="AT120" s="59">
        <f ca="1"/>
        <v>0</v>
      </c>
      <c r="AU120" s="59">
        <f ca="1"/>
        <v>0</v>
      </c>
      <c r="AV120" s="59">
        <f ca="1"/>
        <v>0</v>
      </c>
      <c r="AW120" s="59">
        <f ca="1"/>
        <v>0</v>
      </c>
      <c r="AX120" s="59">
        <f ca="1"/>
        <v>0</v>
      </c>
      <c r="AY120" s="59">
        <f ca="1"/>
        <v>0</v>
      </c>
      <c r="AZ120" s="59">
        <f ca="1"/>
        <v>0</v>
      </c>
      <c r="BA120" s="59">
        <f ca="1"/>
        <v>0</v>
      </c>
      <c r="BS120" s="5">
        <f t="shared" si="40"/>
        <v>1048495</v>
      </c>
      <c r="BT120" s="5" t="str">
        <f t="shared" si="39"/>
        <v/>
      </c>
      <c r="CD120" s="5" t="e">
        <f t="shared" ca="1" si="26"/>
        <v>#REF!</v>
      </c>
      <c r="CE120" s="5" t="e">
        <f t="shared" ca="1" si="27"/>
        <v>#REF!</v>
      </c>
      <c r="CF120" s="5" t="e">
        <f t="shared" ca="1" si="25"/>
        <v>#REF!</v>
      </c>
      <c r="CG120" s="5"/>
    </row>
    <row r="121" spans="1:85" x14ac:dyDescent="0.25">
      <c r="A121" s="57" t="str">
        <f ca="1"/>
        <v>Übrige Berufskosten</v>
      </c>
      <c r="B121" s="57">
        <f ca="1"/>
        <v>8</v>
      </c>
      <c r="C121" s="53" t="str">
        <f ca="1"/>
        <v>Sheldon</v>
      </c>
      <c r="D121" s="54"/>
      <c r="E121" s="63"/>
      <c r="F121" s="59">
        <f ca="1"/>
        <v>-2000</v>
      </c>
      <c r="G121" s="59">
        <f ca="1"/>
        <v>-2000</v>
      </c>
      <c r="H121" s="59">
        <f ca="1"/>
        <v>-2000</v>
      </c>
      <c r="I121" s="59">
        <f ca="1"/>
        <v>-2000</v>
      </c>
      <c r="J121" s="59">
        <f ca="1"/>
        <v>-2000</v>
      </c>
      <c r="K121" s="59">
        <f ca="1"/>
        <v>-2000</v>
      </c>
      <c r="L121" s="59">
        <f ca="1"/>
        <v>-2000</v>
      </c>
      <c r="M121" s="59">
        <f ca="1"/>
        <v>0</v>
      </c>
      <c r="N121" s="59">
        <f ca="1"/>
        <v>0</v>
      </c>
      <c r="O121" s="59">
        <f ca="1"/>
        <v>0</v>
      </c>
      <c r="P121" s="59">
        <f ca="1"/>
        <v>0</v>
      </c>
      <c r="Q121" s="59">
        <f ca="1"/>
        <v>0</v>
      </c>
      <c r="R121" s="59">
        <f ca="1"/>
        <v>0</v>
      </c>
      <c r="S121" s="59">
        <f ca="1"/>
        <v>0</v>
      </c>
      <c r="T121" s="59">
        <f ca="1"/>
        <v>0</v>
      </c>
      <c r="U121" s="59">
        <f ca="1"/>
        <v>0</v>
      </c>
      <c r="V121" s="59">
        <f ca="1"/>
        <v>0</v>
      </c>
      <c r="W121" s="59">
        <f ca="1"/>
        <v>0</v>
      </c>
      <c r="X121" s="59">
        <f ca="1"/>
        <v>0</v>
      </c>
      <c r="Y121" s="59">
        <f ca="1"/>
        <v>0</v>
      </c>
      <c r="Z121" s="59">
        <f ca="1"/>
        <v>0</v>
      </c>
      <c r="AA121" s="59">
        <f ca="1"/>
        <v>0</v>
      </c>
      <c r="AB121" s="59">
        <f ca="1"/>
        <v>0</v>
      </c>
      <c r="AC121" s="59">
        <f ca="1"/>
        <v>0</v>
      </c>
      <c r="AD121" s="59">
        <f ca="1"/>
        <v>0</v>
      </c>
      <c r="AE121" s="59">
        <f ca="1"/>
        <v>0</v>
      </c>
      <c r="AF121" s="59">
        <f ca="1"/>
        <v>0</v>
      </c>
      <c r="AG121" s="59">
        <f ca="1"/>
        <v>0</v>
      </c>
      <c r="AH121" s="59">
        <f ca="1"/>
        <v>0</v>
      </c>
      <c r="AI121" s="59">
        <f ca="1"/>
        <v>0</v>
      </c>
      <c r="AJ121" s="59">
        <f ca="1"/>
        <v>0</v>
      </c>
      <c r="AK121" s="59">
        <f ca="1"/>
        <v>0</v>
      </c>
      <c r="AL121" s="59">
        <f ca="1"/>
        <v>0</v>
      </c>
      <c r="AM121" s="59">
        <f ca="1"/>
        <v>0</v>
      </c>
      <c r="AN121" s="59">
        <f ca="1"/>
        <v>0</v>
      </c>
      <c r="AO121" s="59">
        <f ca="1"/>
        <v>0</v>
      </c>
      <c r="AP121" s="59">
        <f ca="1"/>
        <v>0</v>
      </c>
      <c r="AQ121" s="59">
        <f ca="1"/>
        <v>0</v>
      </c>
      <c r="AR121" s="59">
        <f ca="1"/>
        <v>0</v>
      </c>
      <c r="AS121" s="59">
        <f ca="1"/>
        <v>0</v>
      </c>
      <c r="AT121" s="59">
        <f ca="1"/>
        <v>0</v>
      </c>
      <c r="AU121" s="59">
        <f ca="1"/>
        <v>0</v>
      </c>
      <c r="AV121" s="59">
        <f ca="1"/>
        <v>0</v>
      </c>
      <c r="AW121" s="59">
        <f ca="1"/>
        <v>0</v>
      </c>
      <c r="AX121" s="59">
        <f ca="1"/>
        <v>0</v>
      </c>
      <c r="AY121" s="59">
        <f ca="1"/>
        <v>0</v>
      </c>
      <c r="AZ121" s="59">
        <f ca="1"/>
        <v>0</v>
      </c>
      <c r="BA121" s="59">
        <f ca="1"/>
        <v>0</v>
      </c>
      <c r="BS121" s="5">
        <f t="shared" si="40"/>
        <v>1048495</v>
      </c>
      <c r="BT121" s="5" t="str">
        <f t="shared" si="39"/>
        <v/>
      </c>
      <c r="CD121" s="5" t="e">
        <f t="shared" ca="1" si="26"/>
        <v>#REF!</v>
      </c>
      <c r="CE121" s="5" t="e">
        <f t="shared" ca="1" si="27"/>
        <v>#REF!</v>
      </c>
      <c r="CF121" s="5" t="e">
        <f t="shared" ca="1" si="25"/>
        <v>#REF!</v>
      </c>
      <c r="CG121" s="5"/>
    </row>
    <row r="122" spans="1:85" x14ac:dyDescent="0.25">
      <c r="A122" s="57" t="str">
        <f ca="1"/>
        <v>Versicherungsprämien</v>
      </c>
      <c r="B122" s="57">
        <f ca="1"/>
        <v>9</v>
      </c>
      <c r="C122" s="53" t="str">
        <f ca="1"/>
        <v>Sheldon</v>
      </c>
      <c r="D122" s="54"/>
      <c r="E122" s="63"/>
      <c r="F122" s="59">
        <f ca="1"/>
        <v>-2750</v>
      </c>
      <c r="G122" s="59">
        <f ca="1"/>
        <v>-2750</v>
      </c>
      <c r="H122" s="59">
        <f ca="1"/>
        <v>-2750</v>
      </c>
      <c r="I122" s="59">
        <f ca="1"/>
        <v>-2750</v>
      </c>
      <c r="J122" s="59">
        <f ca="1"/>
        <v>-2750</v>
      </c>
      <c r="K122" s="59">
        <f ca="1"/>
        <v>-2750</v>
      </c>
      <c r="L122" s="59">
        <f ca="1"/>
        <v>-2750</v>
      </c>
      <c r="M122" s="59">
        <f ca="1"/>
        <v>-2750</v>
      </c>
      <c r="N122" s="59">
        <f ca="1"/>
        <v>-2750</v>
      </c>
      <c r="O122" s="59">
        <f ca="1"/>
        <v>-2750</v>
      </c>
      <c r="P122" s="59">
        <f ca="1"/>
        <v>-2750</v>
      </c>
      <c r="Q122" s="59">
        <f ca="1"/>
        <v>-2750</v>
      </c>
      <c r="R122" s="59">
        <f ca="1"/>
        <v>-2750</v>
      </c>
      <c r="S122" s="59">
        <f ca="1"/>
        <v>-2750</v>
      </c>
      <c r="T122" s="59">
        <f ca="1"/>
        <v>-2750</v>
      </c>
      <c r="U122" s="59">
        <f ca="1"/>
        <v>-2750</v>
      </c>
      <c r="V122" s="59">
        <f ca="1"/>
        <v>-2750</v>
      </c>
      <c r="W122" s="59">
        <f ca="1"/>
        <v>-2750</v>
      </c>
      <c r="X122" s="59">
        <f ca="1"/>
        <v>-2750</v>
      </c>
      <c r="Y122" s="59">
        <f ca="1"/>
        <v>-2750</v>
      </c>
      <c r="Z122" s="59">
        <f ca="1"/>
        <v>-2750</v>
      </c>
      <c r="AA122" s="59">
        <f ca="1"/>
        <v>-2750</v>
      </c>
      <c r="AB122" s="59">
        <f ca="1"/>
        <v>-2750</v>
      </c>
      <c r="AC122" s="59">
        <f ca="1"/>
        <v>-2750</v>
      </c>
      <c r="AD122" s="59">
        <f ca="1"/>
        <v>-2750</v>
      </c>
      <c r="AE122" s="59">
        <f ca="1"/>
        <v>-2750</v>
      </c>
      <c r="AF122" s="59">
        <f ca="1"/>
        <v>-2750</v>
      </c>
      <c r="AG122" s="59">
        <f ca="1"/>
        <v>-2750</v>
      </c>
      <c r="AH122" s="59">
        <f ca="1"/>
        <v>-2750</v>
      </c>
      <c r="AI122" s="59">
        <f ca="1"/>
        <v>-2750</v>
      </c>
      <c r="AJ122" s="59">
        <f ca="1"/>
        <v>-2750</v>
      </c>
      <c r="AK122" s="59">
        <f ca="1"/>
        <v>-2750</v>
      </c>
      <c r="AL122" s="59">
        <f ca="1"/>
        <v>-2750</v>
      </c>
      <c r="AM122" s="59">
        <f ca="1"/>
        <v>-2750</v>
      </c>
      <c r="AN122" s="59">
        <f ca="1"/>
        <v>-2750</v>
      </c>
      <c r="AO122" s="59">
        <f ca="1"/>
        <v>-2750</v>
      </c>
      <c r="AP122" s="59">
        <f ca="1"/>
        <v>-2750</v>
      </c>
      <c r="AQ122" s="59">
        <f ca="1"/>
        <v>-2750</v>
      </c>
      <c r="AR122" s="59">
        <f ca="1"/>
        <v>-2750</v>
      </c>
      <c r="AS122" s="59">
        <f ca="1"/>
        <v>-2750</v>
      </c>
      <c r="AT122" s="59">
        <f ca="1"/>
        <v>-2750</v>
      </c>
      <c r="AU122" s="59">
        <f ca="1"/>
        <v>-2750</v>
      </c>
      <c r="AV122" s="59">
        <f ca="1"/>
        <v>-2750</v>
      </c>
      <c r="AW122" s="59">
        <f ca="1"/>
        <v>-2750</v>
      </c>
      <c r="AX122" s="59">
        <f ca="1"/>
        <v>-2750</v>
      </c>
      <c r="AY122" s="59">
        <f ca="1"/>
        <v>-2750</v>
      </c>
      <c r="AZ122" s="59">
        <f ca="1"/>
        <v>-2750</v>
      </c>
      <c r="BA122" s="59">
        <f ca="1"/>
        <v>-2750</v>
      </c>
      <c r="BS122" s="5">
        <f t="shared" si="40"/>
        <v>1048495</v>
      </c>
      <c r="BT122" s="5" t="str">
        <f t="shared" si="39"/>
        <v/>
      </c>
      <c r="CD122" s="5" t="e">
        <f t="shared" ca="1" si="26"/>
        <v>#REF!</v>
      </c>
      <c r="CE122" s="5" t="e">
        <f t="shared" ca="1" si="27"/>
        <v>#REF!</v>
      </c>
      <c r="CF122" s="5" t="e">
        <f t="shared" ca="1" si="25"/>
        <v>#REF!</v>
      </c>
      <c r="CG122" s="5"/>
    </row>
    <row r="123" spans="1:85" x14ac:dyDescent="0.25">
      <c r="A123" s="57" t="str">
        <f ca="1"/>
        <v>Liegenschaftsk. New York (20% Mietwert)</v>
      </c>
      <c r="B123" s="57">
        <f ca="1"/>
        <v>10</v>
      </c>
      <c r="C123" s="53" t="str">
        <f ca="1"/>
        <v>-</v>
      </c>
      <c r="D123" s="54"/>
      <c r="E123" s="63"/>
      <c r="F123" s="59">
        <f ca="1"/>
        <v>-3372</v>
      </c>
      <c r="G123" s="59">
        <f ca="1"/>
        <v>-3372</v>
      </c>
      <c r="H123" s="59">
        <f ca="1"/>
        <v>-3372</v>
      </c>
      <c r="I123" s="59">
        <f ca="1"/>
        <v>-3372</v>
      </c>
      <c r="J123" s="59">
        <f ca="1"/>
        <v>-3372</v>
      </c>
      <c r="K123" s="59">
        <f ca="1"/>
        <v>-3372</v>
      </c>
      <c r="L123" s="59">
        <f ca="1"/>
        <v>-3372</v>
      </c>
      <c r="M123" s="59">
        <f ca="1"/>
        <v>-3372</v>
      </c>
      <c r="N123" s="59">
        <f ca="1"/>
        <v>-3372</v>
      </c>
      <c r="O123" s="59">
        <f ca="1"/>
        <v>-3372</v>
      </c>
      <c r="P123" s="59">
        <f ca="1"/>
        <v>-3372</v>
      </c>
      <c r="Q123" s="59">
        <f ca="1"/>
        <v>-3372</v>
      </c>
      <c r="R123" s="59">
        <f ca="1"/>
        <v>-3372</v>
      </c>
      <c r="S123" s="59">
        <f ca="1"/>
        <v>-3372</v>
      </c>
      <c r="T123" s="59">
        <f ca="1"/>
        <v>-3372</v>
      </c>
      <c r="U123" s="59">
        <f ca="1"/>
        <v>-3372</v>
      </c>
      <c r="V123" s="59">
        <f ca="1"/>
        <v>-3372</v>
      </c>
      <c r="W123" s="59">
        <f ca="1"/>
        <v>-3372</v>
      </c>
      <c r="X123" s="59">
        <f ca="1"/>
        <v>-3372</v>
      </c>
      <c r="Y123" s="59">
        <f ca="1"/>
        <v>-3372</v>
      </c>
      <c r="Z123" s="59">
        <f ca="1"/>
        <v>-3372</v>
      </c>
      <c r="AA123" s="59">
        <f ca="1"/>
        <v>-3372</v>
      </c>
      <c r="AB123" s="59">
        <f ca="1"/>
        <v>-3372</v>
      </c>
      <c r="AC123" s="59">
        <f ca="1"/>
        <v>-3372</v>
      </c>
      <c r="AD123" s="59">
        <f ca="1"/>
        <v>-3372</v>
      </c>
      <c r="AE123" s="59">
        <f ca="1"/>
        <v>-3372</v>
      </c>
      <c r="AF123" s="59">
        <f ca="1"/>
        <v>-3372</v>
      </c>
      <c r="AG123" s="59">
        <f ca="1"/>
        <v>-3372</v>
      </c>
      <c r="AH123" s="59">
        <f ca="1"/>
        <v>-3372</v>
      </c>
      <c r="AI123" s="59">
        <f ca="1"/>
        <v>-3372</v>
      </c>
      <c r="AJ123" s="59">
        <f ca="1"/>
        <v>-3372</v>
      </c>
      <c r="AK123" s="59">
        <f ca="1"/>
        <v>-3372</v>
      </c>
      <c r="AL123" s="59">
        <f ca="1"/>
        <v>-3372</v>
      </c>
      <c r="AM123" s="59">
        <f ca="1"/>
        <v>-3372</v>
      </c>
      <c r="AN123" s="59">
        <f ca="1"/>
        <v>-3372</v>
      </c>
      <c r="AO123" s="59">
        <f ca="1"/>
        <v>-3372</v>
      </c>
      <c r="AP123" s="59">
        <f ca="1"/>
        <v>-3372</v>
      </c>
      <c r="AQ123" s="59">
        <f ca="1"/>
        <v>-3372</v>
      </c>
      <c r="AR123" s="59">
        <f ca="1"/>
        <v>-3372</v>
      </c>
      <c r="AS123" s="59">
        <f ca="1"/>
        <v>-3372</v>
      </c>
      <c r="AT123" s="59">
        <f ca="1"/>
        <v>-3372</v>
      </c>
      <c r="AU123" s="59">
        <f ca="1"/>
        <v>-3372</v>
      </c>
      <c r="AV123" s="59">
        <f ca="1"/>
        <v>-3372</v>
      </c>
      <c r="AW123" s="59">
        <f ca="1"/>
        <v>-3372</v>
      </c>
      <c r="AX123" s="59">
        <f ca="1"/>
        <v>-3372</v>
      </c>
      <c r="AY123" s="59">
        <f ca="1"/>
        <v>-3372</v>
      </c>
      <c r="AZ123" s="59">
        <f ca="1"/>
        <v>-3372</v>
      </c>
      <c r="BA123" s="59">
        <f ca="1"/>
        <v>-3372</v>
      </c>
      <c r="BS123" s="5">
        <f t="shared" si="40"/>
        <v>1048495</v>
      </c>
      <c r="BT123" s="5" t="str">
        <f t="shared" si="39"/>
        <v/>
      </c>
      <c r="CD123" s="5" t="e">
        <f t="shared" ca="1" si="26"/>
        <v>#REF!</v>
      </c>
      <c r="CE123" s="5" t="e">
        <f t="shared" ca="1" si="27"/>
        <v>#REF!</v>
      </c>
      <c r="CF123" s="5" t="e">
        <f t="shared" ca="1" si="25"/>
        <v>#REF!</v>
      </c>
      <c r="CG123" s="5"/>
    </row>
    <row r="124" spans="1:85" x14ac:dyDescent="0.25">
      <c r="A124" s="57" t="str">
        <f ca="1"/>
        <v>Liegenschaftssteuer New York</v>
      </c>
      <c r="B124" s="57">
        <f ca="1"/>
        <v>11</v>
      </c>
      <c r="C124" s="53" t="str">
        <f ca="1"/>
        <v>Amy</v>
      </c>
      <c r="D124" s="54"/>
      <c r="E124" s="63"/>
      <c r="F124" s="59">
        <f ca="1"/>
        <v>-575</v>
      </c>
      <c r="G124" s="59">
        <f ca="1"/>
        <v>-575</v>
      </c>
      <c r="H124" s="59">
        <f ca="1"/>
        <v>-575</v>
      </c>
      <c r="I124" s="59">
        <f ca="1"/>
        <v>-575</v>
      </c>
      <c r="J124" s="59">
        <f ca="1"/>
        <v>-575</v>
      </c>
      <c r="K124" s="59">
        <f ca="1"/>
        <v>-575</v>
      </c>
      <c r="L124" s="59">
        <f ca="1"/>
        <v>-575</v>
      </c>
      <c r="M124" s="59">
        <f ca="1"/>
        <v>-575</v>
      </c>
      <c r="N124" s="59">
        <f ca="1"/>
        <v>-575</v>
      </c>
      <c r="O124" s="59">
        <f ca="1"/>
        <v>-575</v>
      </c>
      <c r="P124" s="59">
        <f ca="1"/>
        <v>-575</v>
      </c>
      <c r="Q124" s="59">
        <f ca="1"/>
        <v>-575</v>
      </c>
      <c r="R124" s="59">
        <f ca="1"/>
        <v>-575</v>
      </c>
      <c r="S124" s="59">
        <f ca="1"/>
        <v>-575</v>
      </c>
      <c r="T124" s="59">
        <f ca="1"/>
        <v>-575</v>
      </c>
      <c r="U124" s="59">
        <f ca="1"/>
        <v>-575</v>
      </c>
      <c r="V124" s="59">
        <f ca="1"/>
        <v>-575</v>
      </c>
      <c r="W124" s="59">
        <f ca="1"/>
        <v>-575</v>
      </c>
      <c r="X124" s="59">
        <f ca="1"/>
        <v>-575</v>
      </c>
      <c r="Y124" s="59">
        <f ca="1"/>
        <v>-575</v>
      </c>
      <c r="Z124" s="59">
        <f ca="1"/>
        <v>-575</v>
      </c>
      <c r="AA124" s="59">
        <f ca="1"/>
        <v>-575</v>
      </c>
      <c r="AB124" s="59">
        <f ca="1"/>
        <v>-575</v>
      </c>
      <c r="AC124" s="59">
        <f ca="1"/>
        <v>-575</v>
      </c>
      <c r="AD124" s="59">
        <f ca="1"/>
        <v>-575</v>
      </c>
      <c r="AE124" s="59">
        <f ca="1"/>
        <v>-575</v>
      </c>
      <c r="AF124" s="59">
        <f ca="1"/>
        <v>-575</v>
      </c>
      <c r="AG124" s="59">
        <f ca="1"/>
        <v>-575</v>
      </c>
      <c r="AH124" s="59">
        <f ca="1"/>
        <v>-575</v>
      </c>
      <c r="AI124" s="59">
        <f ca="1"/>
        <v>-575</v>
      </c>
      <c r="AJ124" s="59">
        <f ca="1"/>
        <v>-575</v>
      </c>
      <c r="AK124" s="59">
        <f ca="1"/>
        <v>-575</v>
      </c>
      <c r="AL124" s="59">
        <f ca="1"/>
        <v>-575</v>
      </c>
      <c r="AM124" s="59">
        <f ca="1"/>
        <v>-575</v>
      </c>
      <c r="AN124" s="59">
        <f ca="1"/>
        <v>-575</v>
      </c>
      <c r="AO124" s="59">
        <f ca="1"/>
        <v>-575</v>
      </c>
      <c r="AP124" s="59">
        <f ca="1"/>
        <v>-575</v>
      </c>
      <c r="AQ124" s="59">
        <f ca="1"/>
        <v>-575</v>
      </c>
      <c r="AR124" s="59">
        <f ca="1"/>
        <v>-575</v>
      </c>
      <c r="AS124" s="59">
        <f ca="1"/>
        <v>-575</v>
      </c>
      <c r="AT124" s="59">
        <f ca="1"/>
        <v>-575</v>
      </c>
      <c r="AU124" s="59">
        <f ca="1"/>
        <v>-575</v>
      </c>
      <c r="AV124" s="59">
        <f ca="1"/>
        <v>-575</v>
      </c>
      <c r="AW124" s="59">
        <f ca="1"/>
        <v>-575</v>
      </c>
      <c r="AX124" s="59">
        <f ca="1"/>
        <v>-575</v>
      </c>
      <c r="AY124" s="59">
        <f ca="1"/>
        <v>-575</v>
      </c>
      <c r="AZ124" s="59">
        <f ca="1"/>
        <v>-575</v>
      </c>
      <c r="BA124" s="59">
        <f ca="1"/>
        <v>-575</v>
      </c>
      <c r="BS124" s="5">
        <f t="shared" si="40"/>
        <v>1048495</v>
      </c>
      <c r="BT124" s="5" t="str">
        <f t="shared" si="39"/>
        <v/>
      </c>
      <c r="CD124" s="5" t="e">
        <f t="shared" ca="1" si="26"/>
        <v>#REF!</v>
      </c>
      <c r="CE124" s="5" t="e">
        <f t="shared" ca="1" si="27"/>
        <v>#REF!</v>
      </c>
      <c r="CF124" s="5" t="e">
        <f t="shared" ca="1" si="25"/>
        <v>#REF!</v>
      </c>
      <c r="CG124" s="5"/>
    </row>
    <row r="125" spans="1:85" x14ac:dyDescent="0.25">
      <c r="A125" s="57" t="str">
        <f ca="1"/>
        <v>Eigenmietwert EH New York</v>
      </c>
      <c r="B125" s="57">
        <f ca="1"/>
        <v>12</v>
      </c>
      <c r="C125" s="53" t="str">
        <f ca="1"/>
        <v>Amy</v>
      </c>
      <c r="D125" s="54"/>
      <c r="E125" s="63"/>
      <c r="F125" s="59">
        <f ca="1"/>
        <v>780</v>
      </c>
      <c r="G125" s="59">
        <f ca="1"/>
        <v>780</v>
      </c>
      <c r="H125" s="59">
        <f ca="1"/>
        <v>780</v>
      </c>
      <c r="I125" s="59">
        <f ca="1"/>
        <v>780</v>
      </c>
      <c r="J125" s="59">
        <f ca="1"/>
        <v>780</v>
      </c>
      <c r="K125" s="59">
        <f ca="1"/>
        <v>780</v>
      </c>
      <c r="L125" s="59">
        <f ca="1"/>
        <v>780</v>
      </c>
      <c r="M125" s="59">
        <f ca="1"/>
        <v>780</v>
      </c>
      <c r="N125" s="59">
        <f ca="1"/>
        <v>780</v>
      </c>
      <c r="O125" s="59">
        <f ca="1"/>
        <v>780</v>
      </c>
      <c r="P125" s="59">
        <f ca="1"/>
        <v>780</v>
      </c>
      <c r="Q125" s="59">
        <f ca="1"/>
        <v>780</v>
      </c>
      <c r="R125" s="59">
        <f ca="1"/>
        <v>780</v>
      </c>
      <c r="S125" s="59">
        <f ca="1"/>
        <v>780</v>
      </c>
      <c r="T125" s="59">
        <f ca="1"/>
        <v>780</v>
      </c>
      <c r="U125" s="59">
        <f ca="1"/>
        <v>780</v>
      </c>
      <c r="V125" s="59">
        <f ca="1"/>
        <v>780</v>
      </c>
      <c r="W125" s="59">
        <f ca="1"/>
        <v>780</v>
      </c>
      <c r="X125" s="59">
        <f ca="1"/>
        <v>780</v>
      </c>
      <c r="Y125" s="59">
        <f ca="1"/>
        <v>780</v>
      </c>
      <c r="Z125" s="59">
        <f ca="1"/>
        <v>780</v>
      </c>
      <c r="AA125" s="59">
        <f ca="1"/>
        <v>780</v>
      </c>
      <c r="AB125" s="59">
        <f ca="1"/>
        <v>780</v>
      </c>
      <c r="AC125" s="59">
        <f ca="1"/>
        <v>780</v>
      </c>
      <c r="AD125" s="59">
        <f ca="1"/>
        <v>780</v>
      </c>
      <c r="AE125" s="59">
        <f ca="1"/>
        <v>780</v>
      </c>
      <c r="AF125" s="59">
        <f ca="1"/>
        <v>780</v>
      </c>
      <c r="AG125" s="59">
        <f ca="1"/>
        <v>780</v>
      </c>
      <c r="AH125" s="59">
        <f ca="1"/>
        <v>780</v>
      </c>
      <c r="AI125" s="59">
        <f ca="1"/>
        <v>780</v>
      </c>
      <c r="AJ125" s="59">
        <f ca="1"/>
        <v>780</v>
      </c>
      <c r="AK125" s="59">
        <f ca="1"/>
        <v>780</v>
      </c>
      <c r="AL125" s="59">
        <f ca="1"/>
        <v>780</v>
      </c>
      <c r="AM125" s="59">
        <f ca="1"/>
        <v>780</v>
      </c>
      <c r="AN125" s="59">
        <f ca="1"/>
        <v>780</v>
      </c>
      <c r="AO125" s="59">
        <f ca="1"/>
        <v>780</v>
      </c>
      <c r="AP125" s="59">
        <f ca="1"/>
        <v>780</v>
      </c>
      <c r="AQ125" s="59">
        <f ca="1"/>
        <v>780</v>
      </c>
      <c r="AR125" s="59">
        <f ca="1"/>
        <v>780</v>
      </c>
      <c r="AS125" s="59">
        <f ca="1"/>
        <v>780</v>
      </c>
      <c r="AT125" s="59">
        <f ca="1"/>
        <v>780</v>
      </c>
      <c r="AU125" s="59">
        <f ca="1"/>
        <v>780</v>
      </c>
      <c r="AV125" s="59">
        <f ca="1"/>
        <v>780</v>
      </c>
      <c r="AW125" s="59">
        <f ca="1"/>
        <v>780</v>
      </c>
      <c r="AX125" s="59">
        <f ca="1"/>
        <v>780</v>
      </c>
      <c r="AY125" s="59">
        <f ca="1"/>
        <v>780</v>
      </c>
      <c r="AZ125" s="59">
        <f ca="1"/>
        <v>780</v>
      </c>
      <c r="BA125" s="59">
        <f ca="1"/>
        <v>780</v>
      </c>
      <c r="BS125" s="5">
        <f t="shared" si="40"/>
        <v>1048495</v>
      </c>
      <c r="BT125" s="5" t="str">
        <f t="shared" si="39"/>
        <v/>
      </c>
      <c r="CD125" s="5" t="e">
        <f t="shared" ca="1" si="26"/>
        <v>#REF!</v>
      </c>
      <c r="CE125" s="5" t="e">
        <f t="shared" ca="1" si="27"/>
        <v>#REF!</v>
      </c>
      <c r="CF125" s="5" t="e">
        <f t="shared" ca="1" si="25"/>
        <v>#REF!</v>
      </c>
      <c r="CG125" s="5"/>
    </row>
    <row r="126" spans="1:85" x14ac:dyDescent="0.25">
      <c r="A126" s="57" t="str">
        <f ca="1"/>
        <v>Liegenschaftsk. EH New York (20% Mietwert)</v>
      </c>
      <c r="B126" s="57">
        <f ca="1"/>
        <v>13</v>
      </c>
      <c r="C126" s="53" t="str">
        <f ca="1"/>
        <v>Amy</v>
      </c>
      <c r="D126" s="54"/>
      <c r="E126" s="63"/>
      <c r="F126" s="59">
        <f ca="1"/>
        <v>-156</v>
      </c>
      <c r="G126" s="59">
        <f ca="1"/>
        <v>-156</v>
      </c>
      <c r="H126" s="59">
        <f ca="1"/>
        <v>-156</v>
      </c>
      <c r="I126" s="59">
        <f ca="1"/>
        <v>-156</v>
      </c>
      <c r="J126" s="59">
        <f ca="1"/>
        <v>-156</v>
      </c>
      <c r="K126" s="59">
        <f ca="1"/>
        <v>-156</v>
      </c>
      <c r="L126" s="59">
        <f ca="1"/>
        <v>-156</v>
      </c>
      <c r="M126" s="59">
        <f ca="1"/>
        <v>-156</v>
      </c>
      <c r="N126" s="59">
        <f ca="1"/>
        <v>-156</v>
      </c>
      <c r="O126" s="59">
        <f ca="1"/>
        <v>-156</v>
      </c>
      <c r="P126" s="59">
        <f ca="1"/>
        <v>-156</v>
      </c>
      <c r="Q126" s="59">
        <f ca="1"/>
        <v>-156</v>
      </c>
      <c r="R126" s="59">
        <f ca="1"/>
        <v>-156</v>
      </c>
      <c r="S126" s="59">
        <f ca="1"/>
        <v>-156</v>
      </c>
      <c r="T126" s="59">
        <f ca="1"/>
        <v>-156</v>
      </c>
      <c r="U126" s="59">
        <f ca="1"/>
        <v>-156</v>
      </c>
      <c r="V126" s="59">
        <f ca="1"/>
        <v>-156</v>
      </c>
      <c r="W126" s="59">
        <f ca="1"/>
        <v>-156</v>
      </c>
      <c r="X126" s="59">
        <f ca="1"/>
        <v>-156</v>
      </c>
      <c r="Y126" s="59">
        <f ca="1"/>
        <v>-156</v>
      </c>
      <c r="Z126" s="59">
        <f ca="1"/>
        <v>-156</v>
      </c>
      <c r="AA126" s="59">
        <f ca="1"/>
        <v>-156</v>
      </c>
      <c r="AB126" s="59">
        <f ca="1"/>
        <v>-156</v>
      </c>
      <c r="AC126" s="59">
        <f ca="1"/>
        <v>-156</v>
      </c>
      <c r="AD126" s="59">
        <f ca="1"/>
        <v>-156</v>
      </c>
      <c r="AE126" s="59">
        <f ca="1"/>
        <v>-156</v>
      </c>
      <c r="AF126" s="59">
        <f ca="1"/>
        <v>-156</v>
      </c>
      <c r="AG126" s="59">
        <f ca="1"/>
        <v>-156</v>
      </c>
      <c r="AH126" s="59">
        <f ca="1"/>
        <v>-156</v>
      </c>
      <c r="AI126" s="59">
        <f ca="1"/>
        <v>-156</v>
      </c>
      <c r="AJ126" s="59">
        <f ca="1"/>
        <v>-156</v>
      </c>
      <c r="AK126" s="59">
        <f ca="1"/>
        <v>-156</v>
      </c>
      <c r="AL126" s="59">
        <f ca="1"/>
        <v>-156</v>
      </c>
      <c r="AM126" s="59">
        <f ca="1"/>
        <v>-156</v>
      </c>
      <c r="AN126" s="59">
        <f ca="1"/>
        <v>-156</v>
      </c>
      <c r="AO126" s="59">
        <f ca="1"/>
        <v>-156</v>
      </c>
      <c r="AP126" s="59">
        <f ca="1"/>
        <v>-156</v>
      </c>
      <c r="AQ126" s="59">
        <f ca="1"/>
        <v>-156</v>
      </c>
      <c r="AR126" s="59">
        <f ca="1"/>
        <v>-156</v>
      </c>
      <c r="AS126" s="59">
        <f ca="1"/>
        <v>-156</v>
      </c>
      <c r="AT126" s="59">
        <f ca="1"/>
        <v>-156</v>
      </c>
      <c r="AU126" s="59">
        <f ca="1"/>
        <v>-156</v>
      </c>
      <c r="AV126" s="59">
        <f ca="1"/>
        <v>-156</v>
      </c>
      <c r="AW126" s="59">
        <f ca="1"/>
        <v>-156</v>
      </c>
      <c r="AX126" s="59">
        <f ca="1"/>
        <v>-156</v>
      </c>
      <c r="AY126" s="59">
        <f ca="1"/>
        <v>-156</v>
      </c>
      <c r="AZ126" s="59">
        <f ca="1"/>
        <v>-156</v>
      </c>
      <c r="BA126" s="59">
        <f ca="1"/>
        <v>-156</v>
      </c>
      <c r="BS126" s="5">
        <f t="shared" si="40"/>
        <v>1048495</v>
      </c>
      <c r="BT126" s="5" t="str">
        <f t="shared" si="39"/>
        <v/>
      </c>
      <c r="CD126" s="5" t="e">
        <f t="shared" ca="1" si="26"/>
        <v>#REF!</v>
      </c>
      <c r="CE126" s="5" t="e">
        <f t="shared" ca="1" si="27"/>
        <v>#REF!</v>
      </c>
      <c r="CF126" s="5" t="e">
        <f t="shared" ca="1" si="25"/>
        <v>#REF!</v>
      </c>
      <c r="CG126" s="5"/>
    </row>
    <row r="127" spans="1:85" x14ac:dyDescent="0.25">
      <c r="A127" s="57" t="str">
        <f ca="1"/>
        <v>Auswärtiger Wochenaufenthalt</v>
      </c>
      <c r="B127" s="57">
        <f ca="1"/>
        <v>14</v>
      </c>
      <c r="C127" s="53" t="str">
        <f ca="1"/>
        <v>Amy</v>
      </c>
      <c r="D127" s="54"/>
      <c r="E127" s="63"/>
      <c r="F127" s="59">
        <f ca="1"/>
        <v>-20400</v>
      </c>
      <c r="G127" s="59">
        <f ca="1"/>
        <v>-20400</v>
      </c>
      <c r="H127" s="59">
        <f ca="1"/>
        <v>-20400</v>
      </c>
      <c r="I127" s="59">
        <f ca="1"/>
        <v>-20400</v>
      </c>
      <c r="J127" s="59">
        <f ca="1"/>
        <v>-20400</v>
      </c>
      <c r="K127" s="59">
        <f ca="1"/>
        <v>0</v>
      </c>
      <c r="L127" s="59">
        <f ca="1"/>
        <v>0</v>
      </c>
      <c r="M127" s="59">
        <f ca="1"/>
        <v>0</v>
      </c>
      <c r="N127" s="59">
        <f ca="1"/>
        <v>0</v>
      </c>
      <c r="O127" s="59">
        <f ca="1"/>
        <v>0</v>
      </c>
      <c r="P127" s="59">
        <f ca="1"/>
        <v>0</v>
      </c>
      <c r="Q127" s="59">
        <f ca="1"/>
        <v>0</v>
      </c>
      <c r="R127" s="59">
        <f ca="1"/>
        <v>0</v>
      </c>
      <c r="S127" s="59">
        <f ca="1"/>
        <v>0</v>
      </c>
      <c r="T127" s="59">
        <f ca="1"/>
        <v>0</v>
      </c>
      <c r="U127" s="59">
        <f ca="1"/>
        <v>0</v>
      </c>
      <c r="V127" s="59">
        <f ca="1"/>
        <v>0</v>
      </c>
      <c r="W127" s="59">
        <f ca="1"/>
        <v>0</v>
      </c>
      <c r="X127" s="59">
        <f ca="1"/>
        <v>0</v>
      </c>
      <c r="Y127" s="59">
        <f ca="1"/>
        <v>0</v>
      </c>
      <c r="Z127" s="59">
        <f ca="1"/>
        <v>0</v>
      </c>
      <c r="AA127" s="59">
        <f ca="1"/>
        <v>0</v>
      </c>
      <c r="AB127" s="59">
        <f ca="1"/>
        <v>0</v>
      </c>
      <c r="AC127" s="59">
        <f ca="1"/>
        <v>0</v>
      </c>
      <c r="AD127" s="59">
        <f ca="1"/>
        <v>0</v>
      </c>
      <c r="AE127" s="59">
        <f ca="1"/>
        <v>0</v>
      </c>
      <c r="AF127" s="59">
        <f ca="1"/>
        <v>0</v>
      </c>
      <c r="AG127" s="59">
        <f ca="1"/>
        <v>0</v>
      </c>
      <c r="AH127" s="59">
        <f ca="1"/>
        <v>0</v>
      </c>
      <c r="AI127" s="59">
        <f ca="1"/>
        <v>0</v>
      </c>
      <c r="AJ127" s="59">
        <f ca="1"/>
        <v>0</v>
      </c>
      <c r="AK127" s="59">
        <f ca="1"/>
        <v>0</v>
      </c>
      <c r="AL127" s="59">
        <f ca="1"/>
        <v>0</v>
      </c>
      <c r="AM127" s="59">
        <f ca="1"/>
        <v>0</v>
      </c>
      <c r="AN127" s="59">
        <f ca="1"/>
        <v>0</v>
      </c>
      <c r="AO127" s="59">
        <f ca="1"/>
        <v>0</v>
      </c>
      <c r="AP127" s="59">
        <f ca="1"/>
        <v>0</v>
      </c>
      <c r="AQ127" s="59">
        <f ca="1"/>
        <v>0</v>
      </c>
      <c r="AR127" s="59">
        <f ca="1"/>
        <v>0</v>
      </c>
      <c r="AS127" s="59">
        <f ca="1"/>
        <v>0</v>
      </c>
      <c r="AT127" s="59">
        <f ca="1"/>
        <v>0</v>
      </c>
      <c r="AU127" s="59">
        <f ca="1"/>
        <v>0</v>
      </c>
      <c r="AV127" s="59">
        <f ca="1"/>
        <v>0</v>
      </c>
      <c r="AW127" s="59">
        <f ca="1"/>
        <v>0</v>
      </c>
      <c r="AX127" s="59">
        <f ca="1"/>
        <v>0</v>
      </c>
      <c r="AY127" s="59">
        <f ca="1"/>
        <v>0</v>
      </c>
      <c r="AZ127" s="59">
        <f ca="1"/>
        <v>0</v>
      </c>
      <c r="BA127" s="59">
        <f ca="1"/>
        <v>0</v>
      </c>
      <c r="BS127" s="5">
        <f t="shared" si="40"/>
        <v>1048495</v>
      </c>
      <c r="BT127" s="5" t="str">
        <f t="shared" si="39"/>
        <v/>
      </c>
      <c r="CD127" s="5" t="e">
        <f t="shared" ca="1" si="26"/>
        <v>#REF!</v>
      </c>
      <c r="CE127" s="5" t="e">
        <f t="shared" ca="1" si="27"/>
        <v>#REF!</v>
      </c>
      <c r="CF127" s="5" t="e">
        <f t="shared" ca="1" si="25"/>
        <v>#REF!</v>
      </c>
      <c r="CG127" s="5"/>
    </row>
    <row r="128" spans="1:85" x14ac:dyDescent="0.25">
      <c r="A128" s="57" t="str">
        <f ca="1"/>
        <v>Berufskosten</v>
      </c>
      <c r="B128" s="57">
        <f ca="1"/>
        <v>15</v>
      </c>
      <c r="C128" s="53" t="str">
        <f ca="1"/>
        <v>Amy</v>
      </c>
      <c r="D128" s="54"/>
      <c r="E128" s="63"/>
      <c r="F128" s="59">
        <f ca="1"/>
        <v>-2652</v>
      </c>
      <c r="G128" s="59">
        <f ca="1"/>
        <v>-2652</v>
      </c>
      <c r="H128" s="59">
        <f ca="1"/>
        <v>-2652</v>
      </c>
      <c r="I128" s="59">
        <f ca="1"/>
        <v>-2652</v>
      </c>
      <c r="J128" s="59">
        <f ca="1"/>
        <v>-2652</v>
      </c>
      <c r="K128" s="59">
        <f ca="1"/>
        <v>0</v>
      </c>
      <c r="L128" s="59">
        <f ca="1"/>
        <v>0</v>
      </c>
      <c r="M128" s="59">
        <f ca="1"/>
        <v>0</v>
      </c>
      <c r="N128" s="59">
        <f ca="1"/>
        <v>0</v>
      </c>
      <c r="O128" s="59">
        <f ca="1"/>
        <v>0</v>
      </c>
      <c r="P128" s="59">
        <f ca="1"/>
        <v>0</v>
      </c>
      <c r="Q128" s="59">
        <f ca="1"/>
        <v>0</v>
      </c>
      <c r="R128" s="59">
        <f ca="1"/>
        <v>0</v>
      </c>
      <c r="S128" s="59">
        <f ca="1"/>
        <v>0</v>
      </c>
      <c r="T128" s="59">
        <f ca="1"/>
        <v>0</v>
      </c>
      <c r="U128" s="59">
        <f ca="1"/>
        <v>0</v>
      </c>
      <c r="V128" s="59">
        <f ca="1"/>
        <v>0</v>
      </c>
      <c r="W128" s="59">
        <f ca="1"/>
        <v>0</v>
      </c>
      <c r="X128" s="59">
        <f ca="1"/>
        <v>0</v>
      </c>
      <c r="Y128" s="59">
        <f ca="1"/>
        <v>0</v>
      </c>
      <c r="Z128" s="59">
        <f ca="1"/>
        <v>0</v>
      </c>
      <c r="AA128" s="59">
        <f ca="1"/>
        <v>0</v>
      </c>
      <c r="AB128" s="59">
        <f ca="1"/>
        <v>0</v>
      </c>
      <c r="AC128" s="59">
        <f ca="1"/>
        <v>0</v>
      </c>
      <c r="AD128" s="59">
        <f ca="1"/>
        <v>0</v>
      </c>
      <c r="AE128" s="59">
        <f ca="1"/>
        <v>0</v>
      </c>
      <c r="AF128" s="59">
        <f ca="1"/>
        <v>0</v>
      </c>
      <c r="AG128" s="59">
        <f ca="1"/>
        <v>0</v>
      </c>
      <c r="AH128" s="59">
        <f ca="1"/>
        <v>0</v>
      </c>
      <c r="AI128" s="59">
        <f ca="1"/>
        <v>0</v>
      </c>
      <c r="AJ128" s="59">
        <f ca="1"/>
        <v>0</v>
      </c>
      <c r="AK128" s="59">
        <f ca="1"/>
        <v>0</v>
      </c>
      <c r="AL128" s="59">
        <f ca="1"/>
        <v>0</v>
      </c>
      <c r="AM128" s="59">
        <f ca="1"/>
        <v>0</v>
      </c>
      <c r="AN128" s="59">
        <f ca="1"/>
        <v>0</v>
      </c>
      <c r="AO128" s="59">
        <f ca="1"/>
        <v>0</v>
      </c>
      <c r="AP128" s="59">
        <f ca="1"/>
        <v>0</v>
      </c>
      <c r="AQ128" s="59">
        <f ca="1"/>
        <v>0</v>
      </c>
      <c r="AR128" s="59">
        <f ca="1"/>
        <v>0</v>
      </c>
      <c r="AS128" s="59">
        <f ca="1"/>
        <v>0</v>
      </c>
      <c r="AT128" s="59">
        <f ca="1"/>
        <v>0</v>
      </c>
      <c r="AU128" s="59">
        <f ca="1"/>
        <v>0</v>
      </c>
      <c r="AV128" s="59">
        <f ca="1"/>
        <v>0</v>
      </c>
      <c r="AW128" s="59">
        <f ca="1"/>
        <v>0</v>
      </c>
      <c r="AX128" s="59">
        <f ca="1"/>
        <v>0</v>
      </c>
      <c r="AY128" s="59">
        <f ca="1"/>
        <v>0</v>
      </c>
      <c r="AZ128" s="59">
        <f ca="1"/>
        <v>0</v>
      </c>
      <c r="BA128" s="59">
        <f ca="1"/>
        <v>0</v>
      </c>
      <c r="BS128" s="5">
        <f t="shared" si="40"/>
        <v>1048495</v>
      </c>
      <c r="BT128" s="5" t="str">
        <f t="shared" si="39"/>
        <v/>
      </c>
      <c r="CD128" s="5" t="e">
        <f t="shared" ca="1" si="26"/>
        <v>#REF!</v>
      </c>
      <c r="CE128" s="5" t="e">
        <f t="shared" ca="1" si="27"/>
        <v>#REF!</v>
      </c>
      <c r="CF128" s="5" t="e">
        <f t="shared" ca="1" si="25"/>
        <v>#REF!</v>
      </c>
      <c r="CG128" s="5"/>
    </row>
    <row r="129" spans="1:85" x14ac:dyDescent="0.25">
      <c r="A129" s="57" t="str">
        <f ca="1"/>
        <v>Verheiratetenabzug</v>
      </c>
      <c r="B129" s="57">
        <f ca="1"/>
        <v>16</v>
      </c>
      <c r="C129" s="53" t="str">
        <f ca="1"/>
        <v>Amy</v>
      </c>
      <c r="D129" s="54"/>
      <c r="E129" s="63"/>
      <c r="F129" s="59">
        <f ca="1"/>
        <v>-5200</v>
      </c>
      <c r="G129" s="59">
        <f ca="1"/>
        <v>-5200</v>
      </c>
      <c r="H129" s="59">
        <f ca="1"/>
        <v>-5200</v>
      </c>
      <c r="I129" s="59">
        <f ca="1"/>
        <v>-5200</v>
      </c>
      <c r="J129" s="59">
        <f ca="1"/>
        <v>-5200</v>
      </c>
      <c r="K129" s="59">
        <f ca="1"/>
        <v>-5200</v>
      </c>
      <c r="L129" s="59">
        <f ca="1"/>
        <v>-5200</v>
      </c>
      <c r="M129" s="59">
        <f ca="1"/>
        <v>-5200</v>
      </c>
      <c r="N129" s="59">
        <f ca="1"/>
        <v>-5200</v>
      </c>
      <c r="O129" s="59">
        <f ca="1"/>
        <v>-5200</v>
      </c>
      <c r="P129" s="59">
        <f ca="1"/>
        <v>-5200</v>
      </c>
      <c r="Q129" s="59">
        <f ca="1"/>
        <v>-5200</v>
      </c>
      <c r="R129" s="59">
        <f ca="1"/>
        <v>-5200</v>
      </c>
      <c r="S129" s="59">
        <f ca="1"/>
        <v>-5200</v>
      </c>
      <c r="T129" s="59">
        <f ca="1"/>
        <v>-5200</v>
      </c>
      <c r="U129" s="59">
        <f ca="1"/>
        <v>-5200</v>
      </c>
      <c r="V129" s="59">
        <f ca="1"/>
        <v>-5200</v>
      </c>
      <c r="W129" s="59">
        <f ca="1"/>
        <v>-5200</v>
      </c>
      <c r="X129" s="59">
        <f ca="1"/>
        <v>-5200</v>
      </c>
      <c r="Y129" s="59">
        <f ca="1"/>
        <v>-5200</v>
      </c>
      <c r="Z129" s="59">
        <f ca="1"/>
        <v>-5200</v>
      </c>
      <c r="AA129" s="59">
        <f ca="1"/>
        <v>-5200</v>
      </c>
      <c r="AB129" s="59">
        <f ca="1"/>
        <v>-5200</v>
      </c>
      <c r="AC129" s="59">
        <f ca="1"/>
        <v>-5200</v>
      </c>
      <c r="AD129" s="59">
        <f ca="1"/>
        <v>-5200</v>
      </c>
      <c r="AE129" s="59">
        <f ca="1"/>
        <v>-5200</v>
      </c>
      <c r="AF129" s="59">
        <f ca="1"/>
        <v>-5200</v>
      </c>
      <c r="AG129" s="59">
        <f ca="1"/>
        <v>-5200</v>
      </c>
      <c r="AH129" s="59">
        <f ca="1"/>
        <v>-5200</v>
      </c>
      <c r="AI129" s="59">
        <f ca="1"/>
        <v>-5200</v>
      </c>
      <c r="AJ129" s="59">
        <f ca="1"/>
        <v>-5200</v>
      </c>
      <c r="AK129" s="59">
        <f ca="1"/>
        <v>-5200</v>
      </c>
      <c r="AL129" s="59">
        <f ca="1"/>
        <v>-5200</v>
      </c>
      <c r="AM129" s="59">
        <f ca="1"/>
        <v>-5200</v>
      </c>
      <c r="AN129" s="59">
        <f ca="1"/>
        <v>-5200</v>
      </c>
      <c r="AO129" s="59">
        <f ca="1"/>
        <v>-5200</v>
      </c>
      <c r="AP129" s="59">
        <f ca="1"/>
        <v>-5200</v>
      </c>
      <c r="AQ129" s="59">
        <f ca="1"/>
        <v>-5200</v>
      </c>
      <c r="AR129" s="59">
        <f ca="1"/>
        <v>-5200</v>
      </c>
      <c r="AS129" s="59">
        <f ca="1"/>
        <v>-5200</v>
      </c>
      <c r="AT129" s="59">
        <f ca="1"/>
        <v>-5200</v>
      </c>
      <c r="AU129" s="59">
        <f ca="1"/>
        <v>-5200</v>
      </c>
      <c r="AV129" s="59">
        <f ca="1"/>
        <v>-5200</v>
      </c>
      <c r="AW129" s="59">
        <f ca="1"/>
        <v>-5200</v>
      </c>
      <c r="AX129" s="59">
        <f ca="1"/>
        <v>-5200</v>
      </c>
      <c r="AY129" s="59">
        <f ca="1"/>
        <v>-5200</v>
      </c>
      <c r="AZ129" s="59">
        <f ca="1"/>
        <v>-5200</v>
      </c>
      <c r="BA129" s="59">
        <f ca="1"/>
        <v>-5200</v>
      </c>
      <c r="BS129" s="5">
        <f t="shared" si="40"/>
        <v>1048495</v>
      </c>
      <c r="BT129" s="5" t="str">
        <f t="shared" si="39"/>
        <v/>
      </c>
      <c r="CD129" s="5" t="e">
        <f t="shared" ca="1" si="26"/>
        <v>#REF!</v>
      </c>
      <c r="CE129" s="5" t="e">
        <f t="shared" ca="1" si="27"/>
        <v>#REF!</v>
      </c>
      <c r="CF129" s="5" t="e">
        <f t="shared" ca="1" si="25"/>
        <v>#REF!</v>
      </c>
      <c r="CG129" s="5"/>
    </row>
    <row r="130" spans="1:85" hidden="1" x14ac:dyDescent="0.25">
      <c r="A130" s="57"/>
      <c r="B130" s="57"/>
      <c r="C130" s="53"/>
      <c r="D130" s="54"/>
      <c r="E130" s="63"/>
      <c r="F130" s="59"/>
      <c r="G130" s="59"/>
      <c r="H130" s="59"/>
      <c r="I130" s="59"/>
      <c r="J130" s="59"/>
      <c r="K130" s="59"/>
      <c r="L130" s="59"/>
      <c r="M130" s="59"/>
      <c r="N130" s="59"/>
      <c r="O130" s="59"/>
      <c r="P130" s="59"/>
      <c r="Q130" s="59"/>
      <c r="R130" s="59"/>
      <c r="S130" s="59"/>
      <c r="T130" s="59"/>
      <c r="U130" s="59"/>
      <c r="V130" s="59"/>
      <c r="W130" s="59"/>
      <c r="X130" s="59"/>
      <c r="Y130" s="59"/>
      <c r="Z130" s="59"/>
      <c r="AA130" s="59"/>
      <c r="AB130" s="59"/>
      <c r="AC130" s="59"/>
      <c r="AD130" s="59"/>
      <c r="AE130" s="59"/>
      <c r="AF130" s="59"/>
      <c r="AG130" s="59"/>
      <c r="AH130" s="59"/>
      <c r="AI130" s="59"/>
      <c r="AJ130" s="59"/>
      <c r="AK130" s="59"/>
      <c r="AL130" s="59"/>
      <c r="AM130" s="59"/>
      <c r="AN130" s="59"/>
      <c r="AO130" s="59"/>
      <c r="AP130" s="59"/>
      <c r="AQ130" s="59"/>
      <c r="AR130" s="59"/>
      <c r="AS130" s="59"/>
      <c r="AT130" s="59"/>
      <c r="AU130" s="59"/>
      <c r="AV130" s="59"/>
      <c r="AW130" s="59"/>
      <c r="AX130" s="59"/>
      <c r="AY130" s="59"/>
      <c r="AZ130" s="59"/>
      <c r="BA130" s="59"/>
      <c r="BS130" s="5">
        <f t="shared" si="40"/>
        <v>1048495</v>
      </c>
      <c r="BT130" s="5" t="str">
        <f t="shared" si="39"/>
        <v/>
      </c>
      <c r="CD130" s="5" t="e">
        <f t="shared" ca="1" si="26"/>
        <v>#REF!</v>
      </c>
      <c r="CE130" s="5" t="e">
        <f t="shared" ca="1" si="27"/>
        <v>#REF!</v>
      </c>
      <c r="CF130" s="5" t="e">
        <f t="shared" ca="1" si="25"/>
        <v>#REF!</v>
      </c>
      <c r="CG130" s="5"/>
    </row>
    <row r="131" spans="1:85" hidden="1" x14ac:dyDescent="0.25">
      <c r="A131" s="57"/>
      <c r="B131" s="57"/>
      <c r="C131" s="53"/>
      <c r="D131" s="54"/>
      <c r="E131" s="63"/>
      <c r="F131" s="59"/>
      <c r="G131" s="59"/>
      <c r="H131" s="59"/>
      <c r="I131" s="59"/>
      <c r="J131" s="59"/>
      <c r="K131" s="59"/>
      <c r="L131" s="59"/>
      <c r="M131" s="59"/>
      <c r="N131" s="59"/>
      <c r="O131" s="59"/>
      <c r="P131" s="59"/>
      <c r="Q131" s="59"/>
      <c r="R131" s="59"/>
      <c r="S131" s="59"/>
      <c r="T131" s="59"/>
      <c r="U131" s="59"/>
      <c r="V131" s="59"/>
      <c r="W131" s="59"/>
      <c r="X131" s="59"/>
      <c r="Y131" s="59"/>
      <c r="Z131" s="59"/>
      <c r="AA131" s="59"/>
      <c r="AB131" s="59"/>
      <c r="AC131" s="59"/>
      <c r="AD131" s="59"/>
      <c r="AE131" s="59"/>
      <c r="AF131" s="59"/>
      <c r="AG131" s="59"/>
      <c r="AH131" s="59"/>
      <c r="AI131" s="59"/>
      <c r="AJ131" s="59"/>
      <c r="AK131" s="59"/>
      <c r="AL131" s="59"/>
      <c r="AM131" s="59"/>
      <c r="AN131" s="59"/>
      <c r="AO131" s="59"/>
      <c r="AP131" s="59"/>
      <c r="AQ131" s="59"/>
      <c r="AR131" s="59"/>
      <c r="AS131" s="59"/>
      <c r="AT131" s="59"/>
      <c r="AU131" s="59"/>
      <c r="AV131" s="59"/>
      <c r="AW131" s="59"/>
      <c r="AX131" s="59"/>
      <c r="AY131" s="59"/>
      <c r="AZ131" s="59"/>
      <c r="BA131" s="59"/>
      <c r="BS131" s="5">
        <f t="shared" si="40"/>
        <v>1048495</v>
      </c>
      <c r="BT131" s="5" t="str">
        <f t="shared" si="39"/>
        <v/>
      </c>
      <c r="CD131" s="5" t="e">
        <f t="shared" ca="1" si="26"/>
        <v>#REF!</v>
      </c>
      <c r="CE131" s="5" t="e">
        <f t="shared" ca="1" si="27"/>
        <v>#REF!</v>
      </c>
      <c r="CF131" s="5" t="e">
        <f t="shared" ref="CF131:CF154" ca="1" si="41">_xlfn.TEXTJOIN(" - ",TRUE,CD131,CE131,CB131)</f>
        <v>#REF!</v>
      </c>
      <c r="CG131" s="5"/>
    </row>
    <row r="132" spans="1:85" hidden="1" x14ac:dyDescent="0.25">
      <c r="A132" s="57"/>
      <c r="B132" s="57"/>
      <c r="C132" s="53"/>
      <c r="D132" s="54"/>
      <c r="E132" s="63"/>
      <c r="F132" s="59"/>
      <c r="G132" s="59"/>
      <c r="H132" s="59"/>
      <c r="I132" s="59"/>
      <c r="J132" s="59"/>
      <c r="K132" s="59"/>
      <c r="L132" s="59"/>
      <c r="M132" s="59"/>
      <c r="N132" s="59"/>
      <c r="O132" s="59"/>
      <c r="P132" s="59"/>
      <c r="Q132" s="59"/>
      <c r="R132" s="59"/>
      <c r="S132" s="59"/>
      <c r="T132" s="59"/>
      <c r="U132" s="59"/>
      <c r="V132" s="59"/>
      <c r="W132" s="59"/>
      <c r="X132" s="59"/>
      <c r="Y132" s="59"/>
      <c r="Z132" s="59"/>
      <c r="AA132" s="59"/>
      <c r="AB132" s="59"/>
      <c r="AC132" s="59"/>
      <c r="AD132" s="59"/>
      <c r="AE132" s="59"/>
      <c r="AF132" s="59"/>
      <c r="AG132" s="59"/>
      <c r="AH132" s="59"/>
      <c r="AI132" s="59"/>
      <c r="AJ132" s="59"/>
      <c r="AK132" s="59"/>
      <c r="AL132" s="59"/>
      <c r="AM132" s="59"/>
      <c r="AN132" s="59"/>
      <c r="AO132" s="59"/>
      <c r="AP132" s="59"/>
      <c r="AQ132" s="59"/>
      <c r="AR132" s="59"/>
      <c r="AS132" s="59"/>
      <c r="AT132" s="59"/>
      <c r="AU132" s="59"/>
      <c r="AV132" s="59"/>
      <c r="AW132" s="59"/>
      <c r="AX132" s="59"/>
      <c r="AY132" s="59"/>
      <c r="AZ132" s="59"/>
      <c r="BA132" s="59"/>
      <c r="BS132" s="5">
        <f t="shared" si="40"/>
        <v>1048495</v>
      </c>
      <c r="BT132" s="5" t="str">
        <f t="shared" si="39"/>
        <v/>
      </c>
      <c r="CD132" s="5" t="e">
        <f t="shared" ref="CD132:CD154" ca="1" si="42">INDEX(INDIRECT($BV132&amp;"[Zugehörigkeit Bezeichnung]"),MATCH($BW132,INDIRECT($BV132&amp;"[Id]"),0))</f>
        <v>#REF!</v>
      </c>
      <c r="CE132" s="5" t="e">
        <f t="shared" ref="CE132:CE154" ca="1" si="43">INDEX(INDIRECT($BV132&amp;"[Titel]"),MATCH($BW132,INDIRECT($BV132&amp;"[Id]"),0))</f>
        <v>#REF!</v>
      </c>
      <c r="CF132" s="5" t="e">
        <f t="shared" ca="1" si="41"/>
        <v>#REF!</v>
      </c>
      <c r="CG132" s="5"/>
    </row>
    <row r="133" spans="1:85" hidden="1" x14ac:dyDescent="0.25">
      <c r="A133" s="57"/>
      <c r="B133" s="57"/>
      <c r="C133" s="53"/>
      <c r="D133" s="54"/>
      <c r="E133" s="63"/>
      <c r="F133" s="59"/>
      <c r="G133" s="59"/>
      <c r="H133" s="59"/>
      <c r="I133" s="59"/>
      <c r="J133" s="59"/>
      <c r="K133" s="59"/>
      <c r="L133" s="59"/>
      <c r="M133" s="59"/>
      <c r="N133" s="59"/>
      <c r="O133" s="59"/>
      <c r="P133" s="59"/>
      <c r="Q133" s="59"/>
      <c r="R133" s="59"/>
      <c r="S133" s="59"/>
      <c r="T133" s="59"/>
      <c r="U133" s="59"/>
      <c r="V133" s="59"/>
      <c r="W133" s="59"/>
      <c r="X133" s="59"/>
      <c r="Y133" s="59"/>
      <c r="Z133" s="59"/>
      <c r="AA133" s="59"/>
      <c r="AB133" s="59"/>
      <c r="AC133" s="59"/>
      <c r="AD133" s="59"/>
      <c r="AE133" s="59"/>
      <c r="AF133" s="59"/>
      <c r="AG133" s="59"/>
      <c r="AH133" s="59"/>
      <c r="AI133" s="59"/>
      <c r="AJ133" s="59"/>
      <c r="AK133" s="59"/>
      <c r="AL133" s="59"/>
      <c r="AM133" s="59"/>
      <c r="AN133" s="59"/>
      <c r="AO133" s="59"/>
      <c r="AP133" s="59"/>
      <c r="AQ133" s="59"/>
      <c r="AR133" s="59"/>
      <c r="AS133" s="59"/>
      <c r="AT133" s="59"/>
      <c r="AU133" s="59"/>
      <c r="AV133" s="59"/>
      <c r="AW133" s="59"/>
      <c r="AX133" s="59"/>
      <c r="AY133" s="59"/>
      <c r="AZ133" s="59"/>
      <c r="BA133" s="59"/>
      <c r="BS133" s="5">
        <f t="shared" si="40"/>
        <v>1048495</v>
      </c>
      <c r="BT133" s="5" t="str">
        <f t="shared" si="39"/>
        <v/>
      </c>
      <c r="CD133" s="5" t="e">
        <f t="shared" ca="1" si="42"/>
        <v>#REF!</v>
      </c>
      <c r="CE133" s="5" t="e">
        <f t="shared" ca="1" si="43"/>
        <v>#REF!</v>
      </c>
      <c r="CF133" s="5" t="e">
        <f t="shared" ca="1" si="41"/>
        <v>#REF!</v>
      </c>
      <c r="CG133" s="5"/>
    </row>
    <row r="134" spans="1:85" hidden="1" x14ac:dyDescent="0.25">
      <c r="A134" s="57"/>
      <c r="B134" s="57"/>
      <c r="C134" s="53"/>
      <c r="D134" s="54"/>
      <c r="E134" s="63"/>
      <c r="F134" s="59"/>
      <c r="G134" s="59"/>
      <c r="H134" s="59"/>
      <c r="I134" s="59"/>
      <c r="J134" s="59"/>
      <c r="K134" s="59"/>
      <c r="L134" s="59"/>
      <c r="M134" s="59"/>
      <c r="N134" s="59"/>
      <c r="O134" s="59"/>
      <c r="P134" s="59"/>
      <c r="Q134" s="59"/>
      <c r="R134" s="59"/>
      <c r="S134" s="59"/>
      <c r="T134" s="59"/>
      <c r="U134" s="59"/>
      <c r="V134" s="59"/>
      <c r="W134" s="59"/>
      <c r="X134" s="59"/>
      <c r="Y134" s="59"/>
      <c r="Z134" s="59"/>
      <c r="AA134" s="59"/>
      <c r="AB134" s="59"/>
      <c r="AC134" s="59"/>
      <c r="AD134" s="59"/>
      <c r="AE134" s="59"/>
      <c r="AF134" s="59"/>
      <c r="AG134" s="59"/>
      <c r="AH134" s="59"/>
      <c r="AI134" s="59"/>
      <c r="AJ134" s="59"/>
      <c r="AK134" s="59"/>
      <c r="AL134" s="59"/>
      <c r="AM134" s="59"/>
      <c r="AN134" s="59"/>
      <c r="AO134" s="59"/>
      <c r="AP134" s="59"/>
      <c r="AQ134" s="59"/>
      <c r="AR134" s="59"/>
      <c r="AS134" s="59"/>
      <c r="AT134" s="59"/>
      <c r="AU134" s="59"/>
      <c r="AV134" s="59"/>
      <c r="AW134" s="59"/>
      <c r="AX134" s="59"/>
      <c r="AY134" s="59"/>
      <c r="AZ134" s="59"/>
      <c r="BA134" s="59"/>
      <c r="BS134" s="5">
        <f t="shared" si="40"/>
        <v>1048495</v>
      </c>
      <c r="BT134" s="5"/>
      <c r="CD134" s="5" t="e">
        <f t="shared" ca="1" si="42"/>
        <v>#REF!</v>
      </c>
      <c r="CE134" s="5" t="e">
        <f t="shared" ca="1" si="43"/>
        <v>#REF!</v>
      </c>
      <c r="CF134" s="5" t="e">
        <f t="shared" ca="1" si="41"/>
        <v>#REF!</v>
      </c>
      <c r="CG134" s="5"/>
    </row>
    <row r="135" spans="1:85" hidden="1" x14ac:dyDescent="0.25">
      <c r="A135" s="57"/>
      <c r="B135" s="57"/>
      <c r="C135" s="53"/>
      <c r="D135" s="54"/>
      <c r="E135" s="63"/>
      <c r="F135" s="59"/>
      <c r="G135" s="59"/>
      <c r="H135" s="59"/>
      <c r="I135" s="59"/>
      <c r="J135" s="59"/>
      <c r="K135" s="59"/>
      <c r="L135" s="59"/>
      <c r="M135" s="59"/>
      <c r="N135" s="59"/>
      <c r="O135" s="59"/>
      <c r="P135" s="59"/>
      <c r="Q135" s="59"/>
      <c r="R135" s="59"/>
      <c r="S135" s="59"/>
      <c r="T135" s="59"/>
      <c r="U135" s="59"/>
      <c r="V135" s="59"/>
      <c r="W135" s="59"/>
      <c r="X135" s="59"/>
      <c r="Y135" s="59"/>
      <c r="Z135" s="59"/>
      <c r="AA135" s="59"/>
      <c r="AB135" s="59"/>
      <c r="AC135" s="59"/>
      <c r="AD135" s="59"/>
      <c r="AE135" s="59"/>
      <c r="AF135" s="59"/>
      <c r="AG135" s="59"/>
      <c r="AH135" s="59"/>
      <c r="AI135" s="59"/>
      <c r="AJ135" s="59"/>
      <c r="AK135" s="59"/>
      <c r="AL135" s="59"/>
      <c r="AM135" s="59"/>
      <c r="AN135" s="59"/>
      <c r="AO135" s="59"/>
      <c r="AP135" s="59"/>
      <c r="AQ135" s="59"/>
      <c r="AR135" s="59"/>
      <c r="AS135" s="59"/>
      <c r="AT135" s="59"/>
      <c r="AU135" s="59"/>
      <c r="AV135" s="59"/>
      <c r="AW135" s="59"/>
      <c r="AX135" s="59"/>
      <c r="AY135" s="59"/>
      <c r="AZ135" s="59"/>
      <c r="BA135" s="59"/>
      <c r="BS135" s="5"/>
      <c r="BT135" s="5"/>
      <c r="CD135" s="5" t="e">
        <f t="shared" ca="1" si="42"/>
        <v>#REF!</v>
      </c>
      <c r="CE135" s="5" t="e">
        <f t="shared" ca="1" si="43"/>
        <v>#REF!</v>
      </c>
      <c r="CF135" s="5" t="e">
        <f t="shared" ca="1" si="41"/>
        <v>#REF!</v>
      </c>
      <c r="CG135" s="5"/>
    </row>
    <row r="136" spans="1:85" hidden="1" x14ac:dyDescent="0.25">
      <c r="A136" s="57"/>
      <c r="B136" s="57"/>
      <c r="C136" s="53"/>
      <c r="D136" s="54"/>
      <c r="E136" s="63"/>
      <c r="F136" s="59"/>
      <c r="G136" s="59"/>
      <c r="H136" s="59"/>
      <c r="I136" s="59"/>
      <c r="J136" s="59"/>
      <c r="K136" s="59"/>
      <c r="L136" s="59"/>
      <c r="M136" s="59"/>
      <c r="N136" s="59"/>
      <c r="O136" s="59"/>
      <c r="P136" s="59"/>
      <c r="Q136" s="59"/>
      <c r="R136" s="59"/>
      <c r="S136" s="59"/>
      <c r="T136" s="59"/>
      <c r="U136" s="59"/>
      <c r="V136" s="59"/>
      <c r="W136" s="59"/>
      <c r="X136" s="59"/>
      <c r="Y136" s="59"/>
      <c r="Z136" s="59"/>
      <c r="AA136" s="59"/>
      <c r="AB136" s="59"/>
      <c r="AC136" s="59"/>
      <c r="AD136" s="59"/>
      <c r="AE136" s="59"/>
      <c r="AF136" s="59"/>
      <c r="AG136" s="59"/>
      <c r="AH136" s="59"/>
      <c r="AI136" s="59"/>
      <c r="AJ136" s="59"/>
      <c r="AK136" s="59"/>
      <c r="AL136" s="59"/>
      <c r="AM136" s="59"/>
      <c r="AN136" s="59"/>
      <c r="AO136" s="59"/>
      <c r="AP136" s="59"/>
      <c r="AQ136" s="59"/>
      <c r="AR136" s="59"/>
      <c r="AS136" s="59"/>
      <c r="AT136" s="59"/>
      <c r="AU136" s="59"/>
      <c r="AV136" s="59"/>
      <c r="AW136" s="59"/>
      <c r="AX136" s="59"/>
      <c r="AY136" s="59"/>
      <c r="AZ136" s="59"/>
      <c r="BA136" s="59"/>
      <c r="BS136" s="5"/>
      <c r="BT136" s="5"/>
      <c r="CD136" s="5" t="e">
        <f t="shared" ca="1" si="42"/>
        <v>#REF!</v>
      </c>
      <c r="CE136" s="5" t="e">
        <f t="shared" ca="1" si="43"/>
        <v>#REF!</v>
      </c>
      <c r="CF136" s="5" t="e">
        <f t="shared" ca="1" si="41"/>
        <v>#REF!</v>
      </c>
      <c r="CG136" s="5"/>
    </row>
    <row r="137" spans="1:85" ht="27.75" customHeight="1" x14ac:dyDescent="0.25">
      <c r="A137" s="56" t="s">
        <v>13</v>
      </c>
      <c r="B137" s="57"/>
      <c r="C137" s="53"/>
      <c r="D137" s="54"/>
      <c r="E137" s="63"/>
      <c r="F137" s="58">
        <f ca="1">SUM(F138:F147)</f>
        <v>207956.40000000002</v>
      </c>
      <c r="G137" s="58">
        <f t="shared" ref="G137:BA137" ca="1" si="44">SUM(G138:G147)</f>
        <v>290113.91776921757</v>
      </c>
      <c r="H137" s="58">
        <f t="shared" ca="1" si="44"/>
        <v>384374.36181969807</v>
      </c>
      <c r="I137" s="58">
        <f t="shared" ca="1" si="44"/>
        <v>461823.45210956235</v>
      </c>
      <c r="J137" s="58">
        <f t="shared" ca="1" si="44"/>
        <v>965292.9945368364</v>
      </c>
      <c r="K137" s="58">
        <f t="shared" ca="1" si="44"/>
        <v>1888277.2256975032</v>
      </c>
      <c r="L137" s="58">
        <f t="shared" ca="1" si="44"/>
        <v>1434746.1617601204</v>
      </c>
      <c r="M137" s="58">
        <f t="shared" ca="1" si="44"/>
        <v>1438466.6216205326</v>
      </c>
      <c r="N137" s="58">
        <f t="shared" ca="1" si="44"/>
        <v>1457268.0199240814</v>
      </c>
      <c r="O137" s="58">
        <f t="shared" ca="1" si="44"/>
        <v>1430888.4237632854</v>
      </c>
      <c r="P137" s="58">
        <f t="shared" ca="1" si="44"/>
        <v>1430383.7521054349</v>
      </c>
      <c r="Q137" s="58">
        <f t="shared" ca="1" si="44"/>
        <v>1428531.7676454319</v>
      </c>
      <c r="R137" s="58">
        <f t="shared" ca="1" si="44"/>
        <v>1425283.5155069714</v>
      </c>
      <c r="S137" s="58">
        <f t="shared" ca="1" si="44"/>
        <v>1420584.5962695444</v>
      </c>
      <c r="T137" s="58">
        <f t="shared" ca="1" si="44"/>
        <v>1414384.6259843565</v>
      </c>
      <c r="U137" s="58">
        <f t="shared" ca="1" si="44"/>
        <v>1406625.5514082399</v>
      </c>
      <c r="V137" s="58">
        <f t="shared" ca="1" si="44"/>
        <v>1397248.5123867993</v>
      </c>
      <c r="W137" s="58">
        <f t="shared" ca="1" si="44"/>
        <v>1386198.0522366734</v>
      </c>
      <c r="X137" s="58">
        <f t="shared" ca="1" si="44"/>
        <v>1373405.7589989759</v>
      </c>
      <c r="Y137" s="58">
        <f t="shared" ca="1" si="44"/>
        <v>1358812.4492150466</v>
      </c>
      <c r="Z137" s="58">
        <f t="shared" ca="1" si="44"/>
        <v>1342357.1327199305</v>
      </c>
      <c r="AA137" s="58">
        <f t="shared" ca="1" si="44"/>
        <v>1323965.7669175614</v>
      </c>
      <c r="AB137" s="58">
        <f t="shared" ca="1" si="44"/>
        <v>1303573.2970879688</v>
      </c>
      <c r="AC137" s="58">
        <f t="shared" ca="1" si="44"/>
        <v>1281104.7908407624</v>
      </c>
      <c r="AD137" s="58">
        <f t="shared" ca="1" si="44"/>
        <v>1256476.7993195655</v>
      </c>
      <c r="AE137" s="58">
        <f t="shared" ca="1" si="44"/>
        <v>1229616.4727554263</v>
      </c>
      <c r="AF137" s="58">
        <f t="shared" ca="1" si="44"/>
        <v>1200449.6123288367</v>
      </c>
      <c r="AG137" s="58">
        <f t="shared" ca="1" si="44"/>
        <v>1168893.320222951</v>
      </c>
      <c r="AH137" s="58">
        <f t="shared" ca="1" si="44"/>
        <v>1134862.6519047578</v>
      </c>
      <c r="AI137" s="58">
        <f t="shared" ca="1" si="44"/>
        <v>1098275.932337997</v>
      </c>
      <c r="AJ137" s="58">
        <f t="shared" ca="1" si="44"/>
        <v>1059043.1174388679</v>
      </c>
      <c r="AK137" s="58">
        <f t="shared" ca="1" si="44"/>
        <v>1017071.4453518302</v>
      </c>
      <c r="AL137" s="58">
        <f t="shared" ca="1" si="44"/>
        <v>972271.06141483644</v>
      </c>
      <c r="AM137" s="58">
        <f t="shared" ca="1" si="44"/>
        <v>924550.12056524982</v>
      </c>
      <c r="AN137" s="58">
        <f t="shared" ca="1" si="44"/>
        <v>873807.78652871831</v>
      </c>
      <c r="AO137" s="58">
        <f t="shared" ca="1" si="44"/>
        <v>819921.00474165822</v>
      </c>
      <c r="AP137" s="58">
        <f t="shared" ca="1" si="44"/>
        <v>762782.62867827958</v>
      </c>
      <c r="AQ137" s="58">
        <f t="shared" ca="1" si="44"/>
        <v>702262.67922110099</v>
      </c>
      <c r="AR137" s="58">
        <f t="shared" ca="1" si="44"/>
        <v>638208.43053455686</v>
      </c>
      <c r="AS137" s="58">
        <f t="shared" ca="1" si="44"/>
        <v>570497.66553346417</v>
      </c>
      <c r="AT137" s="58">
        <f t="shared" ca="1" si="44"/>
        <v>499011.28193517309</v>
      </c>
      <c r="AU137" s="58">
        <f t="shared" ca="1" si="44"/>
        <v>423614.02514187188</v>
      </c>
      <c r="AV137" s="58">
        <f t="shared" ca="1" si="44"/>
        <v>344164.3254265564</v>
      </c>
      <c r="AW137" s="58">
        <f t="shared" ca="1" si="44"/>
        <v>260451.8305998781</v>
      </c>
      <c r="AX137" s="58">
        <f t="shared" ca="1" si="44"/>
        <v>172327.74774462252</v>
      </c>
      <c r="AY137" s="58">
        <f t="shared" ca="1" si="44"/>
        <v>79619.810891136294</v>
      </c>
      <c r="AZ137" s="58">
        <f t="shared" ca="1" si="44"/>
        <v>-17752.977105236729</v>
      </c>
      <c r="BA137" s="58">
        <f t="shared" ca="1" si="44"/>
        <v>-120398.70396742527</v>
      </c>
      <c r="BS137" s="5"/>
      <c r="BT137" s="5"/>
      <c r="CD137" s="5" t="e">
        <f t="shared" ca="1" si="42"/>
        <v>#REF!</v>
      </c>
      <c r="CE137" s="5" t="e">
        <f t="shared" ca="1" si="43"/>
        <v>#REF!</v>
      </c>
      <c r="CF137" s="5" t="e">
        <f t="shared" ca="1" si="41"/>
        <v>#REF!</v>
      </c>
      <c r="CG137" s="5"/>
    </row>
    <row r="138" spans="1:85" x14ac:dyDescent="0.25">
      <c r="A138" s="57" t="s">
        <v>59</v>
      </c>
      <c r="B138" s="57"/>
      <c r="C138" s="53"/>
      <c r="D138" s="54"/>
      <c r="E138" s="63"/>
      <c r="F138" s="59">
        <f t="shared" ref="F138:BA138" ca="1" si="45">F43</f>
        <v>288099.40000000002</v>
      </c>
      <c r="G138" s="59">
        <f t="shared" ca="1" si="45"/>
        <v>377708.08076921757</v>
      </c>
      <c r="H138" s="59">
        <f t="shared" ca="1" si="45"/>
        <v>470281.41250069806</v>
      </c>
      <c r="I138" s="59">
        <f t="shared" ca="1" si="45"/>
        <v>555071.68244706234</v>
      </c>
      <c r="J138" s="59">
        <f t="shared" ca="1" si="45"/>
        <v>846292.9945368364</v>
      </c>
      <c r="K138" s="59">
        <f t="shared" ca="1" si="45"/>
        <v>1497277.2256975032</v>
      </c>
      <c r="L138" s="59">
        <f t="shared" ca="1" si="45"/>
        <v>1528134.8625259672</v>
      </c>
      <c r="M138" s="59">
        <f t="shared" ca="1" si="45"/>
        <v>1538686.2360205327</v>
      </c>
      <c r="N138" s="59">
        <f t="shared" ca="1" si="45"/>
        <v>1558113.2272600159</v>
      </c>
      <c r="O138" s="59">
        <f t="shared" ca="1" si="45"/>
        <v>1560888.4237632854</v>
      </c>
      <c r="P138" s="59">
        <f t="shared" ca="1" si="45"/>
        <v>1560383.7521054349</v>
      </c>
      <c r="Q138" s="59">
        <f t="shared" ca="1" si="45"/>
        <v>1558531.7676454319</v>
      </c>
      <c r="R138" s="59">
        <f t="shared" ca="1" si="45"/>
        <v>1555283.5155069714</v>
      </c>
      <c r="S138" s="59">
        <f t="shared" ca="1" si="45"/>
        <v>1550584.5962695444</v>
      </c>
      <c r="T138" s="59">
        <f t="shared" ca="1" si="45"/>
        <v>1544384.6259843565</v>
      </c>
      <c r="U138" s="59">
        <f t="shared" ca="1" si="45"/>
        <v>1536625.5514082399</v>
      </c>
      <c r="V138" s="59">
        <f t="shared" ca="1" si="45"/>
        <v>1527248.5123867993</v>
      </c>
      <c r="W138" s="59">
        <f t="shared" ca="1" si="45"/>
        <v>1516198.0522366734</v>
      </c>
      <c r="X138" s="59">
        <f t="shared" ca="1" si="45"/>
        <v>1503405.7589989759</v>
      </c>
      <c r="Y138" s="59">
        <f t="shared" ca="1" si="45"/>
        <v>1488812.4492150466</v>
      </c>
      <c r="Z138" s="59">
        <f t="shared" ca="1" si="45"/>
        <v>1472357.1327199305</v>
      </c>
      <c r="AA138" s="59">
        <f t="shared" ca="1" si="45"/>
        <v>1453965.7669175614</v>
      </c>
      <c r="AB138" s="59">
        <f t="shared" ca="1" si="45"/>
        <v>1433573.2970879688</v>
      </c>
      <c r="AC138" s="59">
        <f t="shared" ca="1" si="45"/>
        <v>1411104.7908407624</v>
      </c>
      <c r="AD138" s="59">
        <f t="shared" ca="1" si="45"/>
        <v>1386476.7993195655</v>
      </c>
      <c r="AE138" s="59">
        <f t="shared" ca="1" si="45"/>
        <v>1359616.4727554263</v>
      </c>
      <c r="AF138" s="59">
        <f t="shared" ca="1" si="45"/>
        <v>1330449.6123288367</v>
      </c>
      <c r="AG138" s="59">
        <f t="shared" ca="1" si="45"/>
        <v>1298893.320222951</v>
      </c>
      <c r="AH138" s="59">
        <f t="shared" ca="1" si="45"/>
        <v>1264862.6519047578</v>
      </c>
      <c r="AI138" s="59">
        <f t="shared" ca="1" si="45"/>
        <v>1228275.932337997</v>
      </c>
      <c r="AJ138" s="59">
        <f t="shared" ca="1" si="45"/>
        <v>1189043.1174388679</v>
      </c>
      <c r="AK138" s="59">
        <f t="shared" ca="1" si="45"/>
        <v>1147071.4453518302</v>
      </c>
      <c r="AL138" s="59">
        <f t="shared" ca="1" si="45"/>
        <v>1102271.0614148364</v>
      </c>
      <c r="AM138" s="59">
        <f t="shared" ca="1" si="45"/>
        <v>1054550.1205652498</v>
      </c>
      <c r="AN138" s="59">
        <f t="shared" ca="1" si="45"/>
        <v>1003807.7865287183</v>
      </c>
      <c r="AO138" s="59">
        <f t="shared" ca="1" si="45"/>
        <v>949921.00474165822</v>
      </c>
      <c r="AP138" s="59">
        <f t="shared" ca="1" si="45"/>
        <v>892782.62867827958</v>
      </c>
      <c r="AQ138" s="59">
        <f t="shared" ca="1" si="45"/>
        <v>832262.67922110099</v>
      </c>
      <c r="AR138" s="59">
        <f t="shared" ca="1" si="45"/>
        <v>768208.43053455686</v>
      </c>
      <c r="AS138" s="59">
        <f t="shared" ca="1" si="45"/>
        <v>700497.66553346417</v>
      </c>
      <c r="AT138" s="59">
        <f t="shared" ca="1" si="45"/>
        <v>629011.28193517309</v>
      </c>
      <c r="AU138" s="59">
        <f t="shared" ca="1" si="45"/>
        <v>553614.02514187188</v>
      </c>
      <c r="AV138" s="59">
        <f t="shared" ca="1" si="45"/>
        <v>474164.3254265564</v>
      </c>
      <c r="AW138" s="59">
        <f t="shared" ca="1" si="45"/>
        <v>390451.8305998781</v>
      </c>
      <c r="AX138" s="59">
        <f t="shared" ca="1" si="45"/>
        <v>302327.74774462252</v>
      </c>
      <c r="AY138" s="59">
        <f t="shared" ca="1" si="45"/>
        <v>209619.81089113632</v>
      </c>
      <c r="AZ138" s="59">
        <f t="shared" ca="1" si="45"/>
        <v>112247.02289476329</v>
      </c>
      <c r="BA138" s="59">
        <f t="shared" ca="1" si="45"/>
        <v>9601.2960325747699</v>
      </c>
      <c r="BS138" s="5"/>
      <c r="BT138" s="5"/>
      <c r="CD138" s="5" t="e">
        <f t="shared" ca="1" si="42"/>
        <v>#REF!</v>
      </c>
      <c r="CE138" s="5" t="e">
        <f t="shared" ca="1" si="43"/>
        <v>#REF!</v>
      </c>
      <c r="CF138" s="5" t="e">
        <f t="shared" ca="1" si="41"/>
        <v>#REF!</v>
      </c>
      <c r="CG138" s="5"/>
    </row>
    <row r="139" spans="1:85" x14ac:dyDescent="0.25">
      <c r="A139" s="57" t="s">
        <v>98</v>
      </c>
      <c r="B139" s="57"/>
      <c r="C139" s="53"/>
      <c r="D139" s="54"/>
      <c r="E139" s="63"/>
      <c r="F139" s="59">
        <f t="shared" ref="F139:BA139" ca="1" si="46">F70</f>
        <v>-880000</v>
      </c>
      <c r="G139" s="59">
        <f t="shared" ca="1" si="46"/>
        <v>-880000</v>
      </c>
      <c r="H139" s="59">
        <f t="shared" ca="1" si="46"/>
        <v>-880000</v>
      </c>
      <c r="I139" s="59">
        <f t="shared" ca="1" si="46"/>
        <v>-880000</v>
      </c>
      <c r="J139" s="59">
        <f t="shared" ca="1" si="46"/>
        <v>-880000</v>
      </c>
      <c r="K139" s="59">
        <f t="shared" ca="1" si="46"/>
        <v>-880000</v>
      </c>
      <c r="L139" s="59">
        <f t="shared" ca="1" si="46"/>
        <v>-880000</v>
      </c>
      <c r="M139" s="59">
        <f t="shared" ca="1" si="46"/>
        <v>-880000</v>
      </c>
      <c r="N139" s="59">
        <f t="shared" ca="1" si="46"/>
        <v>-880000</v>
      </c>
      <c r="O139" s="59">
        <f t="shared" ca="1" si="46"/>
        <v>-880000</v>
      </c>
      <c r="P139" s="59">
        <f t="shared" ca="1" si="46"/>
        <v>-880000</v>
      </c>
      <c r="Q139" s="59">
        <f t="shared" ca="1" si="46"/>
        <v>-880000</v>
      </c>
      <c r="R139" s="59">
        <f t="shared" ca="1" si="46"/>
        <v>-880000</v>
      </c>
      <c r="S139" s="59">
        <f t="shared" ca="1" si="46"/>
        <v>-880000</v>
      </c>
      <c r="T139" s="59">
        <f t="shared" ca="1" si="46"/>
        <v>-880000</v>
      </c>
      <c r="U139" s="59">
        <f t="shared" ca="1" si="46"/>
        <v>-880000</v>
      </c>
      <c r="V139" s="59">
        <f t="shared" ca="1" si="46"/>
        <v>-880000</v>
      </c>
      <c r="W139" s="59">
        <f t="shared" ca="1" si="46"/>
        <v>-880000</v>
      </c>
      <c r="X139" s="59">
        <f t="shared" ca="1" si="46"/>
        <v>-880000</v>
      </c>
      <c r="Y139" s="59">
        <f t="shared" ca="1" si="46"/>
        <v>-880000</v>
      </c>
      <c r="Z139" s="59">
        <f t="shared" ca="1" si="46"/>
        <v>-880000</v>
      </c>
      <c r="AA139" s="59">
        <f t="shared" ca="1" si="46"/>
        <v>-880000</v>
      </c>
      <c r="AB139" s="59">
        <f t="shared" ca="1" si="46"/>
        <v>-880000</v>
      </c>
      <c r="AC139" s="59">
        <f t="shared" ca="1" si="46"/>
        <v>-880000</v>
      </c>
      <c r="AD139" s="59">
        <f t="shared" ca="1" si="46"/>
        <v>-880000</v>
      </c>
      <c r="AE139" s="59">
        <f t="shared" ca="1" si="46"/>
        <v>-880000</v>
      </c>
      <c r="AF139" s="59">
        <f t="shared" ca="1" si="46"/>
        <v>-880000</v>
      </c>
      <c r="AG139" s="59">
        <f t="shared" ca="1" si="46"/>
        <v>-880000</v>
      </c>
      <c r="AH139" s="59">
        <f t="shared" ca="1" si="46"/>
        <v>-880000</v>
      </c>
      <c r="AI139" s="59">
        <f t="shared" ca="1" si="46"/>
        <v>-880000</v>
      </c>
      <c r="AJ139" s="59">
        <f t="shared" ca="1" si="46"/>
        <v>-880000</v>
      </c>
      <c r="AK139" s="59">
        <f t="shared" ca="1" si="46"/>
        <v>-880000</v>
      </c>
      <c r="AL139" s="59">
        <f t="shared" ca="1" si="46"/>
        <v>-880000</v>
      </c>
      <c r="AM139" s="59">
        <f t="shared" ca="1" si="46"/>
        <v>-880000</v>
      </c>
      <c r="AN139" s="59">
        <f t="shared" ca="1" si="46"/>
        <v>-880000</v>
      </c>
      <c r="AO139" s="59">
        <f t="shared" ca="1" si="46"/>
        <v>-880000</v>
      </c>
      <c r="AP139" s="59">
        <f t="shared" ca="1" si="46"/>
        <v>-880000</v>
      </c>
      <c r="AQ139" s="59">
        <f t="shared" ca="1" si="46"/>
        <v>-880000</v>
      </c>
      <c r="AR139" s="59">
        <f t="shared" ca="1" si="46"/>
        <v>-880000</v>
      </c>
      <c r="AS139" s="59">
        <f t="shared" ca="1" si="46"/>
        <v>-880000</v>
      </c>
      <c r="AT139" s="59">
        <f t="shared" ca="1" si="46"/>
        <v>-880000</v>
      </c>
      <c r="AU139" s="59">
        <f t="shared" ca="1" si="46"/>
        <v>-880000</v>
      </c>
      <c r="AV139" s="59">
        <f t="shared" ca="1" si="46"/>
        <v>-880000</v>
      </c>
      <c r="AW139" s="59">
        <f t="shared" ca="1" si="46"/>
        <v>-880000</v>
      </c>
      <c r="AX139" s="59">
        <f t="shared" ca="1" si="46"/>
        <v>-880000</v>
      </c>
      <c r="AY139" s="59">
        <f t="shared" ca="1" si="46"/>
        <v>-880000</v>
      </c>
      <c r="AZ139" s="59">
        <f t="shared" ca="1" si="46"/>
        <v>-880000</v>
      </c>
      <c r="BA139" s="59">
        <f t="shared" ca="1" si="46"/>
        <v>-880000</v>
      </c>
      <c r="BS139" s="5"/>
      <c r="BT139" s="5" t="str">
        <f t="shared" ref="BT139:BT149" si="47">BU139&amp;BV139&amp;BW139</f>
        <v/>
      </c>
      <c r="CD139" s="5" t="e">
        <f t="shared" ca="1" si="42"/>
        <v>#REF!</v>
      </c>
      <c r="CE139" s="5" t="e">
        <f t="shared" ca="1" si="43"/>
        <v>#REF!</v>
      </c>
      <c r="CF139" s="5" t="e">
        <f t="shared" ca="1" si="41"/>
        <v>#REF!</v>
      </c>
      <c r="CG139" s="5"/>
    </row>
    <row r="140" spans="1:85" x14ac:dyDescent="0.25">
      <c r="A140" s="57" t="s">
        <v>108</v>
      </c>
      <c r="B140" s="57"/>
      <c r="C140" s="53"/>
      <c r="D140" s="54"/>
      <c r="E140" s="63"/>
      <c r="F140" s="59">
        <f>SUM(V_Liegensch[Steuerwert])</f>
        <v>750000</v>
      </c>
      <c r="G140" s="59">
        <f>F140</f>
        <v>750000</v>
      </c>
      <c r="H140" s="59">
        <f t="shared" ref="H140:BA140" si="48">G140</f>
        <v>750000</v>
      </c>
      <c r="I140" s="59">
        <f t="shared" si="48"/>
        <v>750000</v>
      </c>
      <c r="J140" s="59">
        <f t="shared" si="48"/>
        <v>750000</v>
      </c>
      <c r="K140" s="59">
        <f t="shared" si="48"/>
        <v>750000</v>
      </c>
      <c r="L140" s="59">
        <f t="shared" si="48"/>
        <v>750000</v>
      </c>
      <c r="M140" s="59">
        <f t="shared" si="48"/>
        <v>750000</v>
      </c>
      <c r="N140" s="59">
        <f t="shared" si="48"/>
        <v>750000</v>
      </c>
      <c r="O140" s="59">
        <f t="shared" si="48"/>
        <v>750000</v>
      </c>
      <c r="P140" s="59">
        <f t="shared" si="48"/>
        <v>750000</v>
      </c>
      <c r="Q140" s="59">
        <f t="shared" si="48"/>
        <v>750000</v>
      </c>
      <c r="R140" s="59">
        <f t="shared" si="48"/>
        <v>750000</v>
      </c>
      <c r="S140" s="59">
        <f t="shared" si="48"/>
        <v>750000</v>
      </c>
      <c r="T140" s="59">
        <f t="shared" si="48"/>
        <v>750000</v>
      </c>
      <c r="U140" s="59">
        <f t="shared" si="48"/>
        <v>750000</v>
      </c>
      <c r="V140" s="59">
        <f t="shared" si="48"/>
        <v>750000</v>
      </c>
      <c r="W140" s="59">
        <f t="shared" si="48"/>
        <v>750000</v>
      </c>
      <c r="X140" s="59">
        <f t="shared" si="48"/>
        <v>750000</v>
      </c>
      <c r="Y140" s="59">
        <f t="shared" si="48"/>
        <v>750000</v>
      </c>
      <c r="Z140" s="59">
        <f t="shared" si="48"/>
        <v>750000</v>
      </c>
      <c r="AA140" s="59">
        <f t="shared" si="48"/>
        <v>750000</v>
      </c>
      <c r="AB140" s="59">
        <f t="shared" si="48"/>
        <v>750000</v>
      </c>
      <c r="AC140" s="59">
        <f t="shared" si="48"/>
        <v>750000</v>
      </c>
      <c r="AD140" s="59">
        <f t="shared" si="48"/>
        <v>750000</v>
      </c>
      <c r="AE140" s="59">
        <f t="shared" si="48"/>
        <v>750000</v>
      </c>
      <c r="AF140" s="59">
        <f t="shared" si="48"/>
        <v>750000</v>
      </c>
      <c r="AG140" s="59">
        <f t="shared" si="48"/>
        <v>750000</v>
      </c>
      <c r="AH140" s="59">
        <f t="shared" si="48"/>
        <v>750000</v>
      </c>
      <c r="AI140" s="59">
        <f t="shared" si="48"/>
        <v>750000</v>
      </c>
      <c r="AJ140" s="59">
        <f t="shared" si="48"/>
        <v>750000</v>
      </c>
      <c r="AK140" s="59">
        <f t="shared" si="48"/>
        <v>750000</v>
      </c>
      <c r="AL140" s="59">
        <f t="shared" si="48"/>
        <v>750000</v>
      </c>
      <c r="AM140" s="59">
        <f t="shared" si="48"/>
        <v>750000</v>
      </c>
      <c r="AN140" s="59">
        <f t="shared" si="48"/>
        <v>750000</v>
      </c>
      <c r="AO140" s="59">
        <f t="shared" si="48"/>
        <v>750000</v>
      </c>
      <c r="AP140" s="59">
        <f t="shared" si="48"/>
        <v>750000</v>
      </c>
      <c r="AQ140" s="59">
        <f t="shared" si="48"/>
        <v>750000</v>
      </c>
      <c r="AR140" s="59">
        <f t="shared" si="48"/>
        <v>750000</v>
      </c>
      <c r="AS140" s="59">
        <f t="shared" si="48"/>
        <v>750000</v>
      </c>
      <c r="AT140" s="59">
        <f t="shared" si="48"/>
        <v>750000</v>
      </c>
      <c r="AU140" s="59">
        <f t="shared" si="48"/>
        <v>750000</v>
      </c>
      <c r="AV140" s="59">
        <f t="shared" si="48"/>
        <v>750000</v>
      </c>
      <c r="AW140" s="59">
        <f t="shared" si="48"/>
        <v>750000</v>
      </c>
      <c r="AX140" s="59">
        <f t="shared" si="48"/>
        <v>750000</v>
      </c>
      <c r="AY140" s="59">
        <f t="shared" si="48"/>
        <v>750000</v>
      </c>
      <c r="AZ140" s="59">
        <f t="shared" si="48"/>
        <v>750000</v>
      </c>
      <c r="BA140" s="59">
        <f t="shared" si="48"/>
        <v>750000</v>
      </c>
      <c r="BS140" s="5">
        <f t="shared" ref="BS140:BS150" si="49">COUNTIF(BT:BT,BT139)-1</f>
        <v>1048495</v>
      </c>
      <c r="BT140" s="5" t="str">
        <f t="shared" si="47"/>
        <v/>
      </c>
      <c r="CD140" s="5" t="e">
        <f t="shared" ca="1" si="42"/>
        <v>#REF!</v>
      </c>
      <c r="CE140" s="5" t="e">
        <f t="shared" ca="1" si="43"/>
        <v>#REF!</v>
      </c>
      <c r="CF140" s="5" t="e">
        <f t="shared" ca="1" si="41"/>
        <v>#REF!</v>
      </c>
      <c r="CG140" s="5"/>
    </row>
    <row r="141" spans="1:85" hidden="1" x14ac:dyDescent="0.25">
      <c r="A141" s="57"/>
      <c r="B141" s="57"/>
      <c r="C141" s="53"/>
      <c r="D141" s="54"/>
      <c r="E141" s="63"/>
      <c r="F141" s="59"/>
      <c r="G141" s="59"/>
      <c r="H141" s="59"/>
      <c r="I141" s="59"/>
      <c r="J141" s="59"/>
      <c r="K141" s="59"/>
      <c r="L141" s="59"/>
      <c r="M141" s="59"/>
      <c r="N141" s="59"/>
      <c r="O141" s="59"/>
      <c r="P141" s="59"/>
      <c r="Q141" s="59"/>
      <c r="R141" s="59"/>
      <c r="S141" s="59"/>
      <c r="T141" s="59"/>
      <c r="U141" s="59"/>
      <c r="V141" s="59"/>
      <c r="W141" s="59"/>
      <c r="X141" s="59"/>
      <c r="Y141" s="59"/>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X141" s="59"/>
      <c r="AY141" s="59"/>
      <c r="AZ141" s="59"/>
      <c r="BA141" s="59"/>
      <c r="BS141" s="5">
        <f t="shared" si="49"/>
        <v>1048495</v>
      </c>
      <c r="BT141" s="5" t="str">
        <f t="shared" si="47"/>
        <v/>
      </c>
      <c r="CD141" s="5" t="e">
        <f t="shared" ca="1" si="42"/>
        <v>#REF!</v>
      </c>
      <c r="CE141" s="5" t="e">
        <f t="shared" ca="1" si="43"/>
        <v>#REF!</v>
      </c>
      <c r="CF141" s="5" t="e">
        <f t="shared" ca="1" si="41"/>
        <v>#REF!</v>
      </c>
      <c r="CG141" s="5"/>
    </row>
    <row r="142" spans="1:85" hidden="1" x14ac:dyDescent="0.25">
      <c r="A142" s="57"/>
      <c r="B142" s="57"/>
      <c r="C142" s="53"/>
      <c r="D142" s="54"/>
      <c r="E142" s="63"/>
      <c r="F142" s="59"/>
      <c r="G142" s="59"/>
      <c r="H142" s="59"/>
      <c r="I142" s="59"/>
      <c r="J142" s="59"/>
      <c r="K142" s="59"/>
      <c r="L142" s="59"/>
      <c r="M142" s="59"/>
      <c r="N142" s="59"/>
      <c r="O142" s="59"/>
      <c r="P142" s="59"/>
      <c r="Q142" s="59"/>
      <c r="R142" s="59"/>
      <c r="S142" s="59"/>
      <c r="T142" s="59"/>
      <c r="U142" s="59"/>
      <c r="V142" s="59"/>
      <c r="W142" s="59"/>
      <c r="X142" s="59"/>
      <c r="Y142" s="59"/>
      <c r="Z142" s="59"/>
      <c r="AA142" s="59"/>
      <c r="AB142" s="59"/>
      <c r="AC142" s="59"/>
      <c r="AD142" s="59"/>
      <c r="AE142" s="59"/>
      <c r="AF142" s="59"/>
      <c r="AG142" s="59"/>
      <c r="AH142" s="59"/>
      <c r="AI142" s="59"/>
      <c r="AJ142" s="59"/>
      <c r="AK142" s="59"/>
      <c r="AL142" s="59"/>
      <c r="AM142" s="59"/>
      <c r="AN142" s="59"/>
      <c r="AO142" s="59"/>
      <c r="AP142" s="59"/>
      <c r="AQ142" s="59"/>
      <c r="AR142" s="59"/>
      <c r="AS142" s="59"/>
      <c r="AT142" s="59"/>
      <c r="AU142" s="59"/>
      <c r="AV142" s="59"/>
      <c r="AW142" s="59"/>
      <c r="AX142" s="59"/>
      <c r="AY142" s="59"/>
      <c r="AZ142" s="59"/>
      <c r="BA142" s="59"/>
      <c r="BS142" s="5">
        <f t="shared" si="49"/>
        <v>1048495</v>
      </c>
      <c r="BT142" s="5" t="str">
        <f t="shared" si="47"/>
        <v/>
      </c>
      <c r="CD142" s="5" t="e">
        <f t="shared" ca="1" si="42"/>
        <v>#REF!</v>
      </c>
      <c r="CE142" s="5" t="e">
        <f t="shared" ca="1" si="43"/>
        <v>#REF!</v>
      </c>
      <c r="CF142" s="5" t="e">
        <f t="shared" ca="1" si="41"/>
        <v>#REF!</v>
      </c>
      <c r="CG142" s="5"/>
    </row>
    <row r="143" spans="1:85" hidden="1" x14ac:dyDescent="0.25">
      <c r="A143" s="57"/>
      <c r="B143" s="57"/>
      <c r="C143" s="53"/>
      <c r="D143" s="54"/>
      <c r="E143" s="63"/>
      <c r="F143" s="59"/>
      <c r="G143" s="59"/>
      <c r="H143" s="59"/>
      <c r="I143" s="59"/>
      <c r="J143" s="59"/>
      <c r="K143" s="59"/>
      <c r="L143" s="59"/>
      <c r="M143" s="59"/>
      <c r="N143" s="59"/>
      <c r="O143" s="59"/>
      <c r="P143" s="59"/>
      <c r="Q143" s="59"/>
      <c r="R143" s="59"/>
      <c r="S143" s="59"/>
      <c r="T143" s="59"/>
      <c r="U143" s="59"/>
      <c r="V143" s="59"/>
      <c r="W143" s="59"/>
      <c r="X143" s="59"/>
      <c r="Y143" s="59"/>
      <c r="Z143" s="59"/>
      <c r="AA143" s="59"/>
      <c r="AB143" s="59"/>
      <c r="AC143" s="59"/>
      <c r="AD143" s="59"/>
      <c r="AE143" s="59"/>
      <c r="AF143" s="59"/>
      <c r="AG143" s="59"/>
      <c r="AH143" s="59"/>
      <c r="AI143" s="59"/>
      <c r="AJ143" s="59"/>
      <c r="AK143" s="59"/>
      <c r="AL143" s="59"/>
      <c r="AM143" s="59"/>
      <c r="AN143" s="59"/>
      <c r="AO143" s="59"/>
      <c r="AP143" s="59"/>
      <c r="AQ143" s="59"/>
      <c r="AR143" s="59"/>
      <c r="AS143" s="59"/>
      <c r="AT143" s="59"/>
      <c r="AU143" s="59"/>
      <c r="AV143" s="59"/>
      <c r="AW143" s="59"/>
      <c r="AX143" s="59"/>
      <c r="AY143" s="59"/>
      <c r="AZ143" s="59"/>
      <c r="BA143" s="59"/>
      <c r="BS143" s="5">
        <f t="shared" si="49"/>
        <v>1048495</v>
      </c>
      <c r="BT143" s="5" t="str">
        <f t="shared" si="47"/>
        <v/>
      </c>
      <c r="CD143" s="5" t="e">
        <f t="shared" ca="1" si="42"/>
        <v>#REF!</v>
      </c>
      <c r="CE143" s="5" t="e">
        <f t="shared" ca="1" si="43"/>
        <v>#REF!</v>
      </c>
      <c r="CF143" s="5" t="e">
        <f t="shared" ca="1" si="41"/>
        <v>#REF!</v>
      </c>
      <c r="CG143" s="5"/>
    </row>
    <row r="144" spans="1:85" hidden="1" x14ac:dyDescent="0.25">
      <c r="A144" s="57"/>
      <c r="B144" s="57"/>
      <c r="C144" s="53"/>
      <c r="D144" s="54"/>
      <c r="E144" s="63"/>
      <c r="F144" s="59"/>
      <c r="G144" s="59"/>
      <c r="H144" s="59"/>
      <c r="I144" s="59"/>
      <c r="J144" s="59"/>
      <c r="K144" s="59"/>
      <c r="L144" s="59"/>
      <c r="M144" s="59"/>
      <c r="N144" s="59"/>
      <c r="O144" s="59"/>
      <c r="P144" s="59"/>
      <c r="Q144" s="59"/>
      <c r="R144" s="59"/>
      <c r="S144" s="59"/>
      <c r="T144" s="59"/>
      <c r="U144" s="59"/>
      <c r="V144" s="59"/>
      <c r="W144" s="59"/>
      <c r="X144" s="59"/>
      <c r="Y144" s="59"/>
      <c r="Z144" s="59"/>
      <c r="AA144" s="59"/>
      <c r="AB144" s="59"/>
      <c r="AC144" s="59"/>
      <c r="AD144" s="59"/>
      <c r="AE144" s="59"/>
      <c r="AF144" s="59"/>
      <c r="AG144" s="59"/>
      <c r="AH144" s="59"/>
      <c r="AI144" s="59"/>
      <c r="AJ144" s="59"/>
      <c r="AK144" s="59"/>
      <c r="AL144" s="59"/>
      <c r="AM144" s="59"/>
      <c r="AN144" s="59"/>
      <c r="AO144" s="59"/>
      <c r="AP144" s="59"/>
      <c r="AQ144" s="59"/>
      <c r="AR144" s="59"/>
      <c r="AS144" s="59"/>
      <c r="AT144" s="59"/>
      <c r="AU144" s="59"/>
      <c r="AV144" s="59"/>
      <c r="AW144" s="59"/>
      <c r="AX144" s="59"/>
      <c r="AY144" s="59"/>
      <c r="AZ144" s="59"/>
      <c r="BA144" s="59"/>
      <c r="BS144" s="5">
        <f t="shared" si="49"/>
        <v>1048495</v>
      </c>
      <c r="BT144" s="5" t="str">
        <f t="shared" si="47"/>
        <v/>
      </c>
      <c r="CD144" s="5" t="e">
        <f t="shared" ca="1" si="42"/>
        <v>#REF!</v>
      </c>
      <c r="CE144" s="5" t="e">
        <f t="shared" ca="1" si="43"/>
        <v>#REF!</v>
      </c>
      <c r="CF144" s="5" t="e">
        <f t="shared" ca="1" si="41"/>
        <v>#REF!</v>
      </c>
      <c r="CG144" s="5"/>
    </row>
    <row r="145" spans="1:85" hidden="1" x14ac:dyDescent="0.25">
      <c r="A145" s="57"/>
      <c r="B145" s="57"/>
      <c r="C145" s="53"/>
      <c r="D145" s="54"/>
      <c r="E145" s="63"/>
      <c r="F145" s="59"/>
      <c r="G145" s="59"/>
      <c r="H145" s="59"/>
      <c r="I145" s="59"/>
      <c r="J145" s="59"/>
      <c r="K145" s="59"/>
      <c r="L145" s="59"/>
      <c r="M145" s="59"/>
      <c r="N145" s="59"/>
      <c r="O145" s="59"/>
      <c r="P145" s="59"/>
      <c r="Q145" s="59"/>
      <c r="R145" s="59"/>
      <c r="S145" s="59"/>
      <c r="T145" s="59"/>
      <c r="U145" s="59"/>
      <c r="V145" s="59"/>
      <c r="W145" s="59"/>
      <c r="X145" s="59"/>
      <c r="Y145" s="59"/>
      <c r="Z145" s="59"/>
      <c r="AA145" s="59"/>
      <c r="AB145" s="59"/>
      <c r="AC145" s="59"/>
      <c r="AD145" s="59"/>
      <c r="AE145" s="59"/>
      <c r="AF145" s="59"/>
      <c r="AG145" s="59"/>
      <c r="AH145" s="59"/>
      <c r="AI145" s="59"/>
      <c r="AJ145" s="59"/>
      <c r="AK145" s="59"/>
      <c r="AL145" s="59"/>
      <c r="AM145" s="59"/>
      <c r="AN145" s="59"/>
      <c r="AO145" s="59"/>
      <c r="AP145" s="59"/>
      <c r="AQ145" s="59"/>
      <c r="AR145" s="59"/>
      <c r="AS145" s="59"/>
      <c r="AT145" s="59"/>
      <c r="AU145" s="59"/>
      <c r="AV145" s="59"/>
      <c r="AW145" s="59"/>
      <c r="AX145" s="59"/>
      <c r="AY145" s="59"/>
      <c r="AZ145" s="59"/>
      <c r="BA145" s="59"/>
      <c r="BS145" s="5">
        <f t="shared" si="49"/>
        <v>1048495</v>
      </c>
      <c r="BT145" s="5" t="str">
        <f t="shared" si="47"/>
        <v/>
      </c>
      <c r="CD145" s="5" t="e">
        <f t="shared" ca="1" si="42"/>
        <v>#REF!</v>
      </c>
      <c r="CE145" s="5" t="e">
        <f t="shared" ca="1" si="43"/>
        <v>#REF!</v>
      </c>
      <c r="CF145" s="5" t="e">
        <f t="shared" ca="1" si="41"/>
        <v>#REF!</v>
      </c>
      <c r="CG145" s="5"/>
    </row>
    <row r="146" spans="1:85" hidden="1" x14ac:dyDescent="0.25">
      <c r="A146" s="57"/>
      <c r="B146" s="57"/>
      <c r="C146" s="53"/>
      <c r="D146" s="54"/>
      <c r="E146" s="63"/>
      <c r="F146" s="59"/>
      <c r="G146" s="59"/>
      <c r="H146" s="59"/>
      <c r="I146" s="59"/>
      <c r="J146" s="59"/>
      <c r="K146" s="59"/>
      <c r="L146" s="59"/>
      <c r="M146" s="59"/>
      <c r="N146" s="59"/>
      <c r="O146" s="59"/>
      <c r="P146" s="59"/>
      <c r="Q146" s="59"/>
      <c r="R146" s="59"/>
      <c r="S146" s="59"/>
      <c r="T146" s="59"/>
      <c r="U146" s="59"/>
      <c r="V146" s="59"/>
      <c r="W146" s="59"/>
      <c r="X146" s="59"/>
      <c r="Y146" s="59"/>
      <c r="Z146" s="59"/>
      <c r="AA146" s="59"/>
      <c r="AB146" s="59"/>
      <c r="AC146" s="59"/>
      <c r="AD146" s="59"/>
      <c r="AE146" s="59"/>
      <c r="AF146" s="59"/>
      <c r="AG146" s="59"/>
      <c r="AH146" s="59"/>
      <c r="AI146" s="59"/>
      <c r="AJ146" s="59"/>
      <c r="AK146" s="59"/>
      <c r="AL146" s="59"/>
      <c r="AM146" s="59"/>
      <c r="AN146" s="59"/>
      <c r="AO146" s="59"/>
      <c r="AP146" s="59"/>
      <c r="AQ146" s="59"/>
      <c r="AR146" s="59"/>
      <c r="AS146" s="59"/>
      <c r="AT146" s="59"/>
      <c r="AU146" s="59"/>
      <c r="AV146" s="59"/>
      <c r="AW146" s="59"/>
      <c r="AX146" s="59"/>
      <c r="AY146" s="59"/>
      <c r="AZ146" s="59"/>
      <c r="BA146" s="59"/>
      <c r="BS146" s="5">
        <f t="shared" si="49"/>
        <v>1048495</v>
      </c>
      <c r="BT146" s="5" t="str">
        <f t="shared" si="47"/>
        <v/>
      </c>
      <c r="CD146" s="5" t="e">
        <f t="shared" ca="1" si="42"/>
        <v>#REF!</v>
      </c>
      <c r="CE146" s="5" t="e">
        <f t="shared" ca="1" si="43"/>
        <v>#REF!</v>
      </c>
      <c r="CF146" s="5" t="e">
        <f t="shared" ca="1" si="41"/>
        <v>#REF!</v>
      </c>
      <c r="CG146" s="5"/>
    </row>
    <row r="147" spans="1:85" ht="28.15" customHeight="1" x14ac:dyDescent="0.25">
      <c r="A147" s="56" t="s">
        <v>269</v>
      </c>
      <c r="B147" s="57"/>
      <c r="C147" s="53"/>
      <c r="D147" s="54"/>
      <c r="E147" s="63"/>
      <c r="F147" s="58">
        <f>SUM(F88:F89)</f>
        <v>49857</v>
      </c>
      <c r="G147" s="58">
        <f t="shared" ref="G147:BA147" si="50">SUM(G88:G89)</f>
        <v>42405.837</v>
      </c>
      <c r="H147" s="58">
        <f t="shared" si="50"/>
        <v>44092.949318999985</v>
      </c>
      <c r="I147" s="58">
        <f t="shared" si="50"/>
        <v>36751.769662499995</v>
      </c>
      <c r="J147" s="58">
        <f t="shared" si="50"/>
        <v>249000</v>
      </c>
      <c r="K147" s="58">
        <f t="shared" si="50"/>
        <v>521000</v>
      </c>
      <c r="L147" s="58">
        <f t="shared" si="50"/>
        <v>36611.299234153194</v>
      </c>
      <c r="M147" s="58">
        <f t="shared" si="50"/>
        <v>29780.385600000001</v>
      </c>
      <c r="N147" s="58">
        <f t="shared" si="50"/>
        <v>29154.792664065601</v>
      </c>
      <c r="O147" s="58">
        <f t="shared" si="50"/>
        <v>0</v>
      </c>
      <c r="P147" s="58">
        <f t="shared" si="50"/>
        <v>0</v>
      </c>
      <c r="Q147" s="58">
        <f t="shared" si="50"/>
        <v>0</v>
      </c>
      <c r="R147" s="58">
        <f t="shared" si="50"/>
        <v>0</v>
      </c>
      <c r="S147" s="58">
        <f t="shared" si="50"/>
        <v>0</v>
      </c>
      <c r="T147" s="58">
        <f t="shared" si="50"/>
        <v>0</v>
      </c>
      <c r="U147" s="58">
        <f t="shared" si="50"/>
        <v>0</v>
      </c>
      <c r="V147" s="58">
        <f t="shared" si="50"/>
        <v>0</v>
      </c>
      <c r="W147" s="58">
        <f t="shared" si="50"/>
        <v>0</v>
      </c>
      <c r="X147" s="58">
        <f t="shared" si="50"/>
        <v>0</v>
      </c>
      <c r="Y147" s="58">
        <f t="shared" si="50"/>
        <v>0</v>
      </c>
      <c r="Z147" s="58">
        <f t="shared" si="50"/>
        <v>0</v>
      </c>
      <c r="AA147" s="58">
        <f t="shared" si="50"/>
        <v>0</v>
      </c>
      <c r="AB147" s="58">
        <f t="shared" si="50"/>
        <v>0</v>
      </c>
      <c r="AC147" s="58">
        <f t="shared" si="50"/>
        <v>0</v>
      </c>
      <c r="AD147" s="58">
        <f t="shared" si="50"/>
        <v>0</v>
      </c>
      <c r="AE147" s="58">
        <f t="shared" si="50"/>
        <v>0</v>
      </c>
      <c r="AF147" s="58">
        <f t="shared" si="50"/>
        <v>0</v>
      </c>
      <c r="AG147" s="58">
        <f t="shared" si="50"/>
        <v>0</v>
      </c>
      <c r="AH147" s="58">
        <f t="shared" si="50"/>
        <v>0</v>
      </c>
      <c r="AI147" s="58">
        <f t="shared" si="50"/>
        <v>0</v>
      </c>
      <c r="AJ147" s="58">
        <f t="shared" si="50"/>
        <v>0</v>
      </c>
      <c r="AK147" s="58">
        <f t="shared" si="50"/>
        <v>0</v>
      </c>
      <c r="AL147" s="58">
        <f t="shared" si="50"/>
        <v>0</v>
      </c>
      <c r="AM147" s="58">
        <f t="shared" si="50"/>
        <v>0</v>
      </c>
      <c r="AN147" s="58">
        <f t="shared" si="50"/>
        <v>0</v>
      </c>
      <c r="AO147" s="58">
        <f t="shared" si="50"/>
        <v>0</v>
      </c>
      <c r="AP147" s="58">
        <f t="shared" si="50"/>
        <v>0</v>
      </c>
      <c r="AQ147" s="58">
        <f t="shared" si="50"/>
        <v>0</v>
      </c>
      <c r="AR147" s="58">
        <f t="shared" si="50"/>
        <v>0</v>
      </c>
      <c r="AS147" s="58">
        <f t="shared" si="50"/>
        <v>0</v>
      </c>
      <c r="AT147" s="58">
        <f t="shared" si="50"/>
        <v>0</v>
      </c>
      <c r="AU147" s="58">
        <f t="shared" si="50"/>
        <v>0</v>
      </c>
      <c r="AV147" s="58">
        <f t="shared" si="50"/>
        <v>0</v>
      </c>
      <c r="AW147" s="58">
        <f t="shared" si="50"/>
        <v>0</v>
      </c>
      <c r="AX147" s="58">
        <f t="shared" si="50"/>
        <v>0</v>
      </c>
      <c r="AY147" s="58">
        <f t="shared" si="50"/>
        <v>0</v>
      </c>
      <c r="AZ147" s="58">
        <f t="shared" si="50"/>
        <v>0</v>
      </c>
      <c r="BA147" s="58">
        <f t="shared" si="50"/>
        <v>0</v>
      </c>
      <c r="BS147" s="5">
        <f t="shared" si="49"/>
        <v>1048495</v>
      </c>
      <c r="BT147" s="5" t="str">
        <f t="shared" si="47"/>
        <v/>
      </c>
      <c r="CD147" s="5" t="e">
        <f t="shared" ca="1" si="42"/>
        <v>#REF!</v>
      </c>
      <c r="CE147" s="5" t="e">
        <f t="shared" ca="1" si="43"/>
        <v>#REF!</v>
      </c>
      <c r="CF147" s="5" t="e">
        <f t="shared" ca="1" si="41"/>
        <v>#REF!</v>
      </c>
      <c r="CG147" s="5"/>
    </row>
    <row r="148" spans="1:85" ht="27.75" customHeight="1" x14ac:dyDescent="0.25">
      <c r="A148" s="56" t="s">
        <v>104</v>
      </c>
      <c r="B148" s="57"/>
      <c r="C148" s="53"/>
      <c r="D148" s="54"/>
      <c r="E148" s="63"/>
      <c r="F148" s="58">
        <f ca="1">SUM(F149:F154)</f>
        <v>-33834.248384061349</v>
      </c>
      <c r="G148" s="58">
        <f t="shared" ref="G148:BA148" ca="1" si="51">SUM(G149:G154)</f>
        <v>-34519.169633358382</v>
      </c>
      <c r="H148" s="58">
        <f t="shared" ca="1" si="51"/>
        <v>-35478.789347884755</v>
      </c>
      <c r="I148" s="58">
        <f t="shared" ca="1" si="51"/>
        <v>-35602.824739200187</v>
      </c>
      <c r="J148" s="58">
        <f t="shared" ca="1" si="51"/>
        <v>-51288.985508082507</v>
      </c>
      <c r="K148" s="58">
        <f t="shared" ca="1" si="51"/>
        <v>-91819.050344451374</v>
      </c>
      <c r="L148" s="58">
        <f t="shared" ca="1" si="51"/>
        <v>-44499.955654079837</v>
      </c>
      <c r="M148" s="58">
        <f t="shared" ca="1" si="51"/>
        <v>-26751.52744053716</v>
      </c>
      <c r="N148" s="58">
        <f t="shared" ca="1" si="51"/>
        <v>-24889.514942072241</v>
      </c>
      <c r="O148" s="58">
        <f t="shared" ca="1" si="51"/>
        <v>-26922.120176740747</v>
      </c>
      <c r="P148" s="58">
        <f t="shared" ca="1" si="51"/>
        <v>-26923.292381636878</v>
      </c>
      <c r="Q148" s="58">
        <f t="shared" ca="1" si="51"/>
        <v>-26906.64844854287</v>
      </c>
      <c r="R148" s="58">
        <f t="shared" ca="1" si="51"/>
        <v>-26875.56156743773</v>
      </c>
      <c r="S148" s="58">
        <f t="shared" ca="1" si="51"/>
        <v>-26823.915927311438</v>
      </c>
      <c r="T148" s="58">
        <f t="shared" ca="1" si="51"/>
        <v>-26757.213168557908</v>
      </c>
      <c r="U148" s="58">
        <f t="shared" ca="1" si="51"/>
        <v>-26673.942226407027</v>
      </c>
      <c r="V148" s="58">
        <f t="shared" ca="1" si="51"/>
        <v>-26568.421704396722</v>
      </c>
      <c r="W148" s="58">
        <f t="shared" ca="1" si="51"/>
        <v>-26451.159994151534</v>
      </c>
      <c r="X148" s="58">
        <f t="shared" ca="1" si="51"/>
        <v>-26310.412867698011</v>
      </c>
      <c r="Y148" s="58">
        <f t="shared" ca="1" si="51"/>
        <v>-26145.594132965136</v>
      </c>
      <c r="Z148" s="58">
        <f t="shared" ca="1" si="51"/>
        <v>-25967.102869685761</v>
      </c>
      <c r="AA148" s="58">
        <f t="shared" ca="1" si="51"/>
        <v>-25763.222980227187</v>
      </c>
      <c r="AB148" s="58">
        <f t="shared" ca="1" si="51"/>
        <v>-25541.083571615956</v>
      </c>
      <c r="AC148" s="58">
        <f t="shared" ca="1" si="51"/>
        <v>-25306.131071538202</v>
      </c>
      <c r="AD148" s="58">
        <f t="shared" ca="1" si="51"/>
        <v>-25044.726982762306</v>
      </c>
      <c r="AE148" s="58">
        <f t="shared" ca="1" si="51"/>
        <v>-24755.33476917517</v>
      </c>
      <c r="AF148" s="58">
        <f t="shared" ca="1" si="51"/>
        <v>-24443.589677464552</v>
      </c>
      <c r="AG148" s="58">
        <f t="shared" ca="1" si="51"/>
        <v>-24108.284429791547</v>
      </c>
      <c r="AH148" s="58">
        <f t="shared" ca="1" si="51"/>
        <v>-23742.911056966717</v>
      </c>
      <c r="AI148" s="58">
        <f t="shared" ca="1" si="51"/>
        <v>-23352.506835135973</v>
      </c>
      <c r="AJ148" s="58">
        <f t="shared" ca="1" si="51"/>
        <v>-22936.261406680092</v>
      </c>
      <c r="AK148" s="58">
        <f t="shared" ca="1" si="51"/>
        <v>-22487.736945911594</v>
      </c>
      <c r="AL148" s="58">
        <f t="shared" ca="1" si="51"/>
        <v>-22005.403142049847</v>
      </c>
      <c r="AM148" s="58">
        <f t="shared" ca="1" si="51"/>
        <v>-21494.535687679523</v>
      </c>
      <c r="AN148" s="58">
        <f t="shared" ca="1" si="51"/>
        <v>-20973.094556316788</v>
      </c>
      <c r="AO148" s="58">
        <f t="shared" ca="1" si="51"/>
        <v>-20420.798750128826</v>
      </c>
      <c r="AP148" s="58">
        <f t="shared" ca="1" si="51"/>
        <v>-19855.982599333394</v>
      </c>
      <c r="AQ148" s="58">
        <f t="shared" ca="1" si="51"/>
        <v>-19296.104342205814</v>
      </c>
      <c r="AR148" s="58">
        <f t="shared" ca="1" si="51"/>
        <v>-18705.493854395692</v>
      </c>
      <c r="AS148" s="58">
        <f t="shared" ca="1" si="51"/>
        <v>-18076.446762077187</v>
      </c>
      <c r="AT148" s="58">
        <f t="shared" ca="1" si="51"/>
        <v>-17420.294989985527</v>
      </c>
      <c r="AU148" s="58">
        <f t="shared" ca="1" si="51"/>
        <v>-16738.140173393804</v>
      </c>
      <c r="AV148" s="58">
        <f t="shared" ca="1" si="51"/>
        <v>-16092.252890144655</v>
      </c>
      <c r="AW148" s="58">
        <f t="shared" ca="1" si="51"/>
        <v>-15414.430864228396</v>
      </c>
      <c r="AX148" s="58">
        <f t="shared" ca="1" si="51"/>
        <v>-14722.152198840959</v>
      </c>
      <c r="AY148" s="58">
        <f t="shared" ca="1" si="51"/>
        <v>-13919.312044621192</v>
      </c>
      <c r="AZ148" s="58">
        <f t="shared" ca="1" si="51"/>
        <v>-13520.662047432012</v>
      </c>
      <c r="BA148" s="58">
        <f t="shared" ca="1" si="51"/>
        <v>-13096.43756742979</v>
      </c>
      <c r="BS148" s="5">
        <f t="shared" si="49"/>
        <v>1048495</v>
      </c>
      <c r="BT148" s="5" t="str">
        <f t="shared" si="47"/>
        <v/>
      </c>
      <c r="CD148" s="5" t="e">
        <f t="shared" ca="1" si="42"/>
        <v>#REF!</v>
      </c>
      <c r="CE148" s="5" t="e">
        <f t="shared" ca="1" si="43"/>
        <v>#REF!</v>
      </c>
      <c r="CF148" s="5" t="e">
        <f t="shared" ca="1" si="41"/>
        <v>#REF!</v>
      </c>
      <c r="CG148" s="5"/>
    </row>
    <row r="149" spans="1:85" x14ac:dyDescent="0.25">
      <c r="A149" s="57" t="s">
        <v>105</v>
      </c>
      <c r="B149" s="57"/>
      <c r="C149" s="53"/>
      <c r="D149" s="54"/>
      <c r="E149" s="63"/>
      <c r="F149" s="59" cm="1">
        <f t="array" aca="1" ref="F149" ca="1">-EinkommenSteuerGesamt(F90,Ziv)</f>
        <v>-30800.757567524</v>
      </c>
      <c r="G149" s="59" cm="1">
        <f t="array" aca="1" ref="G149" ca="1">-EinkommenSteuerGesamt(G90,Ziv)</f>
        <v>-31415.22111471774</v>
      </c>
      <c r="H149" s="59" cm="1">
        <f t="array" aca="1" ref="H149" ca="1">-EinkommenSteuerGesamt(H90,Ziv)</f>
        <v>-31940.025550963263</v>
      </c>
      <c r="I149" s="59" cm="1">
        <f t="array" aca="1" ref="I149" ca="1">-EinkommenSteuerGesamt(I90,Ziv)</f>
        <v>-31970.819858633364</v>
      </c>
      <c r="J149" s="59" cm="1">
        <f t="array" aca="1" ref="J149" ca="1">-EinkommenSteuerGesamt(J90,Ziv)</f>
        <v>-29962.211682391364</v>
      </c>
      <c r="K149" s="59" cm="1">
        <f t="array" aca="1" ref="K149" ca="1">-EinkommenSteuerGesamt(K90,Ziv)</f>
        <v>-37981.696562947312</v>
      </c>
      <c r="L149" s="59" cm="1">
        <f t="array" aca="1" ref="L149" ca="1">-EinkommenSteuerGesamt(L90,Ziv)</f>
        <v>-35306.631379899954</v>
      </c>
      <c r="M149" s="59" cm="1">
        <f t="array" aca="1" ref="M149" ca="1">-EinkommenSteuerGesamt(M90,Ziv)</f>
        <v>-17770.449647138892</v>
      </c>
      <c r="N149" s="59" cm="1">
        <f t="array" aca="1" ref="N149" ca="1">-EinkommenSteuerGesamt(N90,Ziv)</f>
        <v>-15806.661707437299</v>
      </c>
      <c r="O149" s="59" cm="1">
        <f t="array" aca="1" ref="O149" ca="1">-EinkommenSteuerGesamt(O90,Ziv)</f>
        <v>-18957.146080596511</v>
      </c>
      <c r="P149" s="59" cm="1">
        <f t="array" aca="1" ref="P149" ca="1">-EinkommenSteuerGesamt(P90,Ziv)</f>
        <v>-18961.595370902865</v>
      </c>
      <c r="Q149" s="59" cm="1">
        <f t="array" aca="1" ref="Q149" ca="1">-EinkommenSteuerGesamt(Q90,Ziv)</f>
        <v>-18956.977298899918</v>
      </c>
      <c r="R149" s="59" cm="1">
        <f t="array" aca="1" ref="R149" ca="1">-EinkommenSteuerGesamt(R90,Ziv)</f>
        <v>-18946.982943055875</v>
      </c>
      <c r="S149" s="59" cm="1">
        <f t="array" aca="1" ref="S149" ca="1">-EinkommenSteuerGesamt(S90,Ziv)</f>
        <v>-18925.849734997792</v>
      </c>
      <c r="T149" s="59" cm="1">
        <f t="array" aca="1" ref="T149" ca="1">-EinkommenSteuerGesamt(T90,Ziv)</f>
        <v>-18899.406483291157</v>
      </c>
      <c r="U149" s="59" cm="1">
        <f t="array" aca="1" ref="U149" ca="1">-EinkommenSteuerGesamt(U90,Ziv)</f>
        <v>-18866.519091900282</v>
      </c>
      <c r="V149" s="59" cm="1">
        <f t="array" aca="1" ref="V149" ca="1">-EinkommenSteuerGesamt(V90,Ziv)</f>
        <v>-18821.888372775687</v>
      </c>
      <c r="W149" s="59" cm="1">
        <f t="array" aca="1" ref="W149" ca="1">-EinkommenSteuerGesamt(W90,Ziv)</f>
        <v>-18776.382825515324</v>
      </c>
      <c r="X149" s="59" cm="1">
        <f t="array" aca="1" ref="X149" ca="1">-EinkommenSteuerGesamt(X90,Ziv)</f>
        <v>-18718.702455200804</v>
      </c>
      <c r="Y149" s="59" cm="1">
        <f t="array" aca="1" ref="Y149" ca="1">-EinkommenSteuerGesamt(Y90,Ziv)</f>
        <v>-18648.645377549885</v>
      </c>
      <c r="Z149" s="59" cm="1">
        <f t="array" aca="1" ref="Z149" ca="1">-EinkommenSteuerGesamt(Z90,Ziv)</f>
        <v>-18577.006711931543</v>
      </c>
      <c r="AA149" s="59" cm="1">
        <f t="array" aca="1" ref="AA149" ca="1">-EinkommenSteuerGesamt(AA90,Ziv)</f>
        <v>-18492.551156310652</v>
      </c>
      <c r="AB149" s="59" cm="1">
        <f t="array" aca="1" ref="AB149" ca="1">-EinkommenSteuerGesamt(AB90,Ziv)</f>
        <v>-18394.625112433336</v>
      </c>
      <c r="AC149" s="59" cm="1">
        <f t="array" aca="1" ref="AC149" ca="1">-EinkommenSteuerGesamt(AC90,Ziv)</f>
        <v>-18294.34883880135</v>
      </c>
      <c r="AD149" s="59" cm="1">
        <f t="array" aca="1" ref="AD149" ca="1">-EinkommenSteuerGesamt(AD90,Ziv)</f>
        <v>-18180.564931203477</v>
      </c>
      <c r="AE149" s="59" cm="1">
        <f t="array" aca="1" ref="AE149" ca="1">-EinkommenSteuerGesamt(AE90,Ziv)</f>
        <v>-18052.173515041803</v>
      </c>
      <c r="AF149" s="59" cm="1">
        <f t="array" aca="1" ref="AF149" ca="1">-EinkommenSteuerGesamt(AF90,Ziv)</f>
        <v>-17915.254584728176</v>
      </c>
      <c r="AG149" s="59" cm="1">
        <f t="array" aca="1" ref="AG149" ca="1">-EinkommenSteuerGesamt(AG90,Ziv)</f>
        <v>-17769.097751937836</v>
      </c>
      <c r="AH149" s="59" cm="1">
        <f t="array" aca="1" ref="AH149" ca="1">-EinkommenSteuerGesamt(AH90,Ziv)</f>
        <v>-17607.704205012247</v>
      </c>
      <c r="AI149" s="59" cm="1">
        <f t="array" aca="1" ref="AI149" ca="1">-EinkommenSteuerGesamt(AI90,Ziv)</f>
        <v>-17436.600780264653</v>
      </c>
      <c r="AJ149" s="59" cm="1">
        <f t="array" aca="1" ref="AJ149" ca="1">-EinkommenSteuerGesamt(AJ90,Ziv)</f>
        <v>-17255.51684431417</v>
      </c>
      <c r="AK149" s="59" cm="1">
        <f t="array" aca="1" ref="AK149" ca="1">-EinkommenSteuerGesamt(AK90,Ziv)</f>
        <v>-17058.570586035377</v>
      </c>
      <c r="AL149" s="59" cm="1">
        <f t="array" aca="1" ref="AL149" ca="1">-EinkommenSteuerGesamt(AL90,Ziv)</f>
        <v>-16844.770283491969</v>
      </c>
      <c r="AM149" s="59" cm="1">
        <f t="array" aca="1" ref="AM149" ca="1">-EinkommenSteuerGesamt(AM90,Ziv)</f>
        <v>-16619.942148574064</v>
      </c>
      <c r="AN149" s="59" cm="1">
        <f t="array" aca="1" ref="AN149" ca="1">-EinkommenSteuerGesamt(AN90,Ziv)</f>
        <v>-16402.650567426303</v>
      </c>
      <c r="AO149" s="59" cm="1">
        <f t="array" aca="1" ref="AO149" ca="1">-EinkommenSteuerGesamt(AO90,Ziv)</f>
        <v>-16173.352131269978</v>
      </c>
      <c r="AP149" s="59" cm="1">
        <f t="array" aca="1" ref="AP149" ca="1">-EinkommenSteuerGesamt(AP90,Ziv)</f>
        <v>-15928.828252648036</v>
      </c>
      <c r="AQ149" s="59" cm="1">
        <f t="array" aca="1" ref="AQ149" ca="1">-EinkommenSteuerGesamt(AQ90,Ziv)</f>
        <v>-15671.247143059067</v>
      </c>
      <c r="AR149" s="59" cm="1">
        <f t="array" aca="1" ref="AR149" ca="1">-EinkommenSteuerGesamt(AR90,Ziv)</f>
        <v>-15400.58762743823</v>
      </c>
      <c r="AS149" s="59" cm="1">
        <f t="array" aca="1" ref="AS149" ca="1">-EinkommenSteuerGesamt(AS90,Ziv)</f>
        <v>-15109.755806300185</v>
      </c>
      <c r="AT149" s="59" cm="1">
        <f t="array" aca="1" ref="AT149" ca="1">-EinkommenSteuerGesamt(AT90,Ziv)</f>
        <v>-14810.67852028199</v>
      </c>
      <c r="AU149" s="59" cm="1">
        <f t="array" aca="1" ref="AU149" ca="1">-EinkommenSteuerGesamt(AU90,Ziv)</f>
        <v>-14503.748412489535</v>
      </c>
      <c r="AV149" s="59" cm="1">
        <f t="array" aca="1" ref="AV149" ca="1">-EinkommenSteuerGesamt(AV90,Ziv)</f>
        <v>-14175.342129302788</v>
      </c>
      <c r="AW149" s="59" cm="1">
        <f t="array" aca="1" ref="AW149" ca="1">-EinkommenSteuerGesamt(AW90,Ziv)</f>
        <v>-13832.035232713937</v>
      </c>
      <c r="AX149" s="59" cm="1">
        <f t="array" aca="1" ref="AX149" ca="1">-EinkommenSteuerGesamt(AX90,Ziv)</f>
        <v>-13473.083112414537</v>
      </c>
      <c r="AY149" s="59" cm="1">
        <f t="array" aca="1" ref="AY149" ca="1">-EinkommenSteuerGesamt(AY90,Ziv)</f>
        <v>-13090.469428183844</v>
      </c>
      <c r="AZ149" s="59" cm="1">
        <f t="array" aca="1" ref="AZ149" ca="1">-EinkommenSteuerGesamt(AZ90,Ziv)</f>
        <v>-12691.819430994663</v>
      </c>
      <c r="BA149" s="59" cm="1">
        <f t="array" aca="1" ref="BA149" ca="1">-EinkommenSteuerGesamt(BA90,Ziv)</f>
        <v>-12267.594950992441</v>
      </c>
      <c r="BS149" s="5">
        <f t="shared" si="49"/>
        <v>1048495</v>
      </c>
      <c r="BT149" s="5" t="str">
        <f t="shared" si="47"/>
        <v/>
      </c>
      <c r="CD149" s="5" t="e">
        <f t="shared" ca="1" si="42"/>
        <v>#REF!</v>
      </c>
      <c r="CE149" s="5" t="e">
        <f t="shared" ca="1" si="43"/>
        <v>#REF!</v>
      </c>
      <c r="CF149" s="5" t="e">
        <f t="shared" ca="1" si="41"/>
        <v>#REF!</v>
      </c>
      <c r="CG149" s="5"/>
    </row>
    <row r="150" spans="1:85" x14ac:dyDescent="0.25">
      <c r="A150" s="57" t="s">
        <v>106</v>
      </c>
      <c r="B150" s="57"/>
      <c r="C150" s="53"/>
      <c r="D150" s="54"/>
      <c r="E150" s="63"/>
      <c r="F150" s="59" cm="1">
        <f t="array" aca="1" ref="F150" ca="1">-VermoegenSteuer(F137)</f>
        <v>-544.80205260000002</v>
      </c>
      <c r="G150" s="59" cm="1">
        <f t="array" aca="1" ref="G150" ca="1">-VermoegenSteuer(G137)</f>
        <v>-872.08271540579324</v>
      </c>
      <c r="H150" s="59" cm="1">
        <f t="array" aca="1" ref="H150" ca="1">-VermoegenSteuer(H137)</f>
        <v>-1248.7474498315112</v>
      </c>
      <c r="I150" s="59" cm="1">
        <f t="array" aca="1" ref="I150" ca="1">-VermoegenSteuer(I137)</f>
        <v>-1595.0206432872624</v>
      </c>
      <c r="J150" s="59" cm="1">
        <f t="array" aca="1" ref="J150" ca="1">-VermoegenSteuer(J137)</f>
        <v>-4289.9637092537987</v>
      </c>
      <c r="K150" s="59" cm="1">
        <f t="array" aca="1" ref="K150" ca="1">-VermoegenSteuer(K137)</f>
        <v>-10106.185665066716</v>
      </c>
      <c r="L150" s="59" cm="1">
        <f t="array" aca="1" ref="L150" ca="1">-VermoegenSteuer(L137)</f>
        <v>-7161.1817013893597</v>
      </c>
      <c r="M150" s="59" cm="1">
        <f t="array" aca="1" ref="M150" ca="1">-VermoegenSteuer(M137)</f>
        <v>-7185.3405074929169</v>
      </c>
      <c r="N150" s="59" cm="1">
        <f t="array" aca="1" ref="N150" ca="1">-VermoegenSteuer(N137)</f>
        <v>-7307.4273873770435</v>
      </c>
      <c r="O150" s="59" cm="1">
        <f t="array" aca="1" ref="O150" ca="1">-VermoegenSteuer(O137)</f>
        <v>-7136.131479706889</v>
      </c>
      <c r="P150" s="59" cm="1">
        <f t="array" aca="1" ref="P150" ca="1">-VermoegenSteuer(P137)</f>
        <v>-7132.8543942966644</v>
      </c>
      <c r="Q150" s="59" cm="1">
        <f t="array" aca="1" ref="Q150" ca="1">-VermoegenSteuer(Q137)</f>
        <v>-7120.8285332056048</v>
      </c>
      <c r="R150" s="59" cm="1">
        <f t="array" aca="1" ref="R150" ca="1">-VermoegenSteuer(R137)</f>
        <v>-7099.7360079445052</v>
      </c>
      <c r="S150" s="59" cm="1">
        <f t="array" aca="1" ref="S150" ca="1">-VermoegenSteuer(S137)</f>
        <v>-7069.2235758762972</v>
      </c>
      <c r="T150" s="59" cm="1">
        <f t="array" aca="1" ref="T150" ca="1">-VermoegenSteuer(T137)</f>
        <v>-7028.9640688294012</v>
      </c>
      <c r="U150" s="59" cm="1">
        <f t="array" aca="1" ref="U150" ca="1">-VermoegenSteuer(U137)</f>
        <v>-6978.580518069396</v>
      </c>
      <c r="V150" s="59" cm="1">
        <f t="array" aca="1" ref="V150" ca="1">-VermoegenSteuer(V137)</f>
        <v>-6917.6907151836858</v>
      </c>
      <c r="W150" s="59" cm="1">
        <f t="array" aca="1" ref="W150" ca="1">-VermoegenSteuer(W137)</f>
        <v>-6845.9345521988616</v>
      </c>
      <c r="X150" s="59" cm="1">
        <f t="array" aca="1" ref="X150" ca="1">-VermoegenSteuer(X137)</f>
        <v>-6762.867796059857</v>
      </c>
      <c r="Y150" s="59" cm="1">
        <f t="array" aca="1" ref="Y150" ca="1">-VermoegenSteuer(Y137)</f>
        <v>-6668.1061389779015</v>
      </c>
      <c r="Z150" s="59" cm="1">
        <f t="array" aca="1" ref="Z150" ca="1">-VermoegenSteuer(Z137)</f>
        <v>-6561.2535413168707</v>
      </c>
      <c r="AA150" s="59" cm="1">
        <f t="array" aca="1" ref="AA150" ca="1">-VermoegenSteuer(AA137)</f>
        <v>-6441.8292074791862</v>
      </c>
      <c r="AB150" s="59" cm="1">
        <f t="array" aca="1" ref="AB150" ca="1">-VermoegenSteuer(AB137)</f>
        <v>-6317.6158427452729</v>
      </c>
      <c r="AC150" s="59" cm="1">
        <f t="array" aca="1" ref="AC150" ca="1">-VermoegenSteuer(AC137)</f>
        <v>-6182.9396162995054</v>
      </c>
      <c r="AD150" s="59" cm="1">
        <f t="array" aca="1" ref="AD150" ca="1">-VermoegenSteuer(AD137)</f>
        <v>-6035.3194351214825</v>
      </c>
      <c r="AE150" s="59" cm="1">
        <f t="array" aca="1" ref="AE150" ca="1">-VermoegenSteuer(AE137)</f>
        <v>-5874.3186376960175</v>
      </c>
      <c r="AF150" s="59" cm="1">
        <f t="array" aca="1" ref="AF150" ca="1">-VermoegenSteuer(AF137)</f>
        <v>-5699.4924762990277</v>
      </c>
      <c r="AG150" s="59" cm="1">
        <f t="array" aca="1" ref="AG150" ca="1">-VermoegenSteuer(AG137)</f>
        <v>-5510.3440614163619</v>
      </c>
      <c r="AH150" s="59" cm="1">
        <f t="array" aca="1" ref="AH150" ca="1">-VermoegenSteuer(AH137)</f>
        <v>-5306.3642355171223</v>
      </c>
      <c r="AI150" s="59" cm="1">
        <f t="array" aca="1" ref="AI150" ca="1">-VermoegenSteuer(AI137)</f>
        <v>-5087.0634384339719</v>
      </c>
      <c r="AJ150" s="59" cm="1">
        <f t="array" aca="1" ref="AJ150" ca="1">-VermoegenSteuer(AJ137)</f>
        <v>-4851.9019459285719</v>
      </c>
      <c r="AK150" s="59" cm="1">
        <f t="array" aca="1" ref="AK150" ca="1">-VermoegenSteuer(AK137)</f>
        <v>-4600.3237434388684</v>
      </c>
      <c r="AL150" s="59" cm="1">
        <f t="array" aca="1" ref="AL150" ca="1">-VermoegenSteuer(AL137)</f>
        <v>-4331.7902421205308</v>
      </c>
      <c r="AM150" s="59" cm="1">
        <f t="array" aca="1" ref="AM150" ca="1">-VermoegenSteuer(AM137)</f>
        <v>-4045.7509226681086</v>
      </c>
      <c r="AN150" s="59" cm="1">
        <f t="array" aca="1" ref="AN150" ca="1">-VermoegenSteuer(AN137)</f>
        <v>-3741.6013724531376</v>
      </c>
      <c r="AO150" s="59" cm="1">
        <f t="array" aca="1" ref="AO150" ca="1">-VermoegenSteuer(AO137)</f>
        <v>-3418.6040024214999</v>
      </c>
      <c r="AP150" s="59" cm="1">
        <f t="array" aca="1" ref="AP150" ca="1">-VermoegenSteuer(AP137)</f>
        <v>-3098.3117302480091</v>
      </c>
      <c r="AQ150" s="59" cm="1">
        <f t="array" aca="1" ref="AQ150" ca="1">-VermoegenSteuer(AQ137)</f>
        <v>-2796.0145827093997</v>
      </c>
      <c r="AR150" s="59" cm="1">
        <f t="array" aca="1" ref="AR150" ca="1">-VermoegenSteuer(AR137)</f>
        <v>-2476.0636105201124</v>
      </c>
      <c r="AS150" s="59" cm="1">
        <f t="array" aca="1" ref="AS150" ca="1">-VermoegenSteuer(AS137)</f>
        <v>-2137.8483393396527</v>
      </c>
      <c r="AT150" s="59" cm="1">
        <f t="array" aca="1" ref="AT150" ca="1">-VermoegenSteuer(AT137)</f>
        <v>-1780.773853266189</v>
      </c>
      <c r="AU150" s="59" cm="1">
        <f t="array" aca="1" ref="AU150" ca="1">-VermoegenSteuer(AU137)</f>
        <v>-1405.5491444669224</v>
      </c>
      <c r="AV150" s="59" cm="1">
        <f t="array" aca="1" ref="AV150" ca="1">-VermoegenSteuer(AV137)</f>
        <v>-1088.0681444045188</v>
      </c>
      <c r="AW150" s="59" cm="1">
        <f t="array" aca="1" ref="AW150" ca="1">-VermoegenSteuer(AW137)</f>
        <v>-753.55301507711044</v>
      </c>
      <c r="AX150" s="59" cm="1">
        <f t="array" aca="1" ref="AX150" ca="1">-VermoegenSteuer(AX137)</f>
        <v>-420.22646998907283</v>
      </c>
      <c r="AY150" s="59" cm="1">
        <f t="array" aca="1" ref="AY150" ca="1">-VermoegenSteuer(AY137)</f>
        <v>0</v>
      </c>
      <c r="AZ150" s="59" cm="1">
        <f t="array" aca="1" ref="AZ150" ca="1">-VermoegenSteuer(AZ137)</f>
        <v>0</v>
      </c>
      <c r="BA150" s="59" cm="1">
        <f t="array" aca="1" ref="BA150" ca="1">-VermoegenSteuer(BA137)</f>
        <v>0</v>
      </c>
      <c r="BS150" s="5">
        <f t="shared" si="49"/>
        <v>1048495</v>
      </c>
      <c r="CD150" s="5" t="e">
        <f t="shared" ca="1" si="42"/>
        <v>#REF!</v>
      </c>
      <c r="CE150" s="5" t="e">
        <f t="shared" ca="1" si="43"/>
        <v>#REF!</v>
      </c>
      <c r="CF150" s="5" t="e">
        <f t="shared" ca="1" si="41"/>
        <v>#REF!</v>
      </c>
      <c r="CG150" s="5"/>
    </row>
    <row r="151" spans="1:85" x14ac:dyDescent="0.25">
      <c r="A151" s="57" t="s">
        <v>138</v>
      </c>
      <c r="B151" s="57"/>
      <c r="C151" s="53"/>
      <c r="D151" s="54"/>
      <c r="E151" s="63"/>
      <c r="F151" s="59">
        <f>-SUMPRODUCT(V_Liegensch[Steuerwert],V_Liegensch[Liegenschaftssteuer])</f>
        <v>-828.84261643734828</v>
      </c>
      <c r="G151" s="59">
        <f>-SUMPRODUCT(V_Liegensch[Steuerwert],V_Liegensch[Liegenschaftssteuer])</f>
        <v>-828.84261643734828</v>
      </c>
      <c r="H151" s="59">
        <f>-SUMPRODUCT(V_Liegensch[Steuerwert],V_Liegensch[Liegenschaftssteuer])</f>
        <v>-828.84261643734828</v>
      </c>
      <c r="I151" s="59">
        <f>-SUMPRODUCT(V_Liegensch[Steuerwert],V_Liegensch[Liegenschaftssteuer])</f>
        <v>-828.84261643734828</v>
      </c>
      <c r="J151" s="59">
        <f>-SUMPRODUCT(V_Liegensch[Steuerwert],V_Liegensch[Liegenschaftssteuer])</f>
        <v>-828.84261643734828</v>
      </c>
      <c r="K151" s="59">
        <f>-SUMPRODUCT(V_Liegensch[Steuerwert],V_Liegensch[Liegenschaftssteuer])</f>
        <v>-828.84261643734828</v>
      </c>
      <c r="L151" s="59">
        <f>-SUMPRODUCT(V_Liegensch[Steuerwert],V_Liegensch[Liegenschaftssteuer])</f>
        <v>-828.84261643734828</v>
      </c>
      <c r="M151" s="59">
        <f>-SUMPRODUCT(V_Liegensch[Steuerwert],V_Liegensch[Liegenschaftssteuer])</f>
        <v>-828.84261643734828</v>
      </c>
      <c r="N151" s="59">
        <f>-SUMPRODUCT(V_Liegensch[Steuerwert],V_Liegensch[Liegenschaftssteuer])</f>
        <v>-828.84261643734828</v>
      </c>
      <c r="O151" s="59">
        <f>-SUMPRODUCT(V_Liegensch[Steuerwert],V_Liegensch[Liegenschaftssteuer])</f>
        <v>-828.84261643734828</v>
      </c>
      <c r="P151" s="59">
        <f>-SUMPRODUCT(V_Liegensch[Steuerwert],V_Liegensch[Liegenschaftssteuer])</f>
        <v>-828.84261643734828</v>
      </c>
      <c r="Q151" s="59">
        <f>-SUMPRODUCT(V_Liegensch[Steuerwert],V_Liegensch[Liegenschaftssteuer])</f>
        <v>-828.84261643734828</v>
      </c>
      <c r="R151" s="59">
        <f>-SUMPRODUCT(V_Liegensch[Steuerwert],V_Liegensch[Liegenschaftssteuer])</f>
        <v>-828.84261643734828</v>
      </c>
      <c r="S151" s="59">
        <f>-SUMPRODUCT(V_Liegensch[Steuerwert],V_Liegensch[Liegenschaftssteuer])</f>
        <v>-828.84261643734828</v>
      </c>
      <c r="T151" s="59">
        <f>-SUMPRODUCT(V_Liegensch[Steuerwert],V_Liegensch[Liegenschaftssteuer])</f>
        <v>-828.84261643734828</v>
      </c>
      <c r="U151" s="59">
        <f>-SUMPRODUCT(V_Liegensch[Steuerwert],V_Liegensch[Liegenschaftssteuer])</f>
        <v>-828.84261643734828</v>
      </c>
      <c r="V151" s="59">
        <f>-SUMPRODUCT(V_Liegensch[Steuerwert],V_Liegensch[Liegenschaftssteuer])</f>
        <v>-828.84261643734828</v>
      </c>
      <c r="W151" s="59">
        <f>-SUMPRODUCT(V_Liegensch[Steuerwert],V_Liegensch[Liegenschaftssteuer])</f>
        <v>-828.84261643734828</v>
      </c>
      <c r="X151" s="59">
        <f>-SUMPRODUCT(V_Liegensch[Steuerwert],V_Liegensch[Liegenschaftssteuer])</f>
        <v>-828.84261643734828</v>
      </c>
      <c r="Y151" s="59">
        <f>-SUMPRODUCT(V_Liegensch[Steuerwert],V_Liegensch[Liegenschaftssteuer])</f>
        <v>-828.84261643734828</v>
      </c>
      <c r="Z151" s="59">
        <f>-SUMPRODUCT(V_Liegensch[Steuerwert],V_Liegensch[Liegenschaftssteuer])</f>
        <v>-828.84261643734828</v>
      </c>
      <c r="AA151" s="59">
        <f>-SUMPRODUCT(V_Liegensch[Steuerwert],V_Liegensch[Liegenschaftssteuer])</f>
        <v>-828.84261643734828</v>
      </c>
      <c r="AB151" s="59">
        <f>-SUMPRODUCT(V_Liegensch[Steuerwert],V_Liegensch[Liegenschaftssteuer])</f>
        <v>-828.84261643734828</v>
      </c>
      <c r="AC151" s="59">
        <f>-SUMPRODUCT(V_Liegensch[Steuerwert],V_Liegensch[Liegenschaftssteuer])</f>
        <v>-828.84261643734828</v>
      </c>
      <c r="AD151" s="59">
        <f>-SUMPRODUCT(V_Liegensch[Steuerwert],V_Liegensch[Liegenschaftssteuer])</f>
        <v>-828.84261643734828</v>
      </c>
      <c r="AE151" s="59">
        <f>-SUMPRODUCT(V_Liegensch[Steuerwert],V_Liegensch[Liegenschaftssteuer])</f>
        <v>-828.84261643734828</v>
      </c>
      <c r="AF151" s="59">
        <f>-SUMPRODUCT(V_Liegensch[Steuerwert],V_Liegensch[Liegenschaftssteuer])</f>
        <v>-828.84261643734828</v>
      </c>
      <c r="AG151" s="59">
        <f>-SUMPRODUCT(V_Liegensch[Steuerwert],V_Liegensch[Liegenschaftssteuer])</f>
        <v>-828.84261643734828</v>
      </c>
      <c r="AH151" s="59">
        <f>-SUMPRODUCT(V_Liegensch[Steuerwert],V_Liegensch[Liegenschaftssteuer])</f>
        <v>-828.84261643734828</v>
      </c>
      <c r="AI151" s="59">
        <f>-SUMPRODUCT(V_Liegensch[Steuerwert],V_Liegensch[Liegenschaftssteuer])</f>
        <v>-828.84261643734828</v>
      </c>
      <c r="AJ151" s="59">
        <f>-SUMPRODUCT(V_Liegensch[Steuerwert],V_Liegensch[Liegenschaftssteuer])</f>
        <v>-828.84261643734828</v>
      </c>
      <c r="AK151" s="59">
        <f>-SUMPRODUCT(V_Liegensch[Steuerwert],V_Liegensch[Liegenschaftssteuer])</f>
        <v>-828.84261643734828</v>
      </c>
      <c r="AL151" s="59">
        <f>-SUMPRODUCT(V_Liegensch[Steuerwert],V_Liegensch[Liegenschaftssteuer])</f>
        <v>-828.84261643734828</v>
      </c>
      <c r="AM151" s="59">
        <f>-SUMPRODUCT(V_Liegensch[Steuerwert],V_Liegensch[Liegenschaftssteuer])</f>
        <v>-828.84261643734828</v>
      </c>
      <c r="AN151" s="59">
        <f>-SUMPRODUCT(V_Liegensch[Steuerwert],V_Liegensch[Liegenschaftssteuer])</f>
        <v>-828.84261643734828</v>
      </c>
      <c r="AO151" s="59">
        <f>-SUMPRODUCT(V_Liegensch[Steuerwert],V_Liegensch[Liegenschaftssteuer])</f>
        <v>-828.84261643734828</v>
      </c>
      <c r="AP151" s="59">
        <f>-SUMPRODUCT(V_Liegensch[Steuerwert],V_Liegensch[Liegenschaftssteuer])</f>
        <v>-828.84261643734828</v>
      </c>
      <c r="AQ151" s="59">
        <f>-SUMPRODUCT(V_Liegensch[Steuerwert],V_Liegensch[Liegenschaftssteuer])</f>
        <v>-828.84261643734828</v>
      </c>
      <c r="AR151" s="59">
        <f>-SUMPRODUCT(V_Liegensch[Steuerwert],V_Liegensch[Liegenschaftssteuer])</f>
        <v>-828.84261643734828</v>
      </c>
      <c r="AS151" s="59">
        <f>-SUMPRODUCT(V_Liegensch[Steuerwert],V_Liegensch[Liegenschaftssteuer])</f>
        <v>-828.84261643734828</v>
      </c>
      <c r="AT151" s="59">
        <f>-SUMPRODUCT(V_Liegensch[Steuerwert],V_Liegensch[Liegenschaftssteuer])</f>
        <v>-828.84261643734828</v>
      </c>
      <c r="AU151" s="59">
        <f>-SUMPRODUCT(V_Liegensch[Steuerwert],V_Liegensch[Liegenschaftssteuer])</f>
        <v>-828.84261643734828</v>
      </c>
      <c r="AV151" s="59">
        <f>-SUMPRODUCT(V_Liegensch[Steuerwert],V_Liegensch[Liegenschaftssteuer])</f>
        <v>-828.84261643734828</v>
      </c>
      <c r="AW151" s="59">
        <f>-SUMPRODUCT(V_Liegensch[Steuerwert],V_Liegensch[Liegenschaftssteuer])</f>
        <v>-828.84261643734828</v>
      </c>
      <c r="AX151" s="59">
        <f>-SUMPRODUCT(V_Liegensch[Steuerwert],V_Liegensch[Liegenschaftssteuer])</f>
        <v>-828.84261643734828</v>
      </c>
      <c r="AY151" s="59">
        <f>-SUMPRODUCT(V_Liegensch[Steuerwert],V_Liegensch[Liegenschaftssteuer])</f>
        <v>-828.84261643734828</v>
      </c>
      <c r="AZ151" s="59">
        <f>-SUMPRODUCT(V_Liegensch[Steuerwert],V_Liegensch[Liegenschaftssteuer])</f>
        <v>-828.84261643734828</v>
      </c>
      <c r="BA151" s="59">
        <f>-SUMPRODUCT(V_Liegensch[Steuerwert],V_Liegensch[Liegenschaftssteuer])</f>
        <v>-828.84261643734828</v>
      </c>
      <c r="CD151" s="5" t="e">
        <f t="shared" ca="1" si="42"/>
        <v>#REF!</v>
      </c>
      <c r="CE151" s="5" t="e">
        <f t="shared" ca="1" si="43"/>
        <v>#REF!</v>
      </c>
      <c r="CF151" s="5" t="e">
        <f t="shared" ca="1" si="41"/>
        <v>#REF!</v>
      </c>
      <c r="CG151" s="5"/>
    </row>
    <row r="152" spans="1:85" x14ac:dyDescent="0.25">
      <c r="A152" s="57" t="s">
        <v>28</v>
      </c>
      <c r="B152" s="57"/>
      <c r="C152" s="53"/>
      <c r="D152" s="54"/>
      <c r="E152" s="63"/>
      <c r="F152" s="59" cm="1">
        <f t="array" ref="F152">-KapitalAuszSteuer(F147,Ziv)</f>
        <v>-1659.8461475000004</v>
      </c>
      <c r="G152" s="59" cm="1">
        <f t="array" ref="G152">-KapitalAuszSteuer(G147,Ziv)</f>
        <v>-1403.0231867975001</v>
      </c>
      <c r="H152" s="59" cm="1">
        <f t="array" ref="H152">-KapitalAuszSteuer(H147,Ziv)</f>
        <v>-1461.173730652632</v>
      </c>
      <c r="I152" s="59" cm="1">
        <f t="array" ref="I152">-KapitalAuszSteuer(I147,Ziv)</f>
        <v>-1208.1416208422188</v>
      </c>
      <c r="J152" s="59" cm="1">
        <f t="array" ref="J152">-KapitalAuszSteuer(J147,Ziv)</f>
        <v>-16207.967500000001</v>
      </c>
      <c r="K152" s="59" cm="1">
        <f t="array" ref="K152">-KapitalAuszSteuer(K147,Ziv)</f>
        <v>-42902.325499999999</v>
      </c>
      <c r="L152" s="59" cm="1">
        <f t="array" ref="L152">-KapitalAuszSteuer(L147,Ziv)</f>
        <v>-1203.2999563531753</v>
      </c>
      <c r="M152" s="59" cm="1">
        <f t="array" ref="M152">-KapitalAuszSteuer(M147,Ziv)</f>
        <v>-966.89466946800007</v>
      </c>
      <c r="N152" s="59" cm="1">
        <f t="array" ref="N152">-KapitalAuszSteuer(N147,Ziv)</f>
        <v>-946.58323082054994</v>
      </c>
      <c r="O152" s="59" cm="1">
        <f t="array" ref="O152">-KapitalAuszSteuer(O147,Ziv)</f>
        <v>0</v>
      </c>
      <c r="P152" s="59" cm="1">
        <f t="array" ref="P152">-KapitalAuszSteuer(P147,Ziv)</f>
        <v>0</v>
      </c>
      <c r="Q152" s="59" cm="1">
        <f t="array" ref="Q152">-KapitalAuszSteuer(Q147,Ziv)</f>
        <v>0</v>
      </c>
      <c r="R152" s="59" cm="1">
        <f t="array" ref="R152">-KapitalAuszSteuer(R147,Ziv)</f>
        <v>0</v>
      </c>
      <c r="S152" s="59" cm="1">
        <f t="array" ref="S152">-KapitalAuszSteuer(S147,Ziv)</f>
        <v>0</v>
      </c>
      <c r="T152" s="59" cm="1">
        <f t="array" ref="T152">-KapitalAuszSteuer(T147,Ziv)</f>
        <v>0</v>
      </c>
      <c r="U152" s="59" cm="1">
        <f t="array" ref="U152">-KapitalAuszSteuer(U147,Ziv)</f>
        <v>0</v>
      </c>
      <c r="V152" s="59" cm="1">
        <f t="array" ref="V152">-KapitalAuszSteuer(V147,Ziv)</f>
        <v>0</v>
      </c>
      <c r="W152" s="59" cm="1">
        <f t="array" ref="W152">-KapitalAuszSteuer(W147,Ziv)</f>
        <v>0</v>
      </c>
      <c r="X152" s="59" cm="1">
        <f t="array" ref="X152">-KapitalAuszSteuer(X147,Ziv)</f>
        <v>0</v>
      </c>
      <c r="Y152" s="59" cm="1">
        <f t="array" ref="Y152">-KapitalAuszSteuer(Y147,Ziv)</f>
        <v>0</v>
      </c>
      <c r="Z152" s="59" cm="1">
        <f t="array" ref="Z152">-KapitalAuszSteuer(Z147,Ziv)</f>
        <v>0</v>
      </c>
      <c r="AA152" s="59" cm="1">
        <f t="array" ref="AA152">-KapitalAuszSteuer(AA147,Ziv)</f>
        <v>0</v>
      </c>
      <c r="AB152" s="59" cm="1">
        <f t="array" ref="AB152">-KapitalAuszSteuer(AB147,Ziv)</f>
        <v>0</v>
      </c>
      <c r="AC152" s="59" cm="1">
        <f t="array" ref="AC152">-KapitalAuszSteuer(AC147,Ziv)</f>
        <v>0</v>
      </c>
      <c r="AD152" s="59" cm="1">
        <f t="array" ref="AD152">-KapitalAuszSteuer(AD147,Ziv)</f>
        <v>0</v>
      </c>
      <c r="AE152" s="59" cm="1">
        <f t="array" ref="AE152">-KapitalAuszSteuer(AE147,Ziv)</f>
        <v>0</v>
      </c>
      <c r="AF152" s="59" cm="1">
        <f t="array" ref="AF152">-KapitalAuszSteuer(AF147,Ziv)</f>
        <v>0</v>
      </c>
      <c r="AG152" s="59" cm="1">
        <f t="array" ref="AG152">-KapitalAuszSteuer(AG147,Ziv)</f>
        <v>0</v>
      </c>
      <c r="AH152" s="59" cm="1">
        <f t="array" ref="AH152">-KapitalAuszSteuer(AH147,Ziv)</f>
        <v>0</v>
      </c>
      <c r="AI152" s="59" cm="1">
        <f t="array" ref="AI152">-KapitalAuszSteuer(AI147,Ziv)</f>
        <v>0</v>
      </c>
      <c r="AJ152" s="59" cm="1">
        <f t="array" ref="AJ152">-KapitalAuszSteuer(AJ147,Ziv)</f>
        <v>0</v>
      </c>
      <c r="AK152" s="59" cm="1">
        <f t="array" ref="AK152">-KapitalAuszSteuer(AK147,Ziv)</f>
        <v>0</v>
      </c>
      <c r="AL152" s="59" cm="1">
        <f t="array" ref="AL152">-KapitalAuszSteuer(AL147,Ziv)</f>
        <v>0</v>
      </c>
      <c r="AM152" s="59" cm="1">
        <f t="array" ref="AM152">-KapitalAuszSteuer(AM147,Ziv)</f>
        <v>0</v>
      </c>
      <c r="AN152" s="59" cm="1">
        <f t="array" ref="AN152">-KapitalAuszSteuer(AN147,Ziv)</f>
        <v>0</v>
      </c>
      <c r="AO152" s="59" cm="1">
        <f t="array" ref="AO152">-KapitalAuszSteuer(AO147,Ziv)</f>
        <v>0</v>
      </c>
      <c r="AP152" s="59" cm="1">
        <f t="array" ref="AP152">-KapitalAuszSteuer(AP147,Ziv)</f>
        <v>0</v>
      </c>
      <c r="AQ152" s="59" cm="1">
        <f t="array" ref="AQ152">-KapitalAuszSteuer(AQ147,Ziv)</f>
        <v>0</v>
      </c>
      <c r="AR152" s="59" cm="1">
        <f t="array" ref="AR152">-KapitalAuszSteuer(AR147,Ziv)</f>
        <v>0</v>
      </c>
      <c r="AS152" s="59" cm="1">
        <f t="array" ref="AS152">-KapitalAuszSteuer(AS147,Ziv)</f>
        <v>0</v>
      </c>
      <c r="AT152" s="59" cm="1">
        <f t="array" ref="AT152">-KapitalAuszSteuer(AT147,Ziv)</f>
        <v>0</v>
      </c>
      <c r="AU152" s="59" cm="1">
        <f t="array" ref="AU152">-KapitalAuszSteuer(AU147,Ziv)</f>
        <v>0</v>
      </c>
      <c r="AV152" s="59" cm="1">
        <f t="array" ref="AV152">-KapitalAuszSteuer(AV147,Ziv)</f>
        <v>0</v>
      </c>
      <c r="AW152" s="59" cm="1">
        <f t="array" ref="AW152">-KapitalAuszSteuer(AW147,Ziv)</f>
        <v>0</v>
      </c>
      <c r="AX152" s="59" cm="1">
        <f t="array" ref="AX152">-KapitalAuszSteuer(AX147,Ziv)</f>
        <v>0</v>
      </c>
      <c r="AY152" s="59" cm="1">
        <f t="array" ref="AY152">-KapitalAuszSteuer(AY147,Ziv)</f>
        <v>0</v>
      </c>
      <c r="AZ152" s="59" cm="1">
        <f t="array" ref="AZ152">-KapitalAuszSteuer(AZ147,Ziv)</f>
        <v>0</v>
      </c>
      <c r="BA152" s="59" cm="1">
        <f t="array" ref="BA152">-KapitalAuszSteuer(BA147,Ziv)</f>
        <v>0</v>
      </c>
      <c r="CD152" s="5" t="e">
        <f t="shared" ca="1" si="42"/>
        <v>#REF!</v>
      </c>
      <c r="CE152" s="5" t="e">
        <f t="shared" ca="1" si="43"/>
        <v>#REF!</v>
      </c>
      <c r="CF152" s="5" t="e">
        <f t="shared" ca="1" si="41"/>
        <v>#REF!</v>
      </c>
      <c r="CG152" s="5"/>
    </row>
    <row r="153" spans="1:85" hidden="1" x14ac:dyDescent="0.25">
      <c r="A153" s="57"/>
      <c r="B153" s="57"/>
      <c r="C153" s="53"/>
      <c r="D153" s="54"/>
      <c r="E153" s="63"/>
      <c r="F153" s="59"/>
      <c r="G153" s="59"/>
      <c r="H153" s="59"/>
      <c r="I153" s="59"/>
      <c r="J153" s="59"/>
      <c r="K153" s="59"/>
      <c r="L153" s="59"/>
      <c r="M153" s="59"/>
      <c r="N153" s="59"/>
      <c r="O153" s="59"/>
      <c r="P153" s="59"/>
      <c r="Q153" s="59"/>
      <c r="R153" s="59"/>
      <c r="S153" s="59"/>
      <c r="T153" s="59"/>
      <c r="U153" s="59"/>
      <c r="V153" s="59"/>
      <c r="W153" s="59"/>
      <c r="X153" s="59"/>
      <c r="Y153" s="59"/>
      <c r="Z153" s="59"/>
      <c r="AA153" s="59"/>
      <c r="AB153" s="59"/>
      <c r="AC153" s="59"/>
      <c r="AD153" s="59"/>
      <c r="AE153" s="59"/>
      <c r="AF153" s="59"/>
      <c r="AG153" s="59"/>
      <c r="AH153" s="59"/>
      <c r="AI153" s="59"/>
      <c r="AJ153" s="59"/>
      <c r="AK153" s="59"/>
      <c r="AL153" s="59"/>
      <c r="AM153" s="59"/>
      <c r="AN153" s="59"/>
      <c r="AO153" s="59"/>
      <c r="AP153" s="59"/>
      <c r="AQ153" s="59"/>
      <c r="AR153" s="59"/>
      <c r="AS153" s="59"/>
      <c r="AT153" s="59"/>
      <c r="AU153" s="59"/>
      <c r="AV153" s="59"/>
      <c r="AW153" s="59"/>
      <c r="AX153" s="59"/>
      <c r="AY153" s="59"/>
      <c r="AZ153" s="59"/>
      <c r="BA153" s="59"/>
      <c r="CD153" s="5" t="e">
        <f t="shared" ca="1" si="42"/>
        <v>#REF!</v>
      </c>
      <c r="CE153" s="5" t="e">
        <f t="shared" ca="1" si="43"/>
        <v>#REF!</v>
      </c>
      <c r="CF153" s="5" t="e">
        <f t="shared" ca="1" si="41"/>
        <v>#REF!</v>
      </c>
      <c r="CG153" s="5"/>
    </row>
    <row r="154" spans="1:85" hidden="1" x14ac:dyDescent="0.25">
      <c r="A154" s="57"/>
      <c r="B154" s="57"/>
      <c r="C154" s="53"/>
      <c r="D154" s="54"/>
      <c r="E154" s="63"/>
      <c r="F154" s="59"/>
      <c r="G154" s="59"/>
      <c r="H154" s="59"/>
      <c r="I154" s="59"/>
      <c r="J154" s="59"/>
      <c r="K154" s="59"/>
      <c r="L154" s="59"/>
      <c r="M154" s="59"/>
      <c r="N154" s="59"/>
      <c r="O154" s="59"/>
      <c r="P154" s="59"/>
      <c r="Q154" s="59"/>
      <c r="R154" s="59"/>
      <c r="S154" s="59"/>
      <c r="T154" s="59"/>
      <c r="U154" s="59"/>
      <c r="V154" s="59"/>
      <c r="W154" s="59"/>
      <c r="X154" s="59"/>
      <c r="Y154" s="59"/>
      <c r="Z154" s="59"/>
      <c r="AA154" s="59"/>
      <c r="AB154" s="59"/>
      <c r="AC154" s="59"/>
      <c r="AD154" s="59"/>
      <c r="AE154" s="59"/>
      <c r="AF154" s="59"/>
      <c r="AG154" s="59"/>
      <c r="AH154" s="59"/>
      <c r="AI154" s="59"/>
      <c r="AJ154" s="59"/>
      <c r="AK154" s="59"/>
      <c r="AL154" s="59"/>
      <c r="AM154" s="59"/>
      <c r="AN154" s="59"/>
      <c r="AO154" s="59"/>
      <c r="AP154" s="59"/>
      <c r="AQ154" s="59"/>
      <c r="AR154" s="59"/>
      <c r="AS154" s="59"/>
      <c r="AT154" s="59"/>
      <c r="AU154" s="59"/>
      <c r="AV154" s="59"/>
      <c r="AW154" s="59"/>
      <c r="AX154" s="59"/>
      <c r="AY154" s="59"/>
      <c r="AZ154" s="59"/>
      <c r="BA154" s="59"/>
      <c r="CD154" s="5" t="e">
        <f t="shared" ca="1" si="42"/>
        <v>#REF!</v>
      </c>
      <c r="CE154" s="5" t="e">
        <f t="shared" ca="1" si="43"/>
        <v>#REF!</v>
      </c>
      <c r="CF154" s="5" t="e">
        <f t="shared" ca="1" si="41"/>
        <v>#REF!</v>
      </c>
    </row>
    <row r="155" spans="1:85" hidden="1" x14ac:dyDescent="0.25">
      <c r="A155" s="57"/>
      <c r="B155" s="57"/>
      <c r="C155" s="53"/>
      <c r="D155" s="54"/>
      <c r="E155" s="63"/>
      <c r="F155" s="59"/>
      <c r="G155" s="59"/>
      <c r="H155" s="59"/>
      <c r="I155" s="59"/>
      <c r="J155" s="59"/>
      <c r="K155" s="59"/>
      <c r="L155" s="59"/>
      <c r="M155" s="59"/>
      <c r="N155" s="59"/>
      <c r="O155" s="59"/>
      <c r="P155" s="59"/>
      <c r="Q155" s="59"/>
      <c r="R155" s="59"/>
      <c r="S155" s="59"/>
      <c r="T155" s="59"/>
      <c r="U155" s="59"/>
      <c r="V155" s="59"/>
      <c r="W155" s="59"/>
      <c r="X155" s="59"/>
      <c r="Y155" s="59"/>
      <c r="Z155" s="59"/>
      <c r="AA155" s="59"/>
      <c r="AB155" s="59"/>
      <c r="AC155" s="59"/>
      <c r="AD155" s="59"/>
      <c r="AE155" s="59"/>
      <c r="AF155" s="59"/>
      <c r="AG155" s="59"/>
      <c r="AH155" s="59"/>
      <c r="AI155" s="59"/>
      <c r="AJ155" s="59"/>
      <c r="AK155" s="59"/>
      <c r="AL155" s="59"/>
      <c r="AM155" s="59"/>
      <c r="AN155" s="59"/>
      <c r="AO155" s="59"/>
      <c r="AP155" s="59"/>
      <c r="AQ155" s="59"/>
      <c r="AR155" s="59"/>
      <c r="AS155" s="59"/>
      <c r="AT155" s="59"/>
      <c r="AU155" s="59"/>
      <c r="AV155" s="59"/>
      <c r="AW155" s="59"/>
      <c r="AX155" s="59"/>
      <c r="AY155" s="59"/>
      <c r="AZ155" s="59"/>
      <c r="BA155" s="59"/>
    </row>
    <row r="156" spans="1:85" hidden="1" x14ac:dyDescent="0.25">
      <c r="A156" s="57"/>
      <c r="B156" s="57"/>
      <c r="C156" s="53"/>
      <c r="D156" s="54"/>
      <c r="E156" s="63"/>
      <c r="F156" s="59"/>
      <c r="G156" s="59"/>
      <c r="H156" s="59"/>
      <c r="I156" s="59"/>
      <c r="J156" s="59"/>
      <c r="K156" s="59"/>
      <c r="L156" s="59"/>
      <c r="M156" s="59"/>
      <c r="N156" s="59"/>
      <c r="O156" s="59"/>
      <c r="P156" s="59"/>
      <c r="Q156" s="59"/>
      <c r="R156" s="59"/>
      <c r="S156" s="59"/>
      <c r="T156" s="59"/>
      <c r="U156" s="59"/>
      <c r="V156" s="59"/>
      <c r="W156" s="59"/>
      <c r="X156" s="59"/>
      <c r="Y156" s="59"/>
      <c r="Z156" s="59"/>
      <c r="AA156" s="59"/>
      <c r="AB156" s="59"/>
      <c r="AC156" s="59"/>
      <c r="AD156" s="59"/>
      <c r="AE156" s="59"/>
      <c r="AF156" s="59"/>
      <c r="AG156" s="59"/>
      <c r="AH156" s="59"/>
      <c r="AI156" s="59"/>
      <c r="AJ156" s="59"/>
      <c r="AK156" s="59"/>
      <c r="AL156" s="59"/>
      <c r="AM156" s="59"/>
      <c r="AN156" s="59"/>
      <c r="AO156" s="59"/>
      <c r="AP156" s="59"/>
      <c r="AQ156" s="59"/>
      <c r="AR156" s="59"/>
      <c r="AS156" s="59"/>
      <c r="AT156" s="59"/>
      <c r="AU156" s="59"/>
      <c r="AV156" s="59"/>
      <c r="AW156" s="59"/>
      <c r="AX156" s="59"/>
      <c r="AY156" s="59"/>
      <c r="AZ156" s="59"/>
      <c r="BA156" s="59"/>
    </row>
    <row r="157" spans="1:85" hidden="1" x14ac:dyDescent="0.25">
      <c r="A157" s="57"/>
      <c r="B157" s="57"/>
      <c r="C157" s="53"/>
      <c r="D157" s="54"/>
      <c r="E157" s="63"/>
      <c r="F157" s="59"/>
      <c r="G157" s="59"/>
      <c r="H157" s="59"/>
      <c r="I157" s="59"/>
      <c r="J157" s="59"/>
      <c r="K157" s="59"/>
      <c r="L157" s="59"/>
      <c r="M157" s="59"/>
      <c r="N157" s="59"/>
      <c r="O157" s="59"/>
      <c r="P157" s="59"/>
      <c r="Q157" s="59"/>
      <c r="R157" s="59"/>
      <c r="S157" s="59"/>
      <c r="T157" s="59"/>
      <c r="U157" s="59"/>
      <c r="V157" s="59"/>
      <c r="W157" s="59"/>
      <c r="X157" s="59"/>
      <c r="Y157" s="59"/>
      <c r="Z157" s="59"/>
      <c r="AA157" s="59"/>
      <c r="AB157" s="59"/>
      <c r="AC157" s="59"/>
      <c r="AD157" s="59"/>
      <c r="AE157" s="59"/>
      <c r="AF157" s="59"/>
      <c r="AG157" s="59"/>
      <c r="AH157" s="59"/>
      <c r="AI157" s="59"/>
      <c r="AJ157" s="59"/>
      <c r="AK157" s="59"/>
      <c r="AL157" s="59"/>
      <c r="AM157" s="59"/>
      <c r="AN157" s="59"/>
      <c r="AO157" s="59"/>
      <c r="AP157" s="59"/>
      <c r="AQ157" s="59"/>
      <c r="AR157" s="59"/>
      <c r="AS157" s="59"/>
      <c r="AT157" s="59"/>
      <c r="AU157" s="59"/>
      <c r="AV157" s="59"/>
      <c r="AW157" s="59"/>
      <c r="AX157" s="59"/>
      <c r="AY157" s="59"/>
      <c r="AZ157" s="59"/>
      <c r="BA157" s="59"/>
    </row>
    <row r="158" spans="1:85" hidden="1" x14ac:dyDescent="0.25">
      <c r="A158" s="57"/>
      <c r="B158" s="57"/>
      <c r="C158" s="53"/>
      <c r="D158" s="54"/>
      <c r="E158" s="63"/>
      <c r="F158" s="59"/>
      <c r="G158" s="59"/>
      <c r="H158" s="59"/>
      <c r="I158" s="59"/>
      <c r="J158" s="59"/>
      <c r="K158" s="59"/>
      <c r="L158" s="59"/>
      <c r="M158" s="59"/>
      <c r="N158" s="59"/>
      <c r="O158" s="59"/>
      <c r="P158" s="59"/>
      <c r="Q158" s="59"/>
      <c r="R158" s="59"/>
      <c r="S158" s="59"/>
      <c r="T158" s="59"/>
      <c r="U158" s="59"/>
      <c r="V158" s="59"/>
      <c r="W158" s="59"/>
      <c r="X158" s="59"/>
      <c r="Y158" s="59"/>
      <c r="Z158" s="59"/>
      <c r="AA158" s="59"/>
      <c r="AB158" s="59"/>
      <c r="AC158" s="59"/>
      <c r="AD158" s="59"/>
      <c r="AE158" s="59"/>
      <c r="AF158" s="59"/>
      <c r="AG158" s="59"/>
      <c r="AH158" s="59"/>
      <c r="AI158" s="59"/>
      <c r="AJ158" s="59"/>
      <c r="AK158" s="59"/>
      <c r="AL158" s="59"/>
      <c r="AM158" s="59"/>
      <c r="AN158" s="59"/>
      <c r="AO158" s="59"/>
      <c r="AP158" s="59"/>
      <c r="AQ158" s="59"/>
      <c r="AR158" s="59"/>
      <c r="AS158" s="59"/>
      <c r="AT158" s="59"/>
      <c r="AU158" s="59"/>
      <c r="AV158" s="59"/>
      <c r="AW158" s="59"/>
      <c r="AX158" s="59"/>
      <c r="AY158" s="59"/>
      <c r="AZ158" s="59"/>
      <c r="BA158" s="59"/>
    </row>
    <row r="159" spans="1:85" hidden="1" x14ac:dyDescent="0.25">
      <c r="A159" s="57"/>
      <c r="B159" s="57"/>
      <c r="C159" s="53"/>
      <c r="D159" s="54"/>
      <c r="E159" s="63"/>
      <c r="F159" s="59"/>
      <c r="G159" s="59"/>
      <c r="H159" s="59"/>
      <c r="I159" s="59"/>
      <c r="J159" s="59"/>
      <c r="K159" s="59"/>
      <c r="L159" s="59"/>
      <c r="M159" s="59"/>
      <c r="N159" s="59"/>
      <c r="O159" s="59"/>
      <c r="P159" s="59"/>
      <c r="Q159" s="59"/>
      <c r="R159" s="59"/>
      <c r="S159" s="59"/>
      <c r="T159" s="59"/>
      <c r="U159" s="59"/>
      <c r="V159" s="59"/>
      <c r="W159" s="59"/>
      <c r="X159" s="59"/>
      <c r="Y159" s="59"/>
      <c r="Z159" s="59"/>
      <c r="AA159" s="59"/>
      <c r="AB159" s="59"/>
      <c r="AC159" s="59"/>
      <c r="AD159" s="59"/>
      <c r="AE159" s="59"/>
      <c r="AF159" s="59"/>
      <c r="AG159" s="59"/>
      <c r="AH159" s="59"/>
      <c r="AI159" s="59"/>
      <c r="AJ159" s="59"/>
      <c r="AK159" s="59"/>
      <c r="AL159" s="59"/>
      <c r="AM159" s="59"/>
      <c r="AN159" s="59"/>
      <c r="AO159" s="59"/>
      <c r="AP159" s="59"/>
      <c r="AQ159" s="59"/>
      <c r="AR159" s="59"/>
      <c r="AS159" s="59"/>
      <c r="AT159" s="59"/>
      <c r="AU159" s="59"/>
      <c r="AV159" s="59"/>
      <c r="AW159" s="59"/>
      <c r="AX159" s="59"/>
      <c r="AY159" s="59"/>
      <c r="AZ159" s="59"/>
      <c r="BA159" s="59"/>
    </row>
    <row r="160" spans="1:85" hidden="1" x14ac:dyDescent="0.25">
      <c r="A160" s="57"/>
      <c r="B160" s="57"/>
      <c r="C160" s="53"/>
      <c r="D160" s="54"/>
      <c r="E160" s="63"/>
      <c r="F160" s="59"/>
      <c r="G160" s="59"/>
      <c r="H160" s="59"/>
      <c r="I160" s="59"/>
      <c r="J160" s="59"/>
      <c r="K160" s="59"/>
      <c r="L160" s="59"/>
      <c r="M160" s="59"/>
      <c r="N160" s="59"/>
      <c r="O160" s="59"/>
      <c r="P160" s="59"/>
      <c r="Q160" s="59"/>
      <c r="R160" s="59"/>
      <c r="S160" s="59"/>
      <c r="T160" s="59"/>
      <c r="U160" s="59"/>
      <c r="V160" s="59"/>
      <c r="W160" s="59"/>
      <c r="X160" s="59"/>
      <c r="Y160" s="59"/>
      <c r="Z160" s="59"/>
      <c r="AA160" s="59"/>
      <c r="AB160" s="59"/>
      <c r="AC160" s="59"/>
      <c r="AD160" s="59"/>
      <c r="AE160" s="59"/>
      <c r="AF160" s="59"/>
      <c r="AG160" s="59"/>
      <c r="AH160" s="59"/>
      <c r="AI160" s="59"/>
      <c r="AJ160" s="59"/>
      <c r="AK160" s="59"/>
      <c r="AL160" s="59"/>
      <c r="AM160" s="59"/>
      <c r="AN160" s="59"/>
      <c r="AO160" s="59"/>
      <c r="AP160" s="59"/>
      <c r="AQ160" s="59"/>
      <c r="AR160" s="59"/>
      <c r="AS160" s="59"/>
      <c r="AT160" s="59"/>
      <c r="AU160" s="59"/>
      <c r="AV160" s="59"/>
      <c r="AW160" s="59"/>
      <c r="AX160" s="59"/>
      <c r="AY160" s="59"/>
      <c r="AZ160" s="59"/>
      <c r="BA160" s="59"/>
    </row>
    <row r="161" spans="1:53" ht="408.6" customHeight="1" x14ac:dyDescent="0.25">
      <c r="A161" s="122" t="s">
        <v>292</v>
      </c>
      <c r="B161" s="57"/>
      <c r="C161" s="53"/>
      <c r="D161" s="54"/>
      <c r="E161" s="63"/>
      <c r="F161" s="121" t="str" cm="1">
        <f t="array" aca="1" ref="F161" ca="1">_xlfn.TEXTJOIN(CHAR(10),TRUE,_xlfn._xlws.FILTER($CF:$CF,($CC:$CC=1)*($BU:$BU=F$3),""))</f>
        <v>Amy - MigrosBank Säule 3a Depot - Bezug
Amy - SLM Säule 3a Konto - Einzahlung Maximalbetrag
Sheldon - Neues Säule 3a Gefäss I - Eröffnung neues Säule 3a Gefäss und Einzahlung Maximalbetrag</v>
      </c>
      <c r="G161" s="121" t="str" cm="1">
        <f t="array" aca="1" ref="G161" ca="1">_xlfn.TEXTJOIN(CHAR(10),TRUE,_xlfn._xlws.FILTER($CF:$CF,($CC:$CC=1)*($BU:$BU=G$3),""))</f>
        <v>Amy - SLM Säule 3a Konto - Einzahlung Maximalbetrag und Bezug
Sheldon - Neues Säule 3a Gefäss I - Einzahlung Maximalbetrag
Sheldon - PostFinance Säule 3a Depot II - Bezug</v>
      </c>
      <c r="H161" s="121" t="str" cm="1">
        <f t="array" aca="1" ref="H161" ca="1">_xlfn.TEXTJOIN(CHAR(10),TRUE,_xlfn._xlws.FILTER($CF:$CF,($CC:$CC=1)*($BU:$BU=H$3),""))</f>
        <v>Amy - Pictet Säule 3a Depot - Einzahlung Maximalbetrag
Sheldon - Neues Säule 3a Gefäss II - Eröffnung neues Säule 3a Gefäss und Einzahlung Maximalbetrag
Sheldon - PostFinance Säule 3a Depot I - Bezug</v>
      </c>
      <c r="I161" s="121" t="str" cm="1">
        <f t="array" aca="1" ref="I161" ca="1">_xlfn.TEXTJOIN(CHAR(10),TRUE,_xlfn._xlws.FILTER($CF:$CF,($CC:$CC=1)*($BU:$BU=I$3),""))</f>
        <v>Amy - MigrosBank Festhypo - Erneuerung Hyporthek
Amy - Pictet Säule 3a Depot - Einzahlung Maximalbetrag und Bezug
Sheldon - Neues Säule 3a Gefäss II - Einzahlung Maximalbetrag
Sheldon - Neues Säule 3a Gefäss I - Bezug</v>
      </c>
      <c r="J161" s="121" t="str" cm="1">
        <f t="array" aca="1" ref="J161" ca="1">_xlfn.TEXTJOIN(CHAR(10),TRUE,_xlfn._xlws.FILTER($CF:$CF,($CC:$CC=1)*($BU:$BU=J$3),""))</f>
        <v>Amy - MigrosBank SARON - Erneuerung Hyporthek
Amy - Pensionskasse McDonalds - Teilpensionierung 20%, 100% Kapitalbezug (ca. 249 TCHF)
Amy - Neues Säule 3a Gefäss - Einzahlung Maximalbetrag
Sheldon - Neues Säule 3a Gefäss II - Einzahlung Maximalbetrag</v>
      </c>
      <c r="K161" s="121" t="str" cm="1">
        <f t="array" aca="1" ref="K161" ca="1">_xlfn.TEXTJOIN(CHAR(10),TRUE,_xlfn._xlws.FILTER($CF:$CF,($CC:$CC=1)*($BU:$BU=K$3),""))</f>
        <v>Amy - MigrosBank Festhypo II - Erneuerung Hyporthek
Sheldon - PostFinance Festhypo - Erneuerung Hyporthek
Amy - Pensionskasse McDonalds - Pensionierung, Kapitalbezug 521 TCHF
Amy - Neues Säule 3a Gefäss - Einzahlung Maximalbetrag
Sheldon - Neues Säule 3a Gefäss III - Eröffnung neues Säule 3a Gefäss und Einzahlung Maximalbetrag</v>
      </c>
      <c r="L161" s="121" t="str" cm="1">
        <f t="array" aca="1" ref="L161" ca="1">_xlfn.TEXTJOIN(CHAR(10),TRUE,_xlfn._xlws.FILTER($CF:$CF,($CC:$CC=1)*($BU:$BU=L$3),""))</f>
        <v>Amy - Neues Säule 3a Gefäss - Einzahlung Maximalbetrag (20% Erwerbeinkommen
Sheldon - Pensionskasse Caltec - Pensionierung, 100% Rentenbezug
Sheldon - Neues Säule 3a Gefäss III - Bezug
Sheldon - Neues Säule 3a Gefäss II - Einzahlung Maximalbetrag
Sheldon - MigrosBank Säule 3a Konto - Bezug</v>
      </c>
      <c r="M161" s="121" t="str" cm="1">
        <f t="array" aca="1" ref="M161" ca="1">_xlfn.TEXTJOIN(CHAR(10),TRUE,_xlfn._xlws.FILTER($CF:$CF,($CC:$CC=1)*($BU:$BU=M$3),""))</f>
        <v>Amy - Neues Säule 3a Gefäss - Einzahlung Maximalbetrag (20% Erwerbseinkommen) und Bezug</v>
      </c>
      <c r="N161" s="121" t="str" cm="1">
        <f t="array" aca="1" ref="N161" ca="1">_xlfn.TEXTJOIN(CHAR(10),TRUE,_xlfn._xlws.FILTER($CF:$CF,($CC:$CC=1)*($BU:$BU=N$3),""))</f>
        <v>Sheldon - Neues Säule 3a Gefäss II - Bezug</v>
      </c>
      <c r="O161" s="121" t="str" cm="1">
        <f t="array" ref="O161">_xlfn.TEXTJOIN(CHAR(10),TRUE,_xlfn._xlws.FILTER($CF:$CF,($CC:$CC=1)*($BU:$BU=O$3),""))</f>
        <v/>
      </c>
      <c r="P161" s="121" t="str" cm="1">
        <f t="array" ref="P161">_xlfn.TEXTJOIN(CHAR(10),TRUE,_xlfn._xlws.FILTER($CF:$CF,($CC:$CC=1)*($BU:$BU=P$3),""))</f>
        <v/>
      </c>
      <c r="Q161" s="121" t="str" cm="1">
        <f t="array" ref="Q161">_xlfn.TEXTJOIN(CHAR(10),TRUE,_xlfn._xlws.FILTER($CF:$CF,($CC:$CC=1)*($BU:$BU=Q$3),""))</f>
        <v/>
      </c>
      <c r="R161" s="121" t="str" cm="1">
        <f t="array" ref="R161">_xlfn.TEXTJOIN(CHAR(10),TRUE,_xlfn._xlws.FILTER($CF:$CF,($CC:$CC=1)*($BU:$BU=R$3),""))</f>
        <v/>
      </c>
      <c r="S161" s="121" t="str" cm="1">
        <f t="array" ref="S161">_xlfn.TEXTJOIN(CHAR(10),TRUE,_xlfn._xlws.FILTER($CF:$CF,($CC:$CC=1)*($BU:$BU=S$3),""))</f>
        <v/>
      </c>
      <c r="T161" s="121" t="str" cm="1">
        <f t="array" ref="T161">_xlfn.TEXTJOIN(CHAR(10),TRUE,_xlfn._xlws.FILTER($CF:$CF,($CC:$CC=1)*($BU:$BU=T$3),""))</f>
        <v/>
      </c>
      <c r="U161" s="121" t="str" cm="1">
        <f t="array" ref="U161">_xlfn.TEXTJOIN(CHAR(10),TRUE,_xlfn._xlws.FILTER($CF:$CF,($CC:$CC=1)*($BU:$BU=U$3),""))</f>
        <v/>
      </c>
      <c r="V161" s="121" t="str" cm="1">
        <f t="array" ref="V161">_xlfn.TEXTJOIN(CHAR(10),TRUE,_xlfn._xlws.FILTER($CF:$CF,($CC:$CC=1)*($BU:$BU=V$3),""))</f>
        <v/>
      </c>
      <c r="W161" s="121" t="str" cm="1">
        <f t="array" ref="W161">_xlfn.TEXTJOIN(CHAR(10),TRUE,_xlfn._xlws.FILTER($CF:$CF,($CC:$CC=1)*($BU:$BU=W$3),""))</f>
        <v/>
      </c>
      <c r="X161" s="121" t="str" cm="1">
        <f t="array" ref="X161">_xlfn.TEXTJOIN(CHAR(10),TRUE,_xlfn._xlws.FILTER($CF:$CF,($CC:$CC=1)*($BU:$BU=X$3),""))</f>
        <v/>
      </c>
      <c r="Y161" s="121" t="str" cm="1">
        <f t="array" ref="Y161">_xlfn.TEXTJOIN(CHAR(10),TRUE,_xlfn._xlws.FILTER($CF:$CF,($CC:$CC=1)*($BU:$BU=Y$3),""))</f>
        <v/>
      </c>
      <c r="Z161" s="121" t="str" cm="1">
        <f t="array" ref="Z161">_xlfn.TEXTJOIN(CHAR(10),TRUE,_xlfn._xlws.FILTER($CF:$CF,($CC:$CC=1)*($BU:$BU=Z$3),""))</f>
        <v/>
      </c>
      <c r="AA161" s="121" t="str" cm="1">
        <f t="array" ref="AA161">_xlfn.TEXTJOIN(CHAR(10),TRUE,_xlfn._xlws.FILTER($CF:$CF,($CC:$CC=1)*($BU:$BU=AA$3),""))</f>
        <v/>
      </c>
      <c r="AB161" s="121" t="str" cm="1">
        <f t="array" ref="AB161">_xlfn.TEXTJOIN(CHAR(10),TRUE,_xlfn._xlws.FILTER($CF:$CF,($CC:$CC=1)*($BU:$BU=AB$3),""))</f>
        <v/>
      </c>
      <c r="AC161" s="121" t="str" cm="1">
        <f t="array" ref="AC161">_xlfn.TEXTJOIN(CHAR(10),TRUE,_xlfn._xlws.FILTER($CF:$CF,($CC:$CC=1)*($BU:$BU=AC$3),""))</f>
        <v/>
      </c>
      <c r="AD161" s="121" t="str" cm="1">
        <f t="array" ref="AD161">_xlfn.TEXTJOIN(CHAR(10),TRUE,_xlfn._xlws.FILTER($CF:$CF,($CC:$CC=1)*($BU:$BU=AD$3),""))</f>
        <v/>
      </c>
      <c r="AE161" s="121" t="str" cm="1">
        <f t="array" ref="AE161">_xlfn.TEXTJOIN(CHAR(10),TRUE,_xlfn._xlws.FILTER($CF:$CF,($CC:$CC=1)*($BU:$BU=AE$3),""))</f>
        <v/>
      </c>
      <c r="AF161" s="121" t="str" cm="1">
        <f t="array" ref="AF161">_xlfn.TEXTJOIN(CHAR(10),TRUE,_xlfn._xlws.FILTER($CF:$CF,($CC:$CC=1)*($BU:$BU=AF$3),""))</f>
        <v/>
      </c>
      <c r="AG161" s="121" t="str" cm="1">
        <f t="array" ref="AG161">_xlfn.TEXTJOIN(CHAR(10),TRUE,_xlfn._xlws.FILTER($CF:$CF,($CC:$CC=1)*($BU:$BU=AG$3),""))</f>
        <v/>
      </c>
      <c r="AH161" s="121" t="str" cm="1">
        <f t="array" ref="AH161">_xlfn.TEXTJOIN(CHAR(10),TRUE,_xlfn._xlws.FILTER($CF:$CF,($CC:$CC=1)*($BU:$BU=AH$3),""))</f>
        <v/>
      </c>
      <c r="AI161" s="121" t="str" cm="1">
        <f t="array" ref="AI161">_xlfn.TEXTJOIN(CHAR(10),TRUE,_xlfn._xlws.FILTER($CF:$CF,($CC:$CC=1)*($BU:$BU=AI$3),""))</f>
        <v/>
      </c>
      <c r="AJ161" s="121" t="str" cm="1">
        <f t="array" ref="AJ161">_xlfn.TEXTJOIN(CHAR(10),TRUE,_xlfn._xlws.FILTER($CF:$CF,($CC:$CC=1)*($BU:$BU=AJ$3),""))</f>
        <v/>
      </c>
      <c r="AK161" s="121" t="str" cm="1">
        <f t="array" ref="AK161">_xlfn.TEXTJOIN(CHAR(10),TRUE,_xlfn._xlws.FILTER($CF:$CF,($CC:$CC=1)*($BU:$BU=AK$3),""))</f>
        <v/>
      </c>
      <c r="AL161" s="121" t="str" cm="1">
        <f t="array" ref="AL161">_xlfn.TEXTJOIN(CHAR(10),TRUE,_xlfn._xlws.FILTER($CF:$CF,($CC:$CC=1)*($BU:$BU=AL$3),""))</f>
        <v/>
      </c>
      <c r="AM161" s="121" t="str" cm="1">
        <f t="array" ref="AM161">_xlfn.TEXTJOIN(CHAR(10),TRUE,_xlfn._xlws.FILTER($CF:$CF,($CC:$CC=1)*($BU:$BU=AM$3),""))</f>
        <v/>
      </c>
      <c r="AN161" s="121" t="str" cm="1">
        <f t="array" ref="AN161">_xlfn.TEXTJOIN(CHAR(10),TRUE,_xlfn._xlws.FILTER($CF:$CF,($CC:$CC=1)*($BU:$BU=AN$3),""))</f>
        <v/>
      </c>
      <c r="AO161" s="121" t="str" cm="1">
        <f t="array" ref="AO161">_xlfn.TEXTJOIN(CHAR(10),TRUE,_xlfn._xlws.FILTER($CF:$CF,($CC:$CC=1)*($BU:$BU=AO$3),""))</f>
        <v/>
      </c>
      <c r="AP161" s="121" t="str" cm="1">
        <f t="array" ref="AP161">_xlfn.TEXTJOIN(CHAR(10),TRUE,_xlfn._xlws.FILTER($CF:$CF,($CC:$CC=1)*($BU:$BU=AP$3),""))</f>
        <v/>
      </c>
      <c r="AQ161" s="121" t="str" cm="1">
        <f t="array" ref="AQ161">_xlfn.TEXTJOIN(CHAR(10),TRUE,_xlfn._xlws.FILTER($CF:$CF,($CC:$CC=1)*($BU:$BU=AQ$3),""))</f>
        <v/>
      </c>
      <c r="AR161" s="121" t="str" cm="1">
        <f t="array" ref="AR161">_xlfn.TEXTJOIN(CHAR(10),TRUE,_xlfn._xlws.FILTER($CF:$CF,($CC:$CC=1)*($BU:$BU=AR$3),""))</f>
        <v/>
      </c>
      <c r="AS161" s="121" t="str" cm="1">
        <f t="array" ref="AS161">_xlfn.TEXTJOIN(CHAR(10),TRUE,_xlfn._xlws.FILTER($CF:$CF,($CC:$CC=1)*($BU:$BU=AS$3),""))</f>
        <v/>
      </c>
      <c r="AT161" s="121" t="str" cm="1">
        <f t="array" ref="AT161">_xlfn.TEXTJOIN(CHAR(10),TRUE,_xlfn._xlws.FILTER($CF:$CF,($CC:$CC=1)*($BU:$BU=AT$3),""))</f>
        <v/>
      </c>
      <c r="AU161" s="121" t="str" cm="1">
        <f t="array" ref="AU161">_xlfn.TEXTJOIN(CHAR(10),TRUE,_xlfn._xlws.FILTER($CF:$CF,($CC:$CC=1)*($BU:$BU=AU$3),""))</f>
        <v/>
      </c>
      <c r="AV161" s="121" t="str" cm="1">
        <f t="array" ref="AV161">_xlfn.TEXTJOIN(CHAR(10),TRUE,_xlfn._xlws.FILTER($CF:$CF,($CC:$CC=1)*($BU:$BU=AV$3),""))</f>
        <v/>
      </c>
      <c r="AW161" s="121" t="str" cm="1">
        <f t="array" ref="AW161">_xlfn.TEXTJOIN(CHAR(10),TRUE,_xlfn._xlws.FILTER($CF:$CF,($CC:$CC=1)*($BU:$BU=AW$3),""))</f>
        <v/>
      </c>
      <c r="AX161" s="121" t="str" cm="1">
        <f t="array" ref="AX161">_xlfn.TEXTJOIN(CHAR(10),TRUE,_xlfn._xlws.FILTER($CF:$CF,($CC:$CC=1)*($BU:$BU=AX$3),""))</f>
        <v/>
      </c>
      <c r="AY161" s="121" t="str" cm="1">
        <f t="array" ref="AY161">_xlfn.TEXTJOIN(CHAR(10),TRUE,_xlfn._xlws.FILTER($CF:$CF,($CC:$CC=1)*($BU:$BU=AY$3),""))</f>
        <v/>
      </c>
      <c r="AZ161" s="121" t="str" cm="1">
        <f t="array" ref="AZ161">_xlfn.TEXTJOIN(CHAR(10),TRUE,_xlfn._xlws.FILTER($CF:$CF,($CC:$CC=1)*($BU:$BU=AZ$3),""))</f>
        <v/>
      </c>
      <c r="BA161" s="121" t="str" cm="1">
        <f t="array" ref="BA161">_xlfn.TEXTJOIN(CHAR(10),TRUE,_xlfn._xlws.FILTER($CF:$CF,($CC:$CC=1)*($BU:$BU=BA$3),""))</f>
        <v/>
      </c>
    </row>
    <row r="162" spans="1:53" hidden="1" x14ac:dyDescent="0.25">
      <c r="A162" s="34"/>
      <c r="B162" s="34"/>
      <c r="C162" s="34"/>
      <c r="D162" s="34"/>
      <c r="E162" s="34"/>
      <c r="F162" s="60"/>
      <c r="G162" s="60"/>
      <c r="H162" s="60"/>
      <c r="I162" s="60"/>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row>
    <row r="163" spans="1:53" hidden="1" x14ac:dyDescent="0.25">
      <c r="A163" s="34"/>
      <c r="B163" s="34"/>
      <c r="C163" s="34"/>
      <c r="D163" s="34"/>
      <c r="E163" s="34"/>
      <c r="F163" s="60"/>
      <c r="G163" s="60"/>
      <c r="H163" s="60"/>
      <c r="I163" s="60"/>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row>
    <row r="164" spans="1:53" hidden="1" x14ac:dyDescent="0.25">
      <c r="A164" s="34"/>
      <c r="B164" s="34"/>
      <c r="C164" s="34"/>
      <c r="D164" s="34"/>
      <c r="E164" s="34"/>
      <c r="F164" s="60"/>
      <c r="G164" s="60"/>
      <c r="H164" s="60"/>
      <c r="I164" s="60"/>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row>
    <row r="165" spans="1:53" hidden="1" x14ac:dyDescent="0.25">
      <c r="A165" s="34"/>
      <c r="B165" s="34"/>
      <c r="C165" s="34"/>
      <c r="D165" s="34"/>
      <c r="E165" s="34"/>
      <c r="F165" s="60"/>
      <c r="G165" s="60"/>
      <c r="H165" s="60"/>
      <c r="I165" s="60"/>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row>
    <row r="166" spans="1:53" hidden="1" x14ac:dyDescent="0.25">
      <c r="A166" s="34"/>
      <c r="B166" s="34"/>
      <c r="C166" s="34"/>
      <c r="D166" s="34"/>
      <c r="E166" s="34"/>
      <c r="F166" s="60"/>
      <c r="G166" s="60"/>
      <c r="H166" s="60"/>
      <c r="I166" s="60"/>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row>
    <row r="167" spans="1:53" hidden="1" x14ac:dyDescent="0.25">
      <c r="A167" s="34"/>
      <c r="B167" s="34"/>
      <c r="C167" s="34"/>
      <c r="D167" s="34"/>
      <c r="E167" s="34"/>
      <c r="F167" s="60"/>
      <c r="G167" s="60"/>
      <c r="H167" s="120"/>
      <c r="I167" s="60"/>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row>
    <row r="168" spans="1:53" hidden="1" x14ac:dyDescent="0.25">
      <c r="A168" s="34"/>
      <c r="B168" s="34"/>
      <c r="C168" s="34"/>
      <c r="D168" s="34"/>
      <c r="E168" s="34"/>
      <c r="F168" s="60"/>
      <c r="G168" s="60"/>
      <c r="H168" s="60"/>
      <c r="I168" s="60"/>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row>
    <row r="169" spans="1:53" hidden="1" x14ac:dyDescent="0.25">
      <c r="A169" s="34"/>
      <c r="B169" s="34"/>
      <c r="C169" s="34"/>
      <c r="D169" s="34"/>
      <c r="E169" s="34"/>
      <c r="F169" s="60"/>
      <c r="G169" s="60"/>
      <c r="H169" s="60"/>
      <c r="I169" s="60"/>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row>
    <row r="170" spans="1:53" hidden="1" x14ac:dyDescent="0.25">
      <c r="A170" s="34"/>
      <c r="B170" s="34"/>
      <c r="C170" s="34"/>
      <c r="D170" s="34"/>
      <c r="E170" s="34"/>
      <c r="F170" s="60"/>
      <c r="G170" s="60"/>
      <c r="H170" s="60"/>
      <c r="I170" s="60"/>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row>
  </sheetData>
  <autoFilter ref="BS1:CF154" xr:uid="{A53A02A3-DB92-4035-940B-504FA75FC4D1}"/>
  <conditionalFormatting sqref="F3:BA200">
    <cfRule type="expression" dxfId="0" priority="1">
      <formula>ISEVEN(COLUMN(F3))</formula>
    </cfRule>
  </conditionalFormatting>
  <pageMargins left="0.23622047244094491" right="0.23622047244094491"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hideEmptyRows">
                <anchor moveWithCells="1" sizeWithCells="1">
                  <from>
                    <xdr:col>63</xdr:col>
                    <xdr:colOff>266700</xdr:colOff>
                    <xdr:row>0</xdr:row>
                    <xdr:rowOff>123825</xdr:rowOff>
                  </from>
                  <to>
                    <xdr:col>65</xdr:col>
                    <xdr:colOff>571500</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0AD3C-7E33-4B1A-A0DE-7B80A46B1A0A}">
  <sheetPr codeName="Tabelle16"/>
  <dimension ref="A1:CB37"/>
  <sheetViews>
    <sheetView zoomScaleNormal="100" workbookViewId="0">
      <selection activeCell="B5" sqref="B5"/>
    </sheetView>
  </sheetViews>
  <sheetFormatPr baseColWidth="10" defaultRowHeight="15" x14ac:dyDescent="0.25"/>
  <cols>
    <col min="1" max="1" width="27.42578125" customWidth="1"/>
    <col min="2" max="11" width="10.85546875" customWidth="1"/>
    <col min="21" max="21" width="26.5703125" bestFit="1" customWidth="1"/>
    <col min="25" max="25" width="33.7109375" bestFit="1" customWidth="1"/>
  </cols>
  <sheetData>
    <row r="1" spans="1:80" ht="30" customHeight="1" x14ac:dyDescent="0.25">
      <c r="A1" s="26" t="s">
        <v>300</v>
      </c>
      <c r="C1" s="117"/>
      <c r="U1" t="s">
        <v>266</v>
      </c>
      <c r="V1" s="1">
        <v>34</v>
      </c>
    </row>
    <row r="2" spans="1:80" ht="11.45" customHeight="1" x14ac:dyDescent="0.25">
      <c r="A2" s="119" t="s">
        <v>308</v>
      </c>
      <c r="U2" t="s">
        <v>306</v>
      </c>
      <c r="V2" s="1" t="s">
        <v>268</v>
      </c>
    </row>
    <row r="4" spans="1:80" ht="15" customHeight="1" x14ac:dyDescent="0.25"/>
    <row r="6" spans="1:80" ht="11.45" customHeight="1" x14ac:dyDescent="0.25"/>
    <row r="8" spans="1:80" x14ac:dyDescent="0.25">
      <c r="W8" t="s">
        <v>307</v>
      </c>
    </row>
    <row r="9" spans="1:80" x14ac:dyDescent="0.25">
      <c r="W9" t="s">
        <v>302</v>
      </c>
      <c r="X9" t="s">
        <v>305</v>
      </c>
      <c r="Y9" t="s">
        <v>267</v>
      </c>
      <c r="Z9" cm="1">
        <f t="array" aca="1" ref="Z9" ca="1">INDIRECT(CONCATENATE("'",$X10,"'!",$V$2))</f>
        <v>2024</v>
      </c>
      <c r="AA9" cm="1">
        <f t="array" aca="1" ref="AA9:BG9" ca="1">_xlfn.SEQUENCE(,$V$1-1,$Z$9+1,1)</f>
        <v>2025</v>
      </c>
      <c r="AB9">
        <f ca="1"/>
        <v>2026</v>
      </c>
      <c r="AC9">
        <f ca="1"/>
        <v>2027</v>
      </c>
      <c r="AD9">
        <f ca="1"/>
        <v>2028</v>
      </c>
      <c r="AE9">
        <f ca="1"/>
        <v>2029</v>
      </c>
      <c r="AF9">
        <f ca="1"/>
        <v>2030</v>
      </c>
      <c r="AG9">
        <f ca="1"/>
        <v>2031</v>
      </c>
      <c r="AH9">
        <f ca="1"/>
        <v>2032</v>
      </c>
      <c r="AI9">
        <f ca="1"/>
        <v>2033</v>
      </c>
      <c r="AJ9">
        <f ca="1"/>
        <v>2034</v>
      </c>
      <c r="AK9">
        <f ca="1"/>
        <v>2035</v>
      </c>
      <c r="AL9">
        <f ca="1"/>
        <v>2036</v>
      </c>
      <c r="AM9">
        <f ca="1"/>
        <v>2037</v>
      </c>
      <c r="AN9">
        <f ca="1"/>
        <v>2038</v>
      </c>
      <c r="AO9">
        <f ca="1"/>
        <v>2039</v>
      </c>
      <c r="AP9">
        <f ca="1"/>
        <v>2040</v>
      </c>
      <c r="AQ9">
        <f ca="1"/>
        <v>2041</v>
      </c>
      <c r="AR9">
        <f ca="1"/>
        <v>2042</v>
      </c>
      <c r="AS9">
        <f ca="1"/>
        <v>2043</v>
      </c>
      <c r="AT9">
        <f ca="1"/>
        <v>2044</v>
      </c>
      <c r="AU9">
        <f ca="1"/>
        <v>2045</v>
      </c>
      <c r="AV9">
        <f ca="1"/>
        <v>2046</v>
      </c>
      <c r="AW9">
        <f ca="1"/>
        <v>2047</v>
      </c>
      <c r="AX9">
        <f ca="1"/>
        <v>2048</v>
      </c>
      <c r="AY9">
        <f ca="1"/>
        <v>2049</v>
      </c>
      <c r="AZ9">
        <f ca="1"/>
        <v>2050</v>
      </c>
      <c r="BA9">
        <f ca="1"/>
        <v>2051</v>
      </c>
      <c r="BB9">
        <f ca="1"/>
        <v>2052</v>
      </c>
      <c r="BC9">
        <f ca="1"/>
        <v>2053</v>
      </c>
      <c r="BD9">
        <f ca="1"/>
        <v>2054</v>
      </c>
      <c r="BE9">
        <f ca="1"/>
        <v>2055</v>
      </c>
      <c r="BF9">
        <f ca="1"/>
        <v>2056</v>
      </c>
      <c r="BG9">
        <f ca="1"/>
        <v>2057</v>
      </c>
    </row>
    <row r="10" spans="1:80" x14ac:dyDescent="0.25">
      <c r="W10" s="1" t="s">
        <v>304</v>
      </c>
      <c r="X10" s="1" t="s">
        <v>265</v>
      </c>
      <c r="Y10" t="str" cm="1">
        <f t="array" aca="1" ref="Y10" ca="1">INDIRECT(CONCATENATE("'",$X10,"'!",Y$9))</f>
        <v>Kapitalbezug von Einkauf</v>
      </c>
      <c r="Z10" s="128" cm="1">
        <f t="array" aca="1" ref="Z10:BG10" ca="1">OFFSET(INDIRECT(CONCATENATE("'",$X10,"'!",$W10)),,,,$V$1)</f>
        <v>288099.40000000002</v>
      </c>
      <c r="AA10" s="128">
        <f ca="1"/>
        <v>377708.08076921757</v>
      </c>
      <c r="AB10" s="128">
        <f ca="1"/>
        <v>470281.41250069806</v>
      </c>
      <c r="AC10" s="128">
        <f ca="1"/>
        <v>555071.68244706234</v>
      </c>
      <c r="AD10" s="128">
        <f ca="1"/>
        <v>736758.24241183628</v>
      </c>
      <c r="AE10" s="128">
        <f ca="1"/>
        <v>1017666.826272155</v>
      </c>
      <c r="AF10" s="128">
        <f ca="1"/>
        <v>1098761.8895749399</v>
      </c>
      <c r="AG10" s="128">
        <f ca="1"/>
        <v>1116751.134940078</v>
      </c>
      <c r="AH10" s="128">
        <f ca="1"/>
        <v>1146024.5431804988</v>
      </c>
      <c r="AI10" s="128">
        <f ca="1"/>
        <v>1159073.560745623</v>
      </c>
      <c r="AJ10" s="128">
        <f ca="1"/>
        <v>1168758.926323497</v>
      </c>
      <c r="AK10" s="128">
        <f ca="1"/>
        <v>1177331.7148195575</v>
      </c>
      <c r="AL10" s="128">
        <f ca="1"/>
        <v>1184756.2743988056</v>
      </c>
      <c r="AM10" s="128">
        <f ca="1"/>
        <v>1190977.9239343507</v>
      </c>
      <c r="AN10" s="128">
        <f ca="1"/>
        <v>1195953.6046804998</v>
      </c>
      <c r="AO10" s="128">
        <f ca="1"/>
        <v>1199631.4169778395</v>
      </c>
      <c r="AP10" s="128">
        <f ca="1"/>
        <v>1201958.4454680057</v>
      </c>
      <c r="AQ10" s="128">
        <f ca="1"/>
        <v>1202886.5511292208</v>
      </c>
      <c r="AR10" s="128">
        <f ca="1"/>
        <v>1202359.7352730969</v>
      </c>
      <c r="AS10" s="128">
        <f ca="1"/>
        <v>1200320.2895427283</v>
      </c>
      <c r="AT10" s="128">
        <f ca="1"/>
        <v>1196708.7632473966</v>
      </c>
      <c r="AU10" s="128">
        <f ca="1"/>
        <v>1191463.9158405585</v>
      </c>
      <c r="AV10" s="128">
        <f ca="1"/>
        <v>1184529.0437337006</v>
      </c>
      <c r="AW10" s="128">
        <f ca="1"/>
        <v>1175839.3371619526</v>
      </c>
      <c r="AX10" s="128">
        <f ca="1"/>
        <v>1165327.4527381167</v>
      </c>
      <c r="AY10" s="128">
        <f ca="1"/>
        <v>1152931.5477606973</v>
      </c>
      <c r="AZ10" s="128">
        <f ca="1"/>
        <v>1138580.9621644993</v>
      </c>
      <c r="BA10" s="128">
        <f ca="1"/>
        <v>1122202.3386794771</v>
      </c>
      <c r="BB10" s="128">
        <f ca="1"/>
        <v>1103727.6066625626</v>
      </c>
      <c r="BC10" s="128">
        <f ca="1"/>
        <v>1083079.7320248992</v>
      </c>
      <c r="BD10" s="128">
        <f ca="1"/>
        <v>1060179.3784941665</v>
      </c>
      <c r="BE10" s="128">
        <f ca="1"/>
        <v>1034951.6865918766</v>
      </c>
      <c r="BF10" s="128">
        <f ca="1"/>
        <v>1007312.6873719689</v>
      </c>
      <c r="BG10" s="128">
        <f ca="1"/>
        <v>977182.12180915056</v>
      </c>
      <c r="BH10" s="128"/>
      <c r="BI10" s="128"/>
      <c r="BJ10" s="128"/>
      <c r="BK10" s="128"/>
      <c r="BL10" s="128"/>
      <c r="BM10" s="128"/>
      <c r="BN10" s="128"/>
      <c r="BO10" s="128"/>
      <c r="BP10" s="128"/>
      <c r="BQ10" s="128"/>
      <c r="BR10" s="128"/>
      <c r="BS10" s="128"/>
      <c r="BT10" s="128"/>
      <c r="BU10" s="128"/>
      <c r="BV10" s="128"/>
      <c r="BW10" s="128"/>
      <c r="BX10" s="128"/>
      <c r="BY10" s="128"/>
      <c r="BZ10" s="128"/>
      <c r="CA10" s="128"/>
      <c r="CB10" s="128"/>
    </row>
    <row r="11" spans="1:80" ht="11.45" customHeight="1" x14ac:dyDescent="0.25">
      <c r="W11" s="1" t="s">
        <v>304</v>
      </c>
      <c r="X11" s="1" t="s">
        <v>320</v>
      </c>
      <c r="Y11" t="str" cm="1">
        <f t="array" aca="1" ref="Y11" ca="1">INDIRECT(CONCATENATE("'",$X11,"'!",Y$9))</f>
        <v>Kapitalbezug 230 TCHF von Alterskapital (und Einkauf)</v>
      </c>
      <c r="Z11" s="128" cm="1">
        <f t="array" aca="1" ref="Z11:BG11" ca="1">OFFSET(INDIRECT(CONCATENATE("'",$X11,"'!",$W11)),,,,$V$1)</f>
        <v>288099.40000000002</v>
      </c>
      <c r="AA11" s="128">
        <f ca="1"/>
        <v>377708.08076921757</v>
      </c>
      <c r="AB11" s="128">
        <f ca="1"/>
        <v>470281.41250069806</v>
      </c>
      <c r="AC11" s="128">
        <f ca="1"/>
        <v>555071.68244706234</v>
      </c>
      <c r="AD11" s="128">
        <f ca="1"/>
        <v>846292.9945368364</v>
      </c>
      <c r="AE11" s="128">
        <f ca="1"/>
        <v>1232872.2038225033</v>
      </c>
      <c r="AF11" s="128">
        <f ca="1"/>
        <v>1296067.1612583613</v>
      </c>
      <c r="AG11" s="128">
        <f ca="1"/>
        <v>1309772.3359598164</v>
      </c>
      <c r="AH11" s="128">
        <f ca="1"/>
        <v>1333372.4885817275</v>
      </c>
      <c r="AI11" s="128">
        <f ca="1"/>
        <v>1340564.0257335403</v>
      </c>
      <c r="AJ11" s="128">
        <f ca="1"/>
        <v>1344394.9774927439</v>
      </c>
      <c r="AK11" s="128">
        <f ca="1"/>
        <v>1346980.0856288695</v>
      </c>
      <c r="AL11" s="128">
        <f ca="1"/>
        <v>1348277.8850604575</v>
      </c>
      <c r="AM11" s="128">
        <f ca="1"/>
        <v>1348231.124064378</v>
      </c>
      <c r="AN11" s="128">
        <f ca="1"/>
        <v>1346791.2135983985</v>
      </c>
      <c r="AO11" s="128">
        <f ca="1"/>
        <v>1343902.8734096878</v>
      </c>
      <c r="AP11" s="128">
        <f ca="1"/>
        <v>1339514.3375721304</v>
      </c>
      <c r="AQ11" s="128">
        <f ca="1"/>
        <v>1333561.843789316</v>
      </c>
      <c r="AR11" s="128">
        <f ca="1"/>
        <v>1325989.5925472032</v>
      </c>
      <c r="AS11" s="128">
        <f ca="1"/>
        <v>1316735.9309230479</v>
      </c>
      <c r="AT11" s="128">
        <f ca="1"/>
        <v>1305742.0004483343</v>
      </c>
      <c r="AU11" s="128">
        <f ca="1"/>
        <v>1292936.2647465484</v>
      </c>
      <c r="AV11" s="128">
        <f ca="1"/>
        <v>1278261.6034648623</v>
      </c>
      <c r="AW11" s="128">
        <f ca="1"/>
        <v>1261642.6069926806</v>
      </c>
      <c r="AX11" s="128">
        <f ca="1"/>
        <v>1243012.948951436</v>
      </c>
      <c r="AY11" s="128">
        <f ca="1"/>
        <v>1222298.6341303103</v>
      </c>
      <c r="AZ11" s="128">
        <f ca="1"/>
        <v>1199423.4475997738</v>
      </c>
      <c r="BA11" s="128">
        <f ca="1"/>
        <v>1174313.9914664449</v>
      </c>
      <c r="BB11" s="128">
        <f ca="1"/>
        <v>1146890.0509707085</v>
      </c>
      <c r="BC11" s="128">
        <f ca="1"/>
        <v>1117067.9998224459</v>
      </c>
      <c r="BD11" s="128">
        <f ca="1"/>
        <v>1084768.2610161568</v>
      </c>
      <c r="BE11" s="128">
        <f ca="1"/>
        <v>1049908.2895812234</v>
      </c>
      <c r="BF11" s="128">
        <f ca="1"/>
        <v>1012392.0559361951</v>
      </c>
      <c r="BG11" s="128">
        <f ca="1"/>
        <v>972137.54945616191</v>
      </c>
      <c r="BH11" s="128"/>
      <c r="BI11" s="128"/>
      <c r="BJ11" s="128"/>
      <c r="BK11" s="128"/>
      <c r="BL11" s="128"/>
      <c r="BM11" s="128"/>
      <c r="BN11" s="128"/>
      <c r="BO11" s="128"/>
      <c r="BP11" s="128"/>
      <c r="BQ11" s="128"/>
      <c r="BR11" s="128"/>
      <c r="BS11" s="128"/>
      <c r="BT11" s="128"/>
      <c r="BU11" s="128"/>
      <c r="BV11" s="128"/>
      <c r="BW11" s="128"/>
      <c r="BX11" s="128"/>
      <c r="BY11" s="128"/>
      <c r="BZ11" s="128"/>
      <c r="CA11" s="128"/>
      <c r="CB11" s="128"/>
    </row>
    <row r="12" spans="1:80" x14ac:dyDescent="0.25">
      <c r="W12" s="1" t="s">
        <v>304</v>
      </c>
      <c r="X12" s="1" t="s">
        <v>321</v>
      </c>
      <c r="Y12" t="str" cm="1">
        <f t="array" aca="1" ref="Y12" ca="1">INDIRECT(CONCATENATE("'",$X12,"'!",Y$9))</f>
        <v>Kapitalbezug 500 TCHF von Alterskapital (und Einkauf)</v>
      </c>
      <c r="Z12" s="128" cm="1">
        <f t="array" aca="1" ref="Z12:BG12" ca="1">OFFSET(INDIRECT(CONCATENATE("'",$X12,"'!",$W12)),,,,$V$1)</f>
        <v>288099.40000000002</v>
      </c>
      <c r="AA12" s="128">
        <f ca="1"/>
        <v>377708.08076921757</v>
      </c>
      <c r="AB12" s="128">
        <f ca="1"/>
        <v>470281.41250069806</v>
      </c>
      <c r="AC12" s="128">
        <f ca="1"/>
        <v>555071.68244706234</v>
      </c>
      <c r="AD12" s="128">
        <f ca="1"/>
        <v>846292.9945368364</v>
      </c>
      <c r="AE12" s="128">
        <f ca="1"/>
        <v>1497277.2256975032</v>
      </c>
      <c r="AF12" s="128">
        <f ca="1"/>
        <v>1528134.8625259672</v>
      </c>
      <c r="AG12" s="128">
        <f ca="1"/>
        <v>1538686.2360205327</v>
      </c>
      <c r="AH12" s="128">
        <f ca="1"/>
        <v>1558113.2272600159</v>
      </c>
      <c r="AI12" s="128">
        <f ca="1"/>
        <v>1560888.4237632854</v>
      </c>
      <c r="AJ12" s="128">
        <f ca="1"/>
        <v>1560383.7521054349</v>
      </c>
      <c r="AK12" s="128">
        <f ca="1"/>
        <v>1558531.7676454319</v>
      </c>
      <c r="AL12" s="128">
        <f ca="1"/>
        <v>1555283.5155069714</v>
      </c>
      <c r="AM12" s="128">
        <f ca="1"/>
        <v>1550584.5962695444</v>
      </c>
      <c r="AN12" s="128">
        <f ca="1"/>
        <v>1544384.6259843565</v>
      </c>
      <c r="AO12" s="128">
        <f ca="1"/>
        <v>1536625.5514082399</v>
      </c>
      <c r="AP12" s="128">
        <f ca="1"/>
        <v>1527248.5123867993</v>
      </c>
      <c r="AQ12" s="128">
        <f ca="1"/>
        <v>1516198.0522366734</v>
      </c>
      <c r="AR12" s="128">
        <f ca="1"/>
        <v>1503405.7589989759</v>
      </c>
      <c r="AS12" s="128">
        <f ca="1"/>
        <v>1488812.4492150466</v>
      </c>
      <c r="AT12" s="128">
        <f ca="1"/>
        <v>1472357.1327199305</v>
      </c>
      <c r="AU12" s="128">
        <f ca="1"/>
        <v>1453965.7669175614</v>
      </c>
      <c r="AV12" s="128">
        <f ca="1"/>
        <v>1433573.2970879688</v>
      </c>
      <c r="AW12" s="128">
        <f ca="1"/>
        <v>1411104.7908407624</v>
      </c>
      <c r="AX12" s="128">
        <f ca="1"/>
        <v>1386476.7993195655</v>
      </c>
      <c r="AY12" s="128">
        <f ca="1"/>
        <v>1359616.4727554263</v>
      </c>
      <c r="AZ12" s="128">
        <f ca="1"/>
        <v>1330449.6123288367</v>
      </c>
      <c r="BA12" s="128">
        <f ca="1"/>
        <v>1298893.320222951</v>
      </c>
      <c r="BB12" s="128">
        <f ca="1"/>
        <v>1264862.6519047578</v>
      </c>
      <c r="BC12" s="128">
        <f ca="1"/>
        <v>1228275.932337997</v>
      </c>
      <c r="BD12" s="128">
        <f ca="1"/>
        <v>1189043.1174388679</v>
      </c>
      <c r="BE12" s="128">
        <f ca="1"/>
        <v>1147071.4453518302</v>
      </c>
      <c r="BF12" s="128">
        <f ca="1"/>
        <v>1102271.0614148364</v>
      </c>
      <c r="BG12" s="128">
        <f ca="1"/>
        <v>1054550.1205652498</v>
      </c>
      <c r="BH12" s="128"/>
      <c r="BI12" s="128"/>
      <c r="BJ12" s="128"/>
      <c r="BK12" s="128"/>
      <c r="BL12" s="128"/>
      <c r="BM12" s="128"/>
      <c r="BN12" s="128"/>
      <c r="BO12" s="128"/>
      <c r="BP12" s="128"/>
      <c r="BQ12" s="128"/>
      <c r="BR12" s="128"/>
      <c r="BS12" s="128"/>
      <c r="BT12" s="128"/>
      <c r="BU12" s="128"/>
      <c r="BV12" s="128"/>
      <c r="BW12" s="128"/>
      <c r="BX12" s="128"/>
      <c r="BY12" s="128"/>
      <c r="BZ12" s="128"/>
      <c r="CA12" s="128"/>
      <c r="CB12" s="128"/>
    </row>
    <row r="13" spans="1:80" x14ac:dyDescent="0.25">
      <c r="Z13" s="128"/>
      <c r="AA13" s="128"/>
      <c r="AB13" s="128"/>
      <c r="AC13" s="128"/>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c r="BS13" s="128"/>
      <c r="BT13" s="128"/>
      <c r="BU13" s="128"/>
      <c r="BV13" s="128"/>
      <c r="BW13" s="128"/>
      <c r="BX13" s="128"/>
      <c r="BY13" s="128"/>
      <c r="BZ13" s="128"/>
      <c r="CA13" s="128"/>
      <c r="CB13" s="128"/>
    </row>
    <row r="14" spans="1:80" x14ac:dyDescent="0.25">
      <c r="Z14" s="128"/>
      <c r="AA14" s="128"/>
      <c r="AB14" s="128"/>
      <c r="AC14" s="128"/>
      <c r="AD14" s="128"/>
      <c r="AE14" s="128"/>
      <c r="AF14" s="128"/>
      <c r="AG14" s="128"/>
      <c r="AH14" s="128"/>
      <c r="AI14" s="128"/>
      <c r="AJ14" s="128"/>
      <c r="AK14" s="128"/>
      <c r="AL14" s="128"/>
      <c r="AM14" s="128"/>
      <c r="AN14" s="128"/>
      <c r="AO14" s="128"/>
      <c r="AP14" s="128"/>
      <c r="AQ14" s="128"/>
      <c r="AR14" s="128"/>
      <c r="AS14" s="128"/>
      <c r="AT14" s="128"/>
      <c r="AU14" s="128"/>
      <c r="AV14" s="128"/>
      <c r="AW14" s="128"/>
      <c r="AX14" s="128"/>
      <c r="AY14" s="128"/>
      <c r="AZ14" s="128"/>
      <c r="BA14" s="128"/>
      <c r="BB14" s="128"/>
      <c r="BC14" s="128"/>
      <c r="BD14" s="128"/>
      <c r="BE14" s="128"/>
      <c r="BF14" s="128"/>
      <c r="BG14" s="128"/>
      <c r="BH14" s="128"/>
      <c r="BI14" s="128"/>
      <c r="BJ14" s="128"/>
      <c r="BK14" s="128"/>
      <c r="BL14" s="128"/>
      <c r="BM14" s="128"/>
      <c r="BN14" s="128"/>
      <c r="BO14" s="128"/>
      <c r="BP14" s="128"/>
      <c r="BQ14" s="128"/>
      <c r="BR14" s="128"/>
      <c r="BS14" s="128"/>
      <c r="BT14" s="128"/>
      <c r="BU14" s="128"/>
      <c r="BV14" s="128"/>
      <c r="BW14" s="128"/>
      <c r="BX14" s="128"/>
      <c r="BY14" s="128"/>
      <c r="BZ14" s="128"/>
      <c r="CA14" s="128"/>
      <c r="CB14" s="128"/>
    </row>
    <row r="15" spans="1:80" x14ac:dyDescent="0.25">
      <c r="Z15" s="128"/>
      <c r="AA15" s="128"/>
      <c r="AB15" s="128"/>
      <c r="AC15" s="128"/>
      <c r="AD15" s="128"/>
      <c r="AE15" s="128"/>
      <c r="AF15" s="128"/>
      <c r="AG15" s="128"/>
      <c r="AH15" s="128"/>
      <c r="AI15" s="128"/>
      <c r="AJ15" s="128"/>
      <c r="AK15" s="128"/>
      <c r="AL15" s="128"/>
      <c r="AM15" s="128"/>
      <c r="AN15" s="128"/>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c r="BS15" s="128"/>
      <c r="BT15" s="128"/>
      <c r="BU15" s="128"/>
      <c r="BV15" s="128"/>
      <c r="BW15" s="128"/>
      <c r="BX15" s="128"/>
      <c r="BY15" s="128"/>
      <c r="BZ15" s="128"/>
      <c r="CA15" s="128"/>
      <c r="CB15" s="128"/>
    </row>
    <row r="17" spans="23:80" x14ac:dyDescent="0.25">
      <c r="W17" t="s">
        <v>104</v>
      </c>
    </row>
    <row r="18" spans="23:80" ht="11.45" customHeight="1" x14ac:dyDescent="0.25">
      <c r="W18" t="s">
        <v>301</v>
      </c>
      <c r="X18" t="s">
        <v>305</v>
      </c>
      <c r="Y18" t="s">
        <v>267</v>
      </c>
      <c r="Z18" cm="1">
        <f t="array" aca="1" ref="Z18" ca="1">INDIRECT(CONCATENATE("'",$X19,"'!",$V$2))</f>
        <v>2024</v>
      </c>
      <c r="AA18" cm="1">
        <f t="array" aca="1" ref="AA18:BG18" ca="1">_xlfn.SEQUENCE(,$V$1-1,$Z$9+1,1)</f>
        <v>2025</v>
      </c>
      <c r="AB18">
        <f ca="1"/>
        <v>2026</v>
      </c>
      <c r="AC18">
        <f ca="1"/>
        <v>2027</v>
      </c>
      <c r="AD18">
        <f ca="1"/>
        <v>2028</v>
      </c>
      <c r="AE18">
        <f ca="1"/>
        <v>2029</v>
      </c>
      <c r="AF18">
        <f ca="1"/>
        <v>2030</v>
      </c>
      <c r="AG18">
        <f ca="1"/>
        <v>2031</v>
      </c>
      <c r="AH18">
        <f ca="1"/>
        <v>2032</v>
      </c>
      <c r="AI18">
        <f ca="1"/>
        <v>2033</v>
      </c>
      <c r="AJ18">
        <f ca="1"/>
        <v>2034</v>
      </c>
      <c r="AK18">
        <f ca="1"/>
        <v>2035</v>
      </c>
      <c r="AL18">
        <f ca="1"/>
        <v>2036</v>
      </c>
      <c r="AM18">
        <f ca="1"/>
        <v>2037</v>
      </c>
      <c r="AN18">
        <f ca="1"/>
        <v>2038</v>
      </c>
      <c r="AO18">
        <f ca="1"/>
        <v>2039</v>
      </c>
      <c r="AP18">
        <f ca="1"/>
        <v>2040</v>
      </c>
      <c r="AQ18">
        <f ca="1"/>
        <v>2041</v>
      </c>
      <c r="AR18">
        <f ca="1"/>
        <v>2042</v>
      </c>
      <c r="AS18">
        <f ca="1"/>
        <v>2043</v>
      </c>
      <c r="AT18">
        <f ca="1"/>
        <v>2044</v>
      </c>
      <c r="AU18">
        <f ca="1"/>
        <v>2045</v>
      </c>
      <c r="AV18">
        <f ca="1"/>
        <v>2046</v>
      </c>
      <c r="AW18">
        <f ca="1"/>
        <v>2047</v>
      </c>
      <c r="AX18">
        <f ca="1"/>
        <v>2048</v>
      </c>
      <c r="AY18">
        <f ca="1"/>
        <v>2049</v>
      </c>
      <c r="AZ18">
        <f ca="1"/>
        <v>2050</v>
      </c>
      <c r="BA18">
        <f ca="1"/>
        <v>2051</v>
      </c>
      <c r="BB18">
        <f ca="1"/>
        <v>2052</v>
      </c>
      <c r="BC18">
        <f ca="1"/>
        <v>2053</v>
      </c>
      <c r="BD18">
        <f ca="1"/>
        <v>2054</v>
      </c>
      <c r="BE18">
        <f ca="1"/>
        <v>2055</v>
      </c>
      <c r="BF18">
        <f ca="1"/>
        <v>2056</v>
      </c>
      <c r="BG18">
        <f ca="1"/>
        <v>2057</v>
      </c>
    </row>
    <row r="19" spans="23:80" ht="14.45" customHeight="1" x14ac:dyDescent="0.25">
      <c r="W19" s="1" t="s">
        <v>303</v>
      </c>
      <c r="X19" s="1" t="s">
        <v>265</v>
      </c>
      <c r="Y19" t="str" cm="1">
        <f t="array" aca="1" ref="Y19" ca="1">INDIRECT(CONCATENATE("'",$X19,"'!",Y$9))</f>
        <v>Kapitalbezug von Einkauf</v>
      </c>
      <c r="Z19" s="128" cm="1">
        <f t="array" aca="1" ref="Z19:BG19" ca="1">-OFFSET(INDIRECT(CONCATENATE("'",$X19,"'!",$W19)),,,,$V$1)</f>
        <v>33834.248384061349</v>
      </c>
      <c r="AA19" s="128">
        <f ca="1"/>
        <v>34519.169633358382</v>
      </c>
      <c r="AB19" s="128">
        <f ca="1"/>
        <v>35478.789347884755</v>
      </c>
      <c r="AC19" s="128">
        <f ca="1"/>
        <v>35602.824739200187</v>
      </c>
      <c r="AD19" s="128">
        <f ca="1"/>
        <v>41833.152519685893</v>
      </c>
      <c r="AE19" s="128">
        <f ca="1"/>
        <v>53400.169140352562</v>
      </c>
      <c r="AF19" s="128">
        <f ca="1"/>
        <v>49872.587501921502</v>
      </c>
      <c r="AG19" s="128">
        <f ca="1"/>
        <v>30012.886939588148</v>
      </c>
      <c r="AH19" s="128">
        <f ca="1"/>
        <v>28069.518700696128</v>
      </c>
      <c r="AI19" s="128">
        <f ca="1"/>
        <v>30537.866012313094</v>
      </c>
      <c r="AJ19" s="128">
        <f ca="1"/>
        <v>30658.856971913283</v>
      </c>
      <c r="AK19" s="128">
        <f ca="1"/>
        <v>30757.031998835955</v>
      </c>
      <c r="AL19" s="128">
        <f ca="1"/>
        <v>30849.572984911381</v>
      </c>
      <c r="AM19" s="128">
        <f ca="1"/>
        <v>30922.878350867908</v>
      </c>
      <c r="AN19" s="128">
        <f ca="1"/>
        <v>30983.853178333015</v>
      </c>
      <c r="AO19" s="128">
        <f ca="1"/>
        <v>31031.403270502029</v>
      </c>
      <c r="AP19" s="128">
        <f ca="1"/>
        <v>31058.702466596882</v>
      </c>
      <c r="AQ19" s="128">
        <f ca="1"/>
        <v>31071.502901967728</v>
      </c>
      <c r="AR19" s="128">
        <f ca="1"/>
        <v>31069.237383738306</v>
      </c>
      <c r="AS19" s="128">
        <f ca="1"/>
        <v>31051.307195099565</v>
      </c>
      <c r="AT19" s="128">
        <f ca="1"/>
        <v>31017.095500612511</v>
      </c>
      <c r="AU19" s="128">
        <f ca="1"/>
        <v>30959.700934632685</v>
      </c>
      <c r="AV19" s="128">
        <f ca="1"/>
        <v>30884.798840588817</v>
      </c>
      <c r="AW19" s="128">
        <f ca="1"/>
        <v>30792.303899958948</v>
      </c>
      <c r="AX19" s="128">
        <f ca="1"/>
        <v>30674.142326218793</v>
      </c>
      <c r="AY19" s="128">
        <f ca="1"/>
        <v>30536.496070236793</v>
      </c>
      <c r="AZ19" s="128">
        <f ca="1"/>
        <v>30379.223537339145</v>
      </c>
      <c r="BA19" s="128">
        <f ca="1"/>
        <v>30194.2384088947</v>
      </c>
      <c r="BB19" s="128">
        <f ca="1"/>
        <v>29987.635692311251</v>
      </c>
      <c r="BC19" s="128">
        <f ca="1"/>
        <v>29758.649783227102</v>
      </c>
      <c r="BD19" s="128">
        <f ca="1"/>
        <v>29499.767825574509</v>
      </c>
      <c r="BE19" s="128">
        <f ca="1"/>
        <v>29216.977786553525</v>
      </c>
      <c r="BF19" s="128">
        <f ca="1"/>
        <v>28903.349531011736</v>
      </c>
      <c r="BG19" s="128">
        <f ca="1"/>
        <v>28566.985536269203</v>
      </c>
      <c r="BH19" s="128"/>
      <c r="BI19" s="128"/>
      <c r="BJ19" s="128"/>
      <c r="BK19" s="128"/>
      <c r="BL19" s="128"/>
      <c r="BM19" s="128"/>
      <c r="BN19" s="128"/>
      <c r="BO19" s="128"/>
      <c r="BP19" s="128"/>
      <c r="BQ19" s="128"/>
      <c r="BR19" s="128"/>
      <c r="BS19" s="128"/>
      <c r="BT19" s="128"/>
      <c r="BU19" s="128"/>
      <c r="BV19" s="128"/>
      <c r="BW19" s="128"/>
      <c r="BX19" s="128"/>
      <c r="BY19" s="128"/>
      <c r="BZ19" s="128"/>
      <c r="CA19" s="128"/>
      <c r="CB19" s="128"/>
    </row>
    <row r="20" spans="23:80" x14ac:dyDescent="0.25">
      <c r="W20" s="1" t="s">
        <v>303</v>
      </c>
      <c r="X20" s="1" t="s">
        <v>320</v>
      </c>
      <c r="Y20" t="str" cm="1">
        <f t="array" aca="1" ref="Y20" ca="1">INDIRECT(CONCATENATE("'",$X20,"'!",Y$9))</f>
        <v>Kapitalbezug 230 TCHF von Alterskapital (und Einkauf)</v>
      </c>
      <c r="Z20" s="128" cm="1">
        <f t="array" aca="1" ref="Z20:BG20" ca="1">-OFFSET(INDIRECT(CONCATENATE("'",$X20,"'!",$W20)),,,,$V$1)</f>
        <v>33834.248384061349</v>
      </c>
      <c r="AA20" s="128">
        <f ca="1"/>
        <v>34519.169633358382</v>
      </c>
      <c r="AB20" s="128">
        <f ca="1"/>
        <v>35478.789347884755</v>
      </c>
      <c r="AC20" s="128">
        <f ca="1"/>
        <v>35602.824739200187</v>
      </c>
      <c r="AD20" s="128">
        <f ca="1"/>
        <v>51288.985508082507</v>
      </c>
      <c r="AE20" s="128">
        <f ca="1"/>
        <v>64139.886832884782</v>
      </c>
      <c r="AF20" s="128">
        <f ca="1"/>
        <v>46614.723957514158</v>
      </c>
      <c r="AG20" s="128">
        <f ca="1"/>
        <v>27972.952124023344</v>
      </c>
      <c r="AH20" s="128">
        <f ca="1"/>
        <v>26015.491352604618</v>
      </c>
      <c r="AI20" s="128">
        <f ca="1"/>
        <v>28279.338999251642</v>
      </c>
      <c r="AJ20" s="128">
        <f ca="1"/>
        <v>28329.92411866604</v>
      </c>
      <c r="AK20" s="128">
        <f ca="1"/>
        <v>28358.822462667285</v>
      </c>
      <c r="AL20" s="128">
        <f ca="1"/>
        <v>28379.829079009705</v>
      </c>
      <c r="AM20" s="128">
        <f ca="1"/>
        <v>28382.162761326843</v>
      </c>
      <c r="AN20" s="128">
        <f ca="1"/>
        <v>28370.425629575762</v>
      </c>
      <c r="AO20" s="128">
        <f ca="1"/>
        <v>28338.955087505197</v>
      </c>
      <c r="AP20" s="128">
        <f ca="1"/>
        <v>28297.448745355206</v>
      </c>
      <c r="AQ20" s="128">
        <f ca="1"/>
        <v>28235.571010129799</v>
      </c>
      <c r="AR20" s="128">
        <f ca="1"/>
        <v>28156.834012085124</v>
      </c>
      <c r="AS20" s="128">
        <f ca="1"/>
        <v>28056.044589355723</v>
      </c>
      <c r="AT20" s="128">
        <f ca="1"/>
        <v>27943.307066158664</v>
      </c>
      <c r="AU20" s="128">
        <f ca="1"/>
        <v>27801.656765099895</v>
      </c>
      <c r="AV20" s="128">
        <f ca="1"/>
        <v>27646.762636153264</v>
      </c>
      <c r="AW20" s="128">
        <f ca="1"/>
        <v>27466.757691061397</v>
      </c>
      <c r="AX20" s="128">
        <f ca="1"/>
        <v>27266.546141584768</v>
      </c>
      <c r="AY20" s="128">
        <f ca="1"/>
        <v>27045.407744180469</v>
      </c>
      <c r="AZ20" s="128">
        <f ca="1"/>
        <v>26797.59042628602</v>
      </c>
      <c r="BA20" s="128">
        <f ca="1"/>
        <v>26526.901796932452</v>
      </c>
      <c r="BB20" s="128">
        <f ca="1"/>
        <v>26233.56270198882</v>
      </c>
      <c r="BC20" s="128">
        <f ca="1"/>
        <v>25910.338549254851</v>
      </c>
      <c r="BD20" s="128">
        <f ca="1"/>
        <v>25557.024918326912</v>
      </c>
      <c r="BE20" s="128">
        <f ca="1"/>
        <v>25183.64530567906</v>
      </c>
      <c r="BF20" s="128">
        <f ca="1"/>
        <v>24772.722983518215</v>
      </c>
      <c r="BG20" s="128">
        <f ca="1"/>
        <v>24339.540268697132</v>
      </c>
      <c r="BH20" s="128"/>
      <c r="BI20" s="128"/>
      <c r="BJ20" s="128"/>
      <c r="BK20" s="128"/>
      <c r="BL20" s="128"/>
      <c r="BM20" s="128"/>
      <c r="BN20" s="128"/>
      <c r="BO20" s="128"/>
      <c r="BP20" s="128"/>
      <c r="BQ20" s="128"/>
      <c r="BR20" s="128"/>
      <c r="BS20" s="128"/>
      <c r="BT20" s="128"/>
      <c r="BU20" s="128"/>
      <c r="BV20" s="128"/>
      <c r="BW20" s="128"/>
      <c r="BX20" s="128"/>
      <c r="BY20" s="128"/>
      <c r="BZ20" s="128"/>
      <c r="CA20" s="128"/>
      <c r="CB20" s="128"/>
    </row>
    <row r="21" spans="23:80" x14ac:dyDescent="0.25">
      <c r="W21" s="1" t="s">
        <v>303</v>
      </c>
      <c r="X21" s="1" t="s">
        <v>321</v>
      </c>
      <c r="Y21" t="str" cm="1">
        <f t="array" aca="1" ref="Y21" ca="1">INDIRECT(CONCATENATE("'",$X21,"'!",Y$9))</f>
        <v>Kapitalbezug 500 TCHF von Alterskapital (und Einkauf)</v>
      </c>
      <c r="Z21" s="128" cm="1">
        <f t="array" aca="1" ref="Z21:BG21" ca="1">-OFFSET(INDIRECT(CONCATENATE("'",$X21,"'!",$W21)),,,,$V$1)</f>
        <v>33834.248384061349</v>
      </c>
      <c r="AA21" s="128">
        <f ca="1"/>
        <v>34519.169633358382</v>
      </c>
      <c r="AB21" s="128">
        <f ca="1"/>
        <v>35478.789347884755</v>
      </c>
      <c r="AC21" s="128">
        <f ca="1"/>
        <v>35602.824739200187</v>
      </c>
      <c r="AD21" s="128">
        <f ca="1"/>
        <v>51288.985508082507</v>
      </c>
      <c r="AE21" s="128">
        <f ca="1"/>
        <v>91819.050344451374</v>
      </c>
      <c r="AF21" s="128">
        <f ca="1"/>
        <v>44499.955654079837</v>
      </c>
      <c r="AG21" s="128">
        <f ca="1"/>
        <v>26751.52744053716</v>
      </c>
      <c r="AH21" s="128">
        <f ca="1"/>
        <v>24889.514942072241</v>
      </c>
      <c r="AI21" s="128">
        <f ca="1"/>
        <v>26922.120176740747</v>
      </c>
      <c r="AJ21" s="128">
        <f ca="1"/>
        <v>26923.292381636878</v>
      </c>
      <c r="AK21" s="128">
        <f ca="1"/>
        <v>26906.64844854287</v>
      </c>
      <c r="AL21" s="128">
        <f ca="1"/>
        <v>26875.56156743773</v>
      </c>
      <c r="AM21" s="128">
        <f ca="1"/>
        <v>26823.915927311438</v>
      </c>
      <c r="AN21" s="128">
        <f ca="1"/>
        <v>26757.213168557908</v>
      </c>
      <c r="AO21" s="128">
        <f ca="1"/>
        <v>26673.942226407027</v>
      </c>
      <c r="AP21" s="128">
        <f ca="1"/>
        <v>26568.421704396722</v>
      </c>
      <c r="AQ21" s="128">
        <f ca="1"/>
        <v>26451.159994151534</v>
      </c>
      <c r="AR21" s="128">
        <f ca="1"/>
        <v>26310.412867698011</v>
      </c>
      <c r="AS21" s="128">
        <f ca="1"/>
        <v>26145.594132965136</v>
      </c>
      <c r="AT21" s="128">
        <f ca="1"/>
        <v>25967.102869685761</v>
      </c>
      <c r="AU21" s="128">
        <f ca="1"/>
        <v>25763.222980227187</v>
      </c>
      <c r="AV21" s="128">
        <f ca="1"/>
        <v>25541.083571615956</v>
      </c>
      <c r="AW21" s="128">
        <f ca="1"/>
        <v>25306.131071538202</v>
      </c>
      <c r="AX21" s="128">
        <f ca="1"/>
        <v>25044.726982762306</v>
      </c>
      <c r="AY21" s="128">
        <f ca="1"/>
        <v>24755.33476917517</v>
      </c>
      <c r="AZ21" s="128">
        <f ca="1"/>
        <v>24443.589677464552</v>
      </c>
      <c r="BA21" s="128">
        <f ca="1"/>
        <v>24108.284429791547</v>
      </c>
      <c r="BB21" s="128">
        <f ca="1"/>
        <v>23742.911056966717</v>
      </c>
      <c r="BC21" s="128">
        <f ca="1"/>
        <v>23352.506835135973</v>
      </c>
      <c r="BD21" s="128">
        <f ca="1"/>
        <v>22936.261406680092</v>
      </c>
      <c r="BE21" s="128">
        <f ca="1"/>
        <v>22487.736945911594</v>
      </c>
      <c r="BF21" s="128">
        <f ca="1"/>
        <v>22005.403142049847</v>
      </c>
      <c r="BG21" s="128">
        <f ca="1"/>
        <v>21494.535687679523</v>
      </c>
      <c r="BH21" s="128"/>
      <c r="BI21" s="128"/>
      <c r="BJ21" s="128"/>
      <c r="BK21" s="128"/>
      <c r="BL21" s="128"/>
      <c r="BM21" s="128"/>
      <c r="BN21" s="128"/>
      <c r="BO21" s="128"/>
      <c r="BP21" s="128"/>
      <c r="BQ21" s="128"/>
      <c r="BR21" s="128"/>
      <c r="BS21" s="128"/>
      <c r="BT21" s="128"/>
      <c r="BU21" s="128"/>
      <c r="BV21" s="128"/>
      <c r="BW21" s="128"/>
      <c r="BX21" s="128"/>
      <c r="BY21" s="128"/>
      <c r="BZ21" s="128"/>
      <c r="CA21" s="128"/>
      <c r="CB21" s="128"/>
    </row>
    <row r="22" spans="23:80" x14ac:dyDescent="0.25">
      <c r="Z22" s="128"/>
      <c r="AA22" s="128"/>
      <c r="AB22" s="128"/>
      <c r="AC22" s="128"/>
      <c r="AD22" s="128"/>
      <c r="AE22" s="128"/>
      <c r="AF22" s="128"/>
      <c r="AG22" s="128"/>
      <c r="AH22" s="128"/>
      <c r="AI22" s="128"/>
      <c r="AJ22" s="128"/>
      <c r="AK22" s="128"/>
      <c r="AL22" s="128"/>
      <c r="AM22" s="128"/>
      <c r="AN22" s="128"/>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c r="BS22" s="128"/>
      <c r="BT22" s="128"/>
      <c r="BU22" s="128"/>
      <c r="BV22" s="128"/>
      <c r="BW22" s="128"/>
      <c r="BX22" s="128"/>
      <c r="BY22" s="128"/>
      <c r="BZ22" s="128"/>
      <c r="CA22" s="128"/>
      <c r="CB22" s="128"/>
    </row>
    <row r="23" spans="23:80" collapsed="1" x14ac:dyDescent="0.25">
      <c r="Z23" s="128"/>
      <c r="AA23" s="128"/>
      <c r="AB23" s="128"/>
      <c r="AC23" s="128"/>
      <c r="AD23" s="128"/>
      <c r="AE23" s="128"/>
      <c r="AF23" s="128"/>
      <c r="AG23" s="128"/>
      <c r="AH23" s="128"/>
      <c r="AI23" s="128"/>
      <c r="AJ23" s="128"/>
      <c r="AK23" s="128"/>
      <c r="AL23" s="128"/>
      <c r="AM23" s="128"/>
      <c r="AN23" s="128"/>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c r="BS23" s="128"/>
      <c r="BT23" s="128"/>
      <c r="BU23" s="128"/>
      <c r="BV23" s="128"/>
      <c r="BW23" s="128"/>
      <c r="BX23" s="128"/>
      <c r="BY23" s="128"/>
      <c r="BZ23" s="128"/>
      <c r="CA23" s="128"/>
      <c r="CB23" s="128"/>
    </row>
    <row r="24" spans="23:80" x14ac:dyDescent="0.25">
      <c r="Z24" s="128"/>
      <c r="AA24" s="128"/>
      <c r="AB24" s="128"/>
      <c r="AC24" s="128"/>
      <c r="AD24" s="128"/>
      <c r="AE24" s="128"/>
      <c r="AF24" s="128"/>
      <c r="AG24" s="128"/>
      <c r="AH24" s="128"/>
      <c r="AI24" s="128"/>
      <c r="AJ24" s="128"/>
      <c r="AK24" s="128"/>
      <c r="AL24" s="128"/>
      <c r="AM24" s="128"/>
      <c r="AN24" s="128"/>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c r="BS24" s="128"/>
      <c r="BT24" s="128"/>
      <c r="BU24" s="128"/>
      <c r="BV24" s="128"/>
      <c r="BW24" s="128"/>
      <c r="BX24" s="128"/>
      <c r="BY24" s="128"/>
      <c r="BZ24" s="128"/>
      <c r="CA24" s="128"/>
      <c r="CB24" s="128"/>
    </row>
    <row r="27" spans="23:80" ht="11.45" customHeight="1" x14ac:dyDescent="0.25"/>
    <row r="31" spans="23:80" ht="11.45" customHeight="1" x14ac:dyDescent="0.25"/>
    <row r="34" spans="2:11" x14ac:dyDescent="0.25">
      <c r="K34" s="10"/>
    </row>
    <row r="35" spans="2:11" x14ac:dyDescent="0.25">
      <c r="K35" s="10"/>
    </row>
    <row r="36" spans="2:11" x14ac:dyDescent="0.25">
      <c r="B36" s="114"/>
      <c r="C36" s="114"/>
      <c r="D36" s="114"/>
      <c r="E36" s="114"/>
      <c r="F36" s="114"/>
      <c r="G36" s="114"/>
      <c r="H36" s="114"/>
      <c r="I36" s="10"/>
      <c r="J36" s="10"/>
      <c r="K36" s="10"/>
    </row>
    <row r="37" spans="2:11" x14ac:dyDescent="0.25">
      <c r="B37" s="115"/>
      <c r="C37" s="10"/>
      <c r="D37" s="10"/>
      <c r="E37" s="10"/>
      <c r="F37" s="10"/>
      <c r="G37" s="10"/>
      <c r="H37" s="10"/>
      <c r="I37" s="10"/>
      <c r="J37" s="10"/>
      <c r="K37" s="10"/>
    </row>
  </sheetData>
  <pageMargins left="0.7" right="0.7" top="0.78740157499999996" bottom="0.78740157499999996" header="0.3" footer="0.3"/>
  <pageSetup paperSize="9" orientation="landscape" horizontalDpi="300" verticalDpi="3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1ED0C-4A50-4952-8E9B-664ED67A3E92}">
  <sheetPr codeName="Tabelle12"/>
  <dimension ref="A1:C25"/>
  <sheetViews>
    <sheetView zoomScaleNormal="100" workbookViewId="0">
      <selection activeCell="B3" sqref="B3"/>
    </sheetView>
  </sheetViews>
  <sheetFormatPr baseColWidth="10" defaultRowHeight="15" x14ac:dyDescent="0.25"/>
  <cols>
    <col min="1" max="1" width="24.7109375" customWidth="1"/>
    <col min="2" max="2" width="51.7109375" customWidth="1"/>
    <col min="3" max="3" width="53.5703125" customWidth="1"/>
  </cols>
  <sheetData>
    <row r="1" spans="1:3" ht="30" customHeight="1" x14ac:dyDescent="0.25">
      <c r="A1" s="26" t="s">
        <v>210</v>
      </c>
    </row>
    <row r="3" spans="1:3" x14ac:dyDescent="0.25">
      <c r="B3" s="31" t="s">
        <v>181</v>
      </c>
      <c r="C3" s="31" t="s">
        <v>182</v>
      </c>
    </row>
    <row r="5" spans="1:3" x14ac:dyDescent="0.25">
      <c r="A5" s="31" t="s">
        <v>183</v>
      </c>
      <c r="B5" s="98" t="s">
        <v>195</v>
      </c>
      <c r="C5" s="98" t="s">
        <v>198</v>
      </c>
    </row>
    <row r="6" spans="1:3" x14ac:dyDescent="0.25">
      <c r="B6" s="99"/>
      <c r="C6" s="99"/>
    </row>
    <row r="7" spans="1:3" x14ac:dyDescent="0.25">
      <c r="A7" s="31" t="s">
        <v>184</v>
      </c>
      <c r="B7" s="98" t="s">
        <v>196</v>
      </c>
      <c r="C7" s="98" t="s">
        <v>199</v>
      </c>
    </row>
    <row r="8" spans="1:3" x14ac:dyDescent="0.25">
      <c r="B8" s="99"/>
      <c r="C8" s="99"/>
    </row>
    <row r="9" spans="1:3" x14ac:dyDescent="0.25">
      <c r="A9" s="31" t="s">
        <v>185</v>
      </c>
      <c r="B9" s="98" t="s">
        <v>197</v>
      </c>
      <c r="C9" s="98" t="s">
        <v>200</v>
      </c>
    </row>
    <row r="10" spans="1:3" x14ac:dyDescent="0.25">
      <c r="B10" s="99"/>
      <c r="C10" s="99"/>
    </row>
    <row r="11" spans="1:3" x14ac:dyDescent="0.25">
      <c r="B11" s="99"/>
      <c r="C11" s="99"/>
    </row>
    <row r="12" spans="1:3" x14ac:dyDescent="0.25">
      <c r="B12" s="99"/>
      <c r="C12" s="99"/>
    </row>
    <row r="13" spans="1:3" x14ac:dyDescent="0.25">
      <c r="A13" s="31" t="s">
        <v>186</v>
      </c>
      <c r="B13" s="98"/>
      <c r="C13" s="98"/>
    </row>
    <row r="14" spans="1:3" x14ac:dyDescent="0.25">
      <c r="A14" s="92" t="s">
        <v>187</v>
      </c>
      <c r="B14" s="98" t="s">
        <v>201</v>
      </c>
      <c r="C14" s="98" t="s">
        <v>203</v>
      </c>
    </row>
    <row r="15" spans="1:3" x14ac:dyDescent="0.25">
      <c r="A15" s="92" t="s">
        <v>188</v>
      </c>
      <c r="B15" s="98" t="s">
        <v>202</v>
      </c>
      <c r="C15" s="98"/>
    </row>
    <row r="16" spans="1:3" x14ac:dyDescent="0.25">
      <c r="B16" s="99"/>
      <c r="C16" s="99"/>
    </row>
    <row r="17" spans="1:3" x14ac:dyDescent="0.25">
      <c r="B17" s="99"/>
      <c r="C17" s="99"/>
    </row>
    <row r="18" spans="1:3" x14ac:dyDescent="0.25">
      <c r="A18" s="31" t="s">
        <v>189</v>
      </c>
      <c r="B18" s="98"/>
      <c r="C18" s="98"/>
    </row>
    <row r="19" spans="1:3" x14ac:dyDescent="0.25">
      <c r="A19" s="92" t="s">
        <v>190</v>
      </c>
      <c r="B19" s="100" t="s">
        <v>67</v>
      </c>
      <c r="C19" s="98" t="s">
        <v>205</v>
      </c>
    </row>
    <row r="20" spans="1:3" x14ac:dyDescent="0.25">
      <c r="A20" s="92" t="s">
        <v>191</v>
      </c>
      <c r="B20" s="98" t="s">
        <v>204</v>
      </c>
      <c r="C20" s="98" t="s">
        <v>206</v>
      </c>
    </row>
    <row r="21" spans="1:3" x14ac:dyDescent="0.25">
      <c r="A21" s="92" t="s">
        <v>192</v>
      </c>
      <c r="B21" s="100" t="s">
        <v>67</v>
      </c>
      <c r="C21" s="98" t="s">
        <v>207</v>
      </c>
    </row>
    <row r="22" spans="1:3" x14ac:dyDescent="0.25">
      <c r="B22" s="99"/>
      <c r="C22" s="99"/>
    </row>
    <row r="23" spans="1:3" x14ac:dyDescent="0.25">
      <c r="A23" s="31" t="s">
        <v>193</v>
      </c>
      <c r="B23" s="98" t="s">
        <v>209</v>
      </c>
      <c r="C23" s="98" t="s">
        <v>208</v>
      </c>
    </row>
    <row r="24" spans="1:3" x14ac:dyDescent="0.25">
      <c r="B24" s="99"/>
      <c r="C24" s="99"/>
    </row>
    <row r="25" spans="1:3" x14ac:dyDescent="0.25">
      <c r="A25" s="108" t="s">
        <v>194</v>
      </c>
    </row>
  </sheetData>
  <pageMargins left="0.7" right="0.7" top="0.78740157499999996" bottom="0.78740157499999996" header="0.3" footer="0.3"/>
  <pageSetup paperSize="9" orientation="landscape" horizontalDpi="300" verticalDpi="300" r:id="rId1"/>
  <customProperties>
    <customPr name="EpmWorksheetKeyString_GUID"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CD217-488D-494D-887E-AB8775F34543}">
  <sheetPr codeName="Tabelle15"/>
  <dimension ref="A1:Z31"/>
  <sheetViews>
    <sheetView zoomScaleNormal="100" zoomScaleSheetLayoutView="115" workbookViewId="0">
      <selection activeCell="B3" sqref="B3"/>
    </sheetView>
  </sheetViews>
  <sheetFormatPr baseColWidth="10" defaultRowHeight="15" x14ac:dyDescent="0.25"/>
  <cols>
    <col min="1" max="1" width="30" customWidth="1"/>
    <col min="2" max="2" width="3.42578125" customWidth="1"/>
    <col min="3" max="4" width="8.42578125" customWidth="1"/>
    <col min="5" max="5" width="3.42578125" customWidth="1"/>
    <col min="6" max="14" width="8.42578125" customWidth="1"/>
    <col min="15" max="15" width="10.85546875" customWidth="1"/>
    <col min="25" max="25" width="23.28515625" bestFit="1" customWidth="1"/>
  </cols>
  <sheetData>
    <row r="1" spans="1:26" ht="30" customHeight="1" x14ac:dyDescent="0.25">
      <c r="A1" s="26" t="s">
        <v>298</v>
      </c>
      <c r="B1" s="26"/>
      <c r="C1" s="26"/>
      <c r="D1" s="26"/>
      <c r="E1" s="26"/>
      <c r="G1" s="117"/>
      <c r="Y1" t="s">
        <v>264</v>
      </c>
      <c r="Z1" s="1" t="s">
        <v>321</v>
      </c>
    </row>
    <row r="2" spans="1:26" ht="11.45" customHeight="1" x14ac:dyDescent="0.25">
      <c r="Y2" t="s">
        <v>266</v>
      </c>
      <c r="Z2" s="1">
        <v>9</v>
      </c>
    </row>
    <row r="3" spans="1:26" x14ac:dyDescent="0.25">
      <c r="A3" s="31" t="s">
        <v>79</v>
      </c>
      <c r="B3" s="31"/>
      <c r="C3" s="144" t="s">
        <v>310</v>
      </c>
      <c r="D3" s="144"/>
      <c r="E3" s="31"/>
      <c r="F3" s="31" cm="1">
        <f t="array" aca="1" ref="F3:N3" ca="1">_xlfn.SEQUENCE(,$Z$2,$Z$5,1)</f>
        <v>2024</v>
      </c>
      <c r="G3" s="31">
        <f ca="1"/>
        <v>2025</v>
      </c>
      <c r="H3" s="31">
        <f ca="1"/>
        <v>2026</v>
      </c>
      <c r="I3" s="31">
        <f ca="1"/>
        <v>2027</v>
      </c>
      <c r="J3" s="31">
        <f ca="1"/>
        <v>2028</v>
      </c>
      <c r="K3" s="31">
        <f ca="1"/>
        <v>2029</v>
      </c>
      <c r="L3" s="31">
        <f ca="1"/>
        <v>2030</v>
      </c>
      <c r="M3" s="31">
        <f ca="1"/>
        <v>2031</v>
      </c>
      <c r="N3" s="31">
        <f ca="1"/>
        <v>2032</v>
      </c>
      <c r="Y3" t="s">
        <v>276</v>
      </c>
      <c r="Z3" s="78">
        <v>0.01</v>
      </c>
    </row>
    <row r="4" spans="1:26" ht="15" customHeight="1" x14ac:dyDescent="0.25">
      <c r="A4" s="34" t="str">
        <f>PD_Bez1</f>
        <v>Sheldon</v>
      </c>
      <c r="B4" s="34"/>
      <c r="C4" s="34"/>
      <c r="D4" s="34"/>
      <c r="E4" s="34"/>
      <c r="F4" s="104" cm="1">
        <f t="array" aca="1" ref="F4:N4" ca="1">_xlfn.ANCHORARRAY(F$3)-PD_Geb1</f>
        <v>58</v>
      </c>
      <c r="G4" s="104">
        <f ca="1"/>
        <v>59</v>
      </c>
      <c r="H4" s="104">
        <f ca="1"/>
        <v>60</v>
      </c>
      <c r="I4" s="104">
        <f ca="1"/>
        <v>61</v>
      </c>
      <c r="J4" s="104">
        <f ca="1"/>
        <v>62</v>
      </c>
      <c r="K4" s="104">
        <f ca="1"/>
        <v>63</v>
      </c>
      <c r="L4" s="104">
        <f ca="1"/>
        <v>64</v>
      </c>
      <c r="M4" s="104">
        <f ca="1"/>
        <v>65</v>
      </c>
      <c r="N4" s="104">
        <f ca="1"/>
        <v>66</v>
      </c>
      <c r="Y4" t="s">
        <v>267</v>
      </c>
      <c r="Z4" t="str" cm="1">
        <f t="array" aca="1" ref="Z4" ca="1">INDIRECT(CONCATENATE("'",$Z$1,"'!",Y4))</f>
        <v>Kapitalbezug 500 TCHF von Alterskapital (und Einkauf)</v>
      </c>
    </row>
    <row r="5" spans="1:26" x14ac:dyDescent="0.25">
      <c r="A5" s="34" t="str">
        <f>+PD_Bez2</f>
        <v>Amy</v>
      </c>
      <c r="B5" s="34"/>
      <c r="C5" s="34"/>
      <c r="D5" s="34"/>
      <c r="E5" s="34"/>
      <c r="F5" s="104" cm="1">
        <f t="array" aca="1" ref="F5:N5" ca="1">_xlfn.ANCHORARRAY(F$3)-PD_Geb2</f>
        <v>61</v>
      </c>
      <c r="G5" s="104">
        <f ca="1"/>
        <v>62</v>
      </c>
      <c r="H5" s="104">
        <f ca="1"/>
        <v>63</v>
      </c>
      <c r="I5" s="104">
        <f ca="1"/>
        <v>64</v>
      </c>
      <c r="J5" s="104">
        <f ca="1"/>
        <v>65</v>
      </c>
      <c r="K5" s="104">
        <f ca="1"/>
        <v>66</v>
      </c>
      <c r="L5" s="104">
        <f ca="1"/>
        <v>67</v>
      </c>
      <c r="M5" s="104">
        <f ca="1"/>
        <v>68</v>
      </c>
      <c r="N5" s="104">
        <f ca="1"/>
        <v>69</v>
      </c>
      <c r="Y5" t="s">
        <v>268</v>
      </c>
      <c r="Z5" cm="1">
        <f t="array" aca="1" ref="Z5" ca="1">INDIRECT(CONCATENATE("'",$Z$1,"'!",Y5))</f>
        <v>2024</v>
      </c>
    </row>
    <row r="6" spans="1:26" x14ac:dyDescent="0.25">
      <c r="A6" s="85"/>
      <c r="B6" s="85"/>
      <c r="C6" s="85"/>
      <c r="D6" s="85"/>
      <c r="E6" s="85"/>
      <c r="F6" s="85"/>
      <c r="G6" s="85"/>
      <c r="H6" s="10"/>
      <c r="I6" s="10"/>
      <c r="J6" s="10"/>
      <c r="K6" s="10"/>
      <c r="L6" s="10"/>
      <c r="M6" s="10"/>
      <c r="N6" s="10"/>
      <c r="Y6" t="s">
        <v>270</v>
      </c>
      <c r="Z6" s="1" t="s">
        <v>297</v>
      </c>
    </row>
    <row r="7" spans="1:26" ht="17.25" x14ac:dyDescent="0.25">
      <c r="A7" s="31" t="s">
        <v>296</v>
      </c>
      <c r="B7" s="31"/>
      <c r="C7" s="31"/>
      <c r="D7" s="31"/>
      <c r="E7" s="31"/>
      <c r="F7" s="105"/>
      <c r="G7" s="105"/>
      <c r="H7" s="105"/>
      <c r="I7" s="105"/>
      <c r="J7" s="105"/>
      <c r="K7" s="105"/>
      <c r="L7" s="105"/>
      <c r="M7" s="105"/>
      <c r="N7" s="105"/>
    </row>
    <row r="8" spans="1:26" x14ac:dyDescent="0.25">
      <c r="A8" s="34" t="str">
        <f>PD_Bez1</f>
        <v>Sheldon</v>
      </c>
      <c r="B8" s="34"/>
      <c r="C8" s="125">
        <f ca="1">SUM($F8:$T8)</f>
        <v>78710.521834153187</v>
      </c>
      <c r="D8" s="104"/>
      <c r="E8" s="104"/>
      <c r="F8" s="106" cm="1">
        <f t="array" aca="1" ref="F8:N9" ca="1">OFFSET(INDIRECT(CONCATENATE("'",$Z$1,"'!",$Z6)),,,,$Z$2)</f>
        <v>0</v>
      </c>
      <c r="G8" s="106">
        <f ca="1"/>
        <v>20718.837</v>
      </c>
      <c r="H8" s="106">
        <f ca="1"/>
        <v>0</v>
      </c>
      <c r="I8" s="106">
        <f ca="1"/>
        <v>14324.385600000001</v>
      </c>
      <c r="J8" s="106">
        <f ca="1"/>
        <v>0</v>
      </c>
      <c r="K8" s="106">
        <f ca="1"/>
        <v>0</v>
      </c>
      <c r="L8" s="106">
        <f ca="1"/>
        <v>36611.299234153194</v>
      </c>
      <c r="M8" s="106">
        <f ca="1"/>
        <v>7056</v>
      </c>
      <c r="N8" s="106">
        <f ca="1"/>
        <v>0</v>
      </c>
      <c r="O8" s="10"/>
    </row>
    <row r="9" spans="1:26" x14ac:dyDescent="0.25">
      <c r="A9" s="34" t="str">
        <f>PD_Bez2</f>
        <v>Amy</v>
      </c>
      <c r="B9" s="34"/>
      <c r="C9" s="125"/>
      <c r="D9" s="125">
        <f ca="1">SUM($F9:$T9)</f>
        <v>959943.51164556562</v>
      </c>
      <c r="E9" s="104"/>
      <c r="F9" s="106">
        <f ca="1"/>
        <v>49857</v>
      </c>
      <c r="G9" s="106">
        <f ca="1"/>
        <v>21687</v>
      </c>
      <c r="H9" s="106">
        <f ca="1"/>
        <v>44092.949318999985</v>
      </c>
      <c r="I9" s="106">
        <f ca="1"/>
        <v>22427.384062499998</v>
      </c>
      <c r="J9" s="106">
        <f ca="1"/>
        <v>249000</v>
      </c>
      <c r="K9" s="106">
        <f ca="1"/>
        <v>521000</v>
      </c>
      <c r="L9" s="106">
        <f ca="1"/>
        <v>0</v>
      </c>
      <c r="M9" s="106">
        <f ca="1"/>
        <v>22724.385600000001</v>
      </c>
      <c r="N9" s="106">
        <f ca="1"/>
        <v>29154.792664065601</v>
      </c>
      <c r="O9" s="10"/>
    </row>
    <row r="10" spans="1:26" x14ac:dyDescent="0.25">
      <c r="A10" s="85"/>
      <c r="B10" s="85"/>
      <c r="C10" s="85"/>
      <c r="D10" s="85"/>
      <c r="E10" s="85"/>
      <c r="F10" s="85"/>
      <c r="G10" s="85"/>
      <c r="H10" s="10"/>
      <c r="I10" s="10"/>
      <c r="J10" s="10"/>
      <c r="K10" s="10"/>
      <c r="L10" s="10"/>
      <c r="M10" s="10"/>
      <c r="N10" s="10"/>
    </row>
    <row r="11" spans="1:26" x14ac:dyDescent="0.25">
      <c r="A11" s="31" t="s">
        <v>28</v>
      </c>
      <c r="B11" s="31"/>
      <c r="C11" s="123" cm="1">
        <f t="array" aca="1" ref="C11" ca="1">KapitalAuszSteuer(SUM(C8:C9),Ziv)</f>
        <v>3051.3419337275823</v>
      </c>
      <c r="D11" s="123" cm="1">
        <f t="array" aca="1" ref="D11" ca="1">KapitalAuszSteuer(SUM(D8:D9),Ziv)</f>
        <v>93850.990240570405</v>
      </c>
      <c r="E11" s="124"/>
      <c r="F11" s="123" cm="1">
        <f t="array" aca="1" ref="F11" ca="1">KapitalAuszSteuer(SUM(F8:F9),Ziv)</f>
        <v>1659.8461475000004</v>
      </c>
      <c r="G11" s="123" cm="1">
        <f t="array" aca="1" ref="G11" ca="1">KapitalAuszSteuer(SUM(G8:G9),Ziv)</f>
        <v>1403.0231867975001</v>
      </c>
      <c r="H11" s="123" cm="1">
        <f t="array" aca="1" ref="H11" ca="1">KapitalAuszSteuer(SUM(H8:H9),Ziv)</f>
        <v>1461.173730652632</v>
      </c>
      <c r="I11" s="123" cm="1">
        <f t="array" aca="1" ref="I11" ca="1">KapitalAuszSteuer(SUM(I8:I9),Ziv)</f>
        <v>1208.1416208422188</v>
      </c>
      <c r="J11" s="123" cm="1">
        <f t="array" aca="1" ref="J11" ca="1">KapitalAuszSteuer(SUM(J8:J9),Ziv)</f>
        <v>16207.967500000001</v>
      </c>
      <c r="K11" s="123" cm="1">
        <f t="array" aca="1" ref="K11" ca="1">KapitalAuszSteuer(SUM(K8:K9),Ziv)</f>
        <v>42902.325499999999</v>
      </c>
      <c r="L11" s="123" cm="1">
        <f t="array" aca="1" ref="L11" ca="1">KapitalAuszSteuer(SUM(L8:L9),Ziv)</f>
        <v>1203.2999563531753</v>
      </c>
      <c r="M11" s="123" cm="1">
        <f t="array" aca="1" ref="M11" ca="1">KapitalAuszSteuer(SUM(M8:M9),Ziv)</f>
        <v>966.89466946800007</v>
      </c>
      <c r="N11" s="123" cm="1">
        <f t="array" aca="1" ref="N11" ca="1">KapitalAuszSteuer(SUM(N8:N9),Ziv)</f>
        <v>946.58323082054994</v>
      </c>
    </row>
    <row r="13" spans="1:26" x14ac:dyDescent="0.25">
      <c r="A13" s="31" t="s">
        <v>278</v>
      </c>
      <c r="B13" s="31"/>
      <c r="C13" s="126">
        <f ca="1">SUM(C11:D11)-SUM(F11:P11)</f>
        <v>28943.076631863907</v>
      </c>
    </row>
    <row r="14" spans="1:26" ht="15" customHeight="1" x14ac:dyDescent="0.25">
      <c r="G14" s="140"/>
      <c r="H14" s="140"/>
      <c r="I14" s="140"/>
      <c r="J14" s="140"/>
      <c r="K14" s="140"/>
      <c r="L14" s="140"/>
      <c r="M14" s="140"/>
      <c r="N14" s="140"/>
    </row>
    <row r="15" spans="1:26" ht="15" customHeight="1" x14ac:dyDescent="0.25">
      <c r="G15" s="140"/>
      <c r="H15" s="140"/>
      <c r="I15" s="140"/>
      <c r="J15" s="140"/>
      <c r="K15" s="140"/>
      <c r="L15" s="140"/>
      <c r="M15" s="140"/>
      <c r="N15" s="140"/>
    </row>
    <row r="16" spans="1:26" ht="15" customHeight="1" x14ac:dyDescent="0.25">
      <c r="G16" s="140"/>
      <c r="H16" s="140"/>
      <c r="I16" s="140"/>
      <c r="J16" s="140"/>
      <c r="K16" s="140"/>
      <c r="L16" s="140"/>
      <c r="M16" s="140"/>
      <c r="N16" s="140"/>
    </row>
    <row r="17" spans="1:15" ht="15" customHeight="1" x14ac:dyDescent="0.25">
      <c r="G17" s="140"/>
      <c r="H17" s="140"/>
      <c r="I17" s="140"/>
      <c r="J17" s="140"/>
      <c r="K17" s="140"/>
      <c r="L17" s="140"/>
      <c r="M17" s="140"/>
      <c r="N17" s="140"/>
    </row>
    <row r="18" spans="1:15" ht="15" customHeight="1" x14ac:dyDescent="0.25">
      <c r="G18" s="140"/>
      <c r="H18" s="140"/>
      <c r="I18" s="140"/>
      <c r="J18" s="140"/>
      <c r="K18" s="140"/>
      <c r="L18" s="140"/>
      <c r="M18" s="140"/>
      <c r="N18" s="140"/>
    </row>
    <row r="19" spans="1:15" ht="15" customHeight="1" x14ac:dyDescent="0.25">
      <c r="G19" s="140"/>
      <c r="H19" s="140"/>
      <c r="I19" s="140"/>
      <c r="J19" s="140"/>
      <c r="K19" s="140"/>
      <c r="L19" s="140"/>
      <c r="M19" s="140"/>
      <c r="N19" s="140"/>
    </row>
    <row r="20" spans="1:15" ht="15" customHeight="1" x14ac:dyDescent="0.25">
      <c r="G20" s="140"/>
      <c r="H20" s="140"/>
      <c r="I20" s="140"/>
      <c r="J20" s="140"/>
      <c r="K20" s="140"/>
      <c r="L20" s="140"/>
      <c r="M20" s="140"/>
      <c r="N20" s="140"/>
    </row>
    <row r="21" spans="1:15" x14ac:dyDescent="0.25">
      <c r="A21" s="10"/>
      <c r="B21" s="10"/>
      <c r="C21" s="10"/>
      <c r="D21" s="10"/>
      <c r="E21" s="10"/>
      <c r="F21" s="10"/>
      <c r="G21" s="140"/>
      <c r="H21" s="140"/>
      <c r="I21" s="140"/>
      <c r="J21" s="140"/>
      <c r="K21" s="140"/>
      <c r="L21" s="140"/>
      <c r="M21" s="140"/>
      <c r="N21" s="140"/>
    </row>
    <row r="22" spans="1:15" ht="15" customHeight="1" x14ac:dyDescent="0.25">
      <c r="B22" s="108"/>
      <c r="C22" s="108"/>
      <c r="D22" s="108"/>
      <c r="E22" s="108"/>
      <c r="F22" s="85"/>
      <c r="G22" s="145" t="s">
        <v>322</v>
      </c>
      <c r="H22" s="145"/>
      <c r="I22" s="145"/>
      <c r="J22" s="145"/>
      <c r="K22" s="145"/>
      <c r="L22" s="145"/>
      <c r="M22" s="145"/>
      <c r="N22" s="145"/>
    </row>
    <row r="23" spans="1:15" x14ac:dyDescent="0.25">
      <c r="F23" s="10"/>
      <c r="G23" s="146"/>
      <c r="H23" s="146"/>
      <c r="I23" s="146"/>
      <c r="J23" s="146"/>
      <c r="K23" s="146"/>
      <c r="L23" s="146"/>
      <c r="M23" s="146"/>
      <c r="N23" s="146"/>
      <c r="O23" s="10"/>
    </row>
    <row r="24" spans="1:15" x14ac:dyDescent="0.25">
      <c r="F24" s="114"/>
      <c r="G24" s="146"/>
      <c r="H24" s="146"/>
      <c r="I24" s="146"/>
      <c r="J24" s="146"/>
      <c r="K24" s="146"/>
      <c r="L24" s="146"/>
      <c r="M24" s="146"/>
      <c r="N24" s="146"/>
      <c r="O24" s="10"/>
    </row>
    <row r="25" spans="1:15" x14ac:dyDescent="0.25">
      <c r="F25" s="115"/>
      <c r="G25" s="146"/>
      <c r="H25" s="146"/>
      <c r="I25" s="146"/>
      <c r="J25" s="146"/>
      <c r="K25" s="146"/>
      <c r="L25" s="146"/>
      <c r="M25" s="146"/>
      <c r="N25" s="146"/>
      <c r="O25" s="10"/>
    </row>
    <row r="26" spans="1:15" x14ac:dyDescent="0.25">
      <c r="G26" s="146"/>
      <c r="H26" s="146"/>
      <c r="I26" s="146"/>
      <c r="J26" s="146"/>
      <c r="K26" s="146"/>
      <c r="L26" s="146"/>
      <c r="M26" s="146"/>
      <c r="N26" s="146"/>
    </row>
    <row r="27" spans="1:15" x14ac:dyDescent="0.25">
      <c r="G27" s="146"/>
      <c r="H27" s="146"/>
      <c r="I27" s="146"/>
      <c r="J27" s="146"/>
      <c r="K27" s="146"/>
      <c r="L27" s="146"/>
      <c r="M27" s="146"/>
      <c r="N27" s="146"/>
    </row>
    <row r="28" spans="1:15" x14ac:dyDescent="0.25">
      <c r="G28" s="146"/>
      <c r="H28" s="146"/>
      <c r="I28" s="146"/>
      <c r="J28" s="146"/>
      <c r="K28" s="146"/>
      <c r="L28" s="146"/>
      <c r="M28" s="146"/>
      <c r="N28" s="146"/>
    </row>
    <row r="29" spans="1:15" x14ac:dyDescent="0.25">
      <c r="G29" s="147"/>
      <c r="H29" s="147"/>
      <c r="I29" s="147"/>
      <c r="J29" s="147"/>
      <c r="K29" s="147"/>
      <c r="L29" s="147"/>
      <c r="M29" s="147"/>
      <c r="N29" s="147"/>
    </row>
    <row r="30" spans="1:15" x14ac:dyDescent="0.25">
      <c r="G30" s="2" t="str">
        <f>HYPERLINK("https://www.taxinfo.sv.fin.be.ch/taxinfo/pages/viewpage.action%3FpageId=1515192372",
"Quelle TaxInfo (Abschnitt 2)")</f>
        <v>Quelle TaxInfo (Abschnitt 2)</v>
      </c>
    </row>
    <row r="31" spans="1:15" x14ac:dyDescent="0.25">
      <c r="A31" s="108" t="str">
        <f ca="1">CONCATENATE("1) Basierend auf: ",$Z$4)</f>
        <v>1) Basierend auf: Kapitalbezug 500 TCHF von Alterskapital (und Einkauf)</v>
      </c>
    </row>
  </sheetData>
  <mergeCells count="2">
    <mergeCell ref="C3:D3"/>
    <mergeCell ref="G22:N29"/>
  </mergeCells>
  <pageMargins left="0.7" right="0.7" top="0.78740157499999996" bottom="0.78740157499999996" header="0.3" footer="0.3"/>
  <pageSetup paperSize="9" orientation="landscape"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14141-5E84-468C-B2B2-72B1E58D9BFA}">
  <sheetPr codeName="Tabelle14"/>
  <dimension ref="A1:V37"/>
  <sheetViews>
    <sheetView zoomScaleNormal="100" zoomScaleSheetLayoutView="100" workbookViewId="0">
      <selection activeCell="E34" sqref="E34"/>
    </sheetView>
  </sheetViews>
  <sheetFormatPr baseColWidth="10" defaultRowHeight="15" outlineLevelRow="1" x14ac:dyDescent="0.25"/>
  <cols>
    <col min="1" max="1" width="29.28515625" customWidth="1"/>
    <col min="2" max="11" width="10.85546875" customWidth="1"/>
    <col min="21" max="21" width="23.28515625" bestFit="1" customWidth="1"/>
  </cols>
  <sheetData>
    <row r="1" spans="1:22" ht="30" customHeight="1" x14ac:dyDescent="0.25">
      <c r="A1" s="26" t="s">
        <v>263</v>
      </c>
      <c r="C1" s="117"/>
      <c r="U1" t="s">
        <v>264</v>
      </c>
      <c r="V1" s="1" t="s">
        <v>321</v>
      </c>
    </row>
    <row r="2" spans="1:22" ht="11.45" customHeight="1" x14ac:dyDescent="0.25">
      <c r="U2" t="s">
        <v>266</v>
      </c>
      <c r="V2" s="1">
        <v>9</v>
      </c>
    </row>
    <row r="3" spans="1:22" x14ac:dyDescent="0.25">
      <c r="A3" s="31" t="s">
        <v>79</v>
      </c>
      <c r="B3" s="31" cm="1">
        <f t="array" aca="1" ref="B3:J3" ca="1">_xlfn.SEQUENCE(,$V$2,$V$5,1)</f>
        <v>2024</v>
      </c>
      <c r="C3" s="31">
        <f ca="1"/>
        <v>2025</v>
      </c>
      <c r="D3" s="31">
        <f ca="1"/>
        <v>2026</v>
      </c>
      <c r="E3" s="31">
        <f ca="1"/>
        <v>2027</v>
      </c>
      <c r="F3" s="31">
        <f ca="1"/>
        <v>2028</v>
      </c>
      <c r="G3" s="31">
        <f ca="1"/>
        <v>2029</v>
      </c>
      <c r="H3" s="31">
        <f ca="1"/>
        <v>2030</v>
      </c>
      <c r="I3" s="31">
        <f ca="1"/>
        <v>2031</v>
      </c>
      <c r="J3" s="31">
        <f ca="1"/>
        <v>2032</v>
      </c>
      <c r="U3" t="s">
        <v>276</v>
      </c>
      <c r="V3" s="78">
        <v>0.01</v>
      </c>
    </row>
    <row r="4" spans="1:22" ht="15" customHeight="1" x14ac:dyDescent="0.25">
      <c r="A4" s="34" t="str">
        <f>PD_Bez1</f>
        <v>Sheldon</v>
      </c>
      <c r="B4" s="104" cm="1">
        <f t="array" aca="1" ref="B4:J4" ca="1">_xlfn.ANCHORARRAY(B$3)-PD_Geb1</f>
        <v>58</v>
      </c>
      <c r="C4" s="104">
        <f ca="1"/>
        <v>59</v>
      </c>
      <c r="D4" s="104">
        <f ca="1"/>
        <v>60</v>
      </c>
      <c r="E4" s="104">
        <f ca="1"/>
        <v>61</v>
      </c>
      <c r="F4" s="104">
        <f ca="1"/>
        <v>62</v>
      </c>
      <c r="G4" s="104">
        <f ca="1"/>
        <v>63</v>
      </c>
      <c r="H4" s="104">
        <f ca="1"/>
        <v>64</v>
      </c>
      <c r="I4" s="104">
        <f ca="1"/>
        <v>65</v>
      </c>
      <c r="J4" s="104">
        <f ca="1"/>
        <v>66</v>
      </c>
      <c r="U4" t="s">
        <v>267</v>
      </c>
      <c r="V4" t="str" cm="1">
        <f t="array" aca="1" ref="V4" ca="1">INDIRECT(CONCATENATE("'",$V$1,"'!",U4))</f>
        <v>Kapitalbezug 500 TCHF von Alterskapital (und Einkauf)</v>
      </c>
    </row>
    <row r="5" spans="1:22" x14ac:dyDescent="0.25">
      <c r="A5" s="34" t="str">
        <f>+PD_Bez2</f>
        <v>Amy</v>
      </c>
      <c r="B5" s="104" cm="1">
        <f t="array" aca="1" ref="B5:J5" ca="1">_xlfn.ANCHORARRAY(B$3)-PD_Geb2</f>
        <v>61</v>
      </c>
      <c r="C5" s="104">
        <f ca="1"/>
        <v>62</v>
      </c>
      <c r="D5" s="104">
        <f ca="1"/>
        <v>63</v>
      </c>
      <c r="E5" s="104">
        <f ca="1"/>
        <v>64</v>
      </c>
      <c r="F5" s="104">
        <f ca="1"/>
        <v>65</v>
      </c>
      <c r="G5" s="104">
        <f ca="1"/>
        <v>66</v>
      </c>
      <c r="H5" s="104">
        <f ca="1"/>
        <v>67</v>
      </c>
      <c r="I5" s="104">
        <f ca="1"/>
        <v>68</v>
      </c>
      <c r="J5" s="104">
        <f ca="1"/>
        <v>69</v>
      </c>
      <c r="U5" t="s">
        <v>268</v>
      </c>
      <c r="V5" cm="1">
        <f t="array" aca="1" ref="V5" ca="1">INDIRECT(CONCATENATE("'",$V$1,"'!",U5))</f>
        <v>2024</v>
      </c>
    </row>
    <row r="6" spans="1:22" ht="11.45" customHeight="1" x14ac:dyDescent="0.25">
      <c r="A6" s="85"/>
      <c r="B6" s="85"/>
      <c r="C6" s="85"/>
      <c r="D6" s="10"/>
      <c r="E6" s="10"/>
      <c r="F6" s="10"/>
      <c r="G6" s="10"/>
      <c r="H6" s="10"/>
      <c r="I6" s="10"/>
      <c r="J6" s="10"/>
      <c r="U6" t="s">
        <v>270</v>
      </c>
      <c r="V6" s="1" t="s">
        <v>273</v>
      </c>
    </row>
    <row r="7" spans="1:22" ht="17.25" x14ac:dyDescent="0.25">
      <c r="A7" s="31" t="s">
        <v>288</v>
      </c>
      <c r="B7" s="105"/>
      <c r="C7" s="105"/>
      <c r="D7" s="105"/>
      <c r="E7" s="105"/>
      <c r="F7" s="105"/>
      <c r="G7" s="105"/>
      <c r="H7" s="105"/>
      <c r="I7" s="105"/>
      <c r="J7" s="105"/>
      <c r="U7" t="s">
        <v>271</v>
      </c>
      <c r="V7" s="1" t="s">
        <v>274</v>
      </c>
    </row>
    <row r="8" spans="1:22" x14ac:dyDescent="0.25">
      <c r="A8" s="34" t="s">
        <v>16</v>
      </c>
      <c r="B8" s="106" cm="1">
        <f t="array" aca="1" ref="B8:J8" ca="1">OFFSET(INDIRECT(CONCATENATE("'",$V$1,"'!",$V6)),,,,$V$2)</f>
        <v>130911.20000000001</v>
      </c>
      <c r="C8" s="106">
        <f ca="1"/>
        <v>132721.04607663947</v>
      </c>
      <c r="D8" s="106">
        <f ca="1"/>
        <v>134273.21352291942</v>
      </c>
      <c r="E8" s="106">
        <f ca="1"/>
        <v>134361.58387837448</v>
      </c>
      <c r="F8" s="106">
        <f ca="1"/>
        <v>128436.53489625794</v>
      </c>
      <c r="G8" s="106">
        <f ca="1"/>
        <v>150272.16125781648</v>
      </c>
      <c r="H8" s="106">
        <f ca="1"/>
        <v>143475.31636723</v>
      </c>
      <c r="I8" s="106">
        <f ca="1"/>
        <v>88668.156008139442</v>
      </c>
      <c r="J8" s="106">
        <f ca="1"/>
        <v>81406.335005301458</v>
      </c>
      <c r="U8" t="s">
        <v>272</v>
      </c>
      <c r="V8" s="1" t="s">
        <v>275</v>
      </c>
    </row>
    <row r="9" spans="1:22" x14ac:dyDescent="0.25">
      <c r="A9" s="34" t="s">
        <v>13</v>
      </c>
      <c r="B9" s="106" cm="1">
        <f t="array" aca="1" ref="B9:J9" ca="1">OFFSET(INDIRECT(CONCATENATE("'",$V$1,"'!",$V7)),,,,$V$2)</f>
        <v>207956.40000000002</v>
      </c>
      <c r="C9" s="106">
        <f ca="1"/>
        <v>290113.91776921757</v>
      </c>
      <c r="D9" s="106">
        <f ca="1"/>
        <v>384374.36181969807</v>
      </c>
      <c r="E9" s="106">
        <f ca="1"/>
        <v>461823.45210956235</v>
      </c>
      <c r="F9" s="106">
        <f ca="1"/>
        <v>965292.9945368364</v>
      </c>
      <c r="G9" s="106">
        <f ca="1"/>
        <v>1888277.2256975032</v>
      </c>
      <c r="H9" s="106">
        <f ca="1"/>
        <v>1434746.1617601204</v>
      </c>
      <c r="I9" s="106">
        <f ca="1"/>
        <v>1438466.6216205326</v>
      </c>
      <c r="J9" s="106">
        <f ca="1"/>
        <v>1457268.0199240814</v>
      </c>
    </row>
    <row r="10" spans="1:22" x14ac:dyDescent="0.25">
      <c r="A10" s="34" t="s">
        <v>269</v>
      </c>
      <c r="B10" s="106" cm="1">
        <f t="array" aca="1" ref="B10:J10" ca="1">OFFSET(INDIRECT(CONCATENATE("'",$V$1,"'!",$V8)),,,,$V$2)</f>
        <v>49857</v>
      </c>
      <c r="C10" s="106">
        <f ca="1"/>
        <v>42405.837</v>
      </c>
      <c r="D10" s="106">
        <f ca="1"/>
        <v>44092.949318999985</v>
      </c>
      <c r="E10" s="106">
        <f ca="1"/>
        <v>36751.769662499995</v>
      </c>
      <c r="F10" s="106">
        <f ca="1"/>
        <v>249000</v>
      </c>
      <c r="G10" s="106">
        <f ca="1"/>
        <v>521000</v>
      </c>
      <c r="H10" s="106">
        <f ca="1"/>
        <v>36611.299234153194</v>
      </c>
      <c r="I10" s="106">
        <f ca="1"/>
        <v>29780.385600000001</v>
      </c>
      <c r="J10" s="106">
        <f ca="1"/>
        <v>29154.792664065601</v>
      </c>
    </row>
    <row r="11" spans="1:22" ht="11.45" customHeight="1" x14ac:dyDescent="0.25">
      <c r="A11" s="85"/>
      <c r="B11" s="85"/>
      <c r="C11" s="85"/>
      <c r="D11" s="10"/>
      <c r="E11" s="10"/>
      <c r="F11" s="10"/>
      <c r="G11" s="10"/>
      <c r="H11" s="10"/>
      <c r="I11" s="10"/>
      <c r="J11" s="10"/>
    </row>
    <row r="12" spans="1:22" x14ac:dyDescent="0.25">
      <c r="A12" s="31" t="s">
        <v>277</v>
      </c>
      <c r="B12" s="105"/>
      <c r="C12" s="105"/>
      <c r="D12" s="105"/>
      <c r="E12" s="105"/>
      <c r="F12" s="105"/>
      <c r="G12" s="105"/>
      <c r="H12" s="105"/>
      <c r="I12" s="105"/>
      <c r="J12" s="105"/>
    </row>
    <row r="13" spans="1:22" x14ac:dyDescent="0.25">
      <c r="A13" s="34" t="str">
        <f>PD_Bez1</f>
        <v>Sheldon</v>
      </c>
      <c r="B13" s="106"/>
      <c r="C13" s="106"/>
      <c r="D13" s="106">
        <v>-15000</v>
      </c>
      <c r="E13" s="106">
        <v>-15000</v>
      </c>
      <c r="F13" s="106"/>
      <c r="G13" s="106"/>
      <c r="H13" s="106"/>
      <c r="I13" s="106"/>
      <c r="J13" s="106"/>
    </row>
    <row r="14" spans="1:22" x14ac:dyDescent="0.25">
      <c r="A14" s="34" t="str">
        <f>+PD_Bez2</f>
        <v>Amy</v>
      </c>
      <c r="B14" s="106">
        <v>-25000</v>
      </c>
      <c r="C14" s="106">
        <v>-25000</v>
      </c>
      <c r="D14" s="106"/>
      <c r="E14" s="106"/>
      <c r="F14" s="106"/>
      <c r="G14" s="106"/>
      <c r="H14" s="106"/>
      <c r="I14" s="106"/>
      <c r="J14" s="106"/>
    </row>
    <row r="15" spans="1:22" ht="17.25" x14ac:dyDescent="0.25">
      <c r="A15" s="31" t="s">
        <v>289</v>
      </c>
      <c r="B15" s="105"/>
      <c r="C15" s="105"/>
      <c r="D15" s="105"/>
      <c r="E15" s="105"/>
      <c r="F15" s="105"/>
      <c r="G15" s="105"/>
      <c r="H15" s="105"/>
      <c r="I15" s="105"/>
      <c r="J15" s="105"/>
    </row>
    <row r="16" spans="1:22" x14ac:dyDescent="0.25">
      <c r="A16" s="34" t="str">
        <f>PD_Bez1</f>
        <v>Sheldon</v>
      </c>
      <c r="B16" s="106"/>
      <c r="C16" s="106"/>
      <c r="D16" s="106"/>
      <c r="E16" s="106"/>
      <c r="F16" s="106"/>
      <c r="G16" s="106"/>
      <c r="H16" s="106">
        <v>30000</v>
      </c>
      <c r="I16" s="106"/>
      <c r="J16" s="106"/>
    </row>
    <row r="17" spans="1:10" x14ac:dyDescent="0.25">
      <c r="A17" s="34" t="str">
        <f>+PD_Bez2</f>
        <v>Amy</v>
      </c>
      <c r="B17" s="106"/>
      <c r="C17" s="106"/>
      <c r="D17" s="106"/>
      <c r="E17" s="106"/>
      <c r="F17" s="106">
        <v>50000</v>
      </c>
      <c r="G17" s="106"/>
      <c r="H17" s="106"/>
      <c r="I17" s="106"/>
      <c r="J17" s="106"/>
    </row>
    <row r="18" spans="1:10" ht="11.45" customHeight="1" x14ac:dyDescent="0.25">
      <c r="A18" s="85"/>
      <c r="B18" s="85"/>
      <c r="C18" s="85"/>
      <c r="D18" s="10"/>
      <c r="E18" s="10"/>
      <c r="F18" s="10"/>
      <c r="G18" s="10"/>
      <c r="H18" s="10"/>
      <c r="I18" s="10"/>
      <c r="J18" s="10"/>
    </row>
    <row r="19" spans="1:10" ht="14.45" customHeight="1" x14ac:dyDescent="0.25">
      <c r="A19" s="31" t="s">
        <v>278</v>
      </c>
      <c r="B19" s="113">
        <f ca="1">B21+B24+B26</f>
        <v>8124.268835728004</v>
      </c>
      <c r="C19" s="113">
        <f t="shared" ref="C19:J19" ca="1" si="0">C21+C24+C26</f>
        <v>8317.6681073916006</v>
      </c>
      <c r="D19" s="113">
        <f t="shared" ca="1" si="0"/>
        <v>5261.207413957296</v>
      </c>
      <c r="E19" s="113">
        <f t="shared" ca="1" si="0"/>
        <v>5358.8034123586658</v>
      </c>
      <c r="F19" s="113">
        <f t="shared" ca="1" si="0"/>
        <v>-4366.9300000000021</v>
      </c>
      <c r="G19" s="113">
        <f t="shared" ca="1" si="0"/>
        <v>194.80500000000029</v>
      </c>
      <c r="H19" s="113">
        <f t="shared" ca="1" si="0"/>
        <v>-1230.305046123101</v>
      </c>
      <c r="I19" s="113">
        <f t="shared" ca="1" si="0"/>
        <v>0</v>
      </c>
      <c r="J19" s="113">
        <f t="shared" ca="1" si="0"/>
        <v>0</v>
      </c>
    </row>
    <row r="20" spans="1:10" x14ac:dyDescent="0.25">
      <c r="A20" s="57" t="s">
        <v>281</v>
      </c>
      <c r="B20" s="118">
        <f ca="1">B8+SUM(B13:B14)</f>
        <v>105911.20000000001</v>
      </c>
      <c r="C20" s="118">
        <f t="shared" ref="C20:J20" ca="1" si="1">C8+SUM(C13:C14)</f>
        <v>107721.04607663947</v>
      </c>
      <c r="D20" s="118">
        <f t="shared" ca="1" si="1"/>
        <v>119273.21352291942</v>
      </c>
      <c r="E20" s="118">
        <f t="shared" ca="1" si="1"/>
        <v>119361.58387837448</v>
      </c>
      <c r="F20" s="118">
        <f t="shared" ca="1" si="1"/>
        <v>128436.53489625794</v>
      </c>
      <c r="G20" s="118">
        <f t="shared" ca="1" si="1"/>
        <v>150272.16125781648</v>
      </c>
      <c r="H20" s="118">
        <f t="shared" ca="1" si="1"/>
        <v>143475.31636723</v>
      </c>
      <c r="I20" s="118">
        <f t="shared" ca="1" si="1"/>
        <v>88668.156008139442</v>
      </c>
      <c r="J20" s="118">
        <f t="shared" ca="1" si="1"/>
        <v>81406.335005301458</v>
      </c>
    </row>
    <row r="21" spans="1:10" x14ac:dyDescent="0.25">
      <c r="A21" s="34" t="s">
        <v>279</v>
      </c>
      <c r="B21" s="107" cm="1">
        <f t="array" aca="1" ref="B21" ca="1">EinkommenSteuerGesamt(B$8,Ziv)-EinkommenSteuerGesamt(B$20,Ziv)</f>
        <v>8036.8563357280036</v>
      </c>
      <c r="C21" s="107" cm="1">
        <f t="array" aca="1" ref="C21" ca="1">EinkommenSteuerGesamt(C$8,Ziv)-EinkommenSteuerGesamt(C$20,Ziv)</f>
        <v>8117.8681073916014</v>
      </c>
      <c r="D21" s="107" cm="1">
        <f t="array" aca="1" ref="D21" ca="1">EinkommenSteuerGesamt(D$8,Ziv)-EinkommenSteuerGesamt(D$20,Ziv)</f>
        <v>5001.4674139572962</v>
      </c>
      <c r="E21" s="107" cm="1">
        <f t="array" aca="1" ref="E21" ca="1">EinkommenSteuerGesamt(E$8,Ziv)-EinkommenSteuerGesamt(E$20,Ziv)</f>
        <v>5002.3367837012156</v>
      </c>
      <c r="F21" s="107" cm="1">
        <f t="array" aca="1" ref="F21" ca="1">EinkommenSteuerGesamt(F$8,Ziv)-EinkommenSteuerGesamt(F$20,Ziv)</f>
        <v>0</v>
      </c>
      <c r="G21" s="107" cm="1">
        <f t="array" aca="1" ref="G21" ca="1">EinkommenSteuerGesamt(G$8,Ziv)-EinkommenSteuerGesamt(G$20,Ziv)</f>
        <v>0</v>
      </c>
      <c r="H21" s="107" cm="1">
        <f t="array" aca="1" ref="H21" ca="1">EinkommenSteuerGesamt(H$8,Ziv)-EinkommenSteuerGesamt(H$20,Ziv)</f>
        <v>0</v>
      </c>
      <c r="I21" s="107" cm="1">
        <f t="array" aca="1" ref="I21" ca="1">EinkommenSteuerGesamt(I$8,Ziv)-EinkommenSteuerGesamt(I$20,Ziv)</f>
        <v>0</v>
      </c>
      <c r="J21" s="107" cm="1">
        <f t="array" aca="1" ref="J21" ca="1">EinkommenSteuerGesamt(J$8,Ziv)-EinkommenSteuerGesamt(J$20,Ziv)</f>
        <v>0</v>
      </c>
    </row>
    <row r="22" spans="1:10" hidden="1" outlineLevel="1" x14ac:dyDescent="0.25">
      <c r="A22" s="34" t="s">
        <v>283</v>
      </c>
      <c r="B22" s="106" cm="1">
        <f t="array" aca="1" ref="B22:J22" ca="1">_xlfn.SCAN(0,OFFSET($B13,,,,$V$2),_xlfn.LAMBDA(_xlpm.x,_xlpm.y,_xlpm.x+_xlpm.y))+
_xlfn.SCAN(0,OFFSET($B14,,,,$V$2),_xlfn.LAMBDA(_xlpm.x,_xlpm.y,_xlpm.x+_xlpm.y))+
_xlfn.SCAN(0,OFFSET($B16,,,,$V$2),_xlfn.LAMBDA(_xlpm.x,_xlpm.y,_xlpm.x+_xlpm.y))+
_xlfn.SCAN(0,OFFSET($B17,,,,$V$2),_xlfn.LAMBDA(_xlpm.x,_xlpm.y,_xlpm.x+_xlpm.y))</f>
        <v>-25000</v>
      </c>
      <c r="C22" s="106">
        <f ca="1"/>
        <v>-50000</v>
      </c>
      <c r="D22" s="106">
        <f ca="1"/>
        <v>-65000</v>
      </c>
      <c r="E22" s="106">
        <f ca="1"/>
        <v>-80000</v>
      </c>
      <c r="F22" s="106">
        <f ca="1"/>
        <v>-30000</v>
      </c>
      <c r="G22" s="106">
        <f ca="1"/>
        <v>-30000</v>
      </c>
      <c r="H22" s="106">
        <f ca="1"/>
        <v>0</v>
      </c>
      <c r="I22" s="106">
        <f ca="1"/>
        <v>0</v>
      </c>
      <c r="J22" s="106">
        <f ca="1"/>
        <v>0</v>
      </c>
    </row>
    <row r="23" spans="1:10" collapsed="1" x14ac:dyDescent="0.25">
      <c r="A23" s="109" t="s">
        <v>282</v>
      </c>
      <c r="B23" s="110">
        <f ca="1">B9+B22</f>
        <v>182956.40000000002</v>
      </c>
      <c r="C23" s="110">
        <f t="shared" ref="C23:J23" ca="1" si="2">C9+C22</f>
        <v>240113.91776921757</v>
      </c>
      <c r="D23" s="110">
        <f t="shared" ca="1" si="2"/>
        <v>319374.36181969807</v>
      </c>
      <c r="E23" s="110">
        <f t="shared" ca="1" si="2"/>
        <v>381823.45210956235</v>
      </c>
      <c r="F23" s="110">
        <f t="shared" ca="1" si="2"/>
        <v>935292.9945368364</v>
      </c>
      <c r="G23" s="110">
        <f t="shared" ca="1" si="2"/>
        <v>1858277.2256975032</v>
      </c>
      <c r="H23" s="110">
        <f t="shared" ca="1" si="2"/>
        <v>1434746.1617601204</v>
      </c>
      <c r="I23" s="110">
        <f t="shared" ca="1" si="2"/>
        <v>1438466.6216205326</v>
      </c>
      <c r="J23" s="110">
        <f t="shared" ca="1" si="2"/>
        <v>1457268.0199240814</v>
      </c>
    </row>
    <row r="24" spans="1:10" x14ac:dyDescent="0.25">
      <c r="A24" s="34" t="s">
        <v>280</v>
      </c>
      <c r="B24" s="107" cm="1">
        <f t="array" aca="1" ref="B24" ca="1">VermoegenSteuer(B9)-VermoegenSteuer(B23)</f>
        <v>87.412500000000023</v>
      </c>
      <c r="C24" s="107" cm="1">
        <f t="array" aca="1" ref="C24" ca="1">VermoegenSteuer(C9)-VermoegenSteuer(C23)</f>
        <v>199.80000000000007</v>
      </c>
      <c r="D24" s="107" cm="1">
        <f t="array" aca="1" ref="D24" ca="1">VermoegenSteuer(D9)-VermoegenSteuer(D23)</f>
        <v>259.7399999999999</v>
      </c>
      <c r="E24" s="107" cm="1">
        <f t="array" aca="1" ref="E24" ca="1">VermoegenSteuer(E9)-VermoegenSteuer(E23)</f>
        <v>356.46662865745066</v>
      </c>
      <c r="F24" s="107" cm="1">
        <f t="array" aca="1" ref="F24" ca="1">VermoegenSteuer(F9)-VermoegenSteuer(F23)</f>
        <v>179.81999999999971</v>
      </c>
      <c r="G24" s="107" cm="1">
        <f t="array" aca="1" ref="G24" ca="1">VermoegenSteuer(G9)-VermoegenSteuer(G23)</f>
        <v>194.80500000000029</v>
      </c>
      <c r="H24" s="107" cm="1">
        <f t="array" aca="1" ref="H24" ca="1">VermoegenSteuer(H9)-VermoegenSteuer(H23)</f>
        <v>0</v>
      </c>
      <c r="I24" s="107" cm="1">
        <f t="array" aca="1" ref="I24" ca="1">VermoegenSteuer(I9)-VermoegenSteuer(I23)</f>
        <v>0</v>
      </c>
      <c r="J24" s="107" cm="1">
        <f t="array" aca="1" ref="J24" ca="1">VermoegenSteuer(J9)-VermoegenSteuer(J23)</f>
        <v>0</v>
      </c>
    </row>
    <row r="25" spans="1:10" x14ac:dyDescent="0.25">
      <c r="A25" s="57" t="s">
        <v>284</v>
      </c>
      <c r="B25" s="118">
        <f ca="1">B$10+SUM(B$16:B$17)</f>
        <v>49857</v>
      </c>
      <c r="C25" s="118">
        <f t="shared" ref="C25:J25" ca="1" si="3">C$10+SUM(C$16:C$17)</f>
        <v>42405.837</v>
      </c>
      <c r="D25" s="118">
        <f t="shared" ca="1" si="3"/>
        <v>44092.949318999985</v>
      </c>
      <c r="E25" s="118">
        <f t="shared" ca="1" si="3"/>
        <v>36751.769662499995</v>
      </c>
      <c r="F25" s="118">
        <f t="shared" ca="1" si="3"/>
        <v>299000</v>
      </c>
      <c r="G25" s="118">
        <f t="shared" ca="1" si="3"/>
        <v>521000</v>
      </c>
      <c r="H25" s="118">
        <f t="shared" ca="1" si="3"/>
        <v>66611.299234153194</v>
      </c>
      <c r="I25" s="118">
        <f t="shared" ca="1" si="3"/>
        <v>29780.385600000001</v>
      </c>
      <c r="J25" s="118">
        <f t="shared" ca="1" si="3"/>
        <v>29154.792664065601</v>
      </c>
    </row>
    <row r="26" spans="1:10" x14ac:dyDescent="0.25">
      <c r="A26" s="34" t="s">
        <v>285</v>
      </c>
      <c r="B26" s="111" cm="1">
        <f t="array" aca="1" ref="B26" ca="1">KapitalAuszSteuer(B$10,Ziv)-KapitalAuszSteuer(B$25,Ziv)</f>
        <v>0</v>
      </c>
      <c r="C26" s="111" cm="1">
        <f t="array" aca="1" ref="C26" ca="1">KapitalAuszSteuer(C$10,Ziv)-KapitalAuszSteuer(C$25,Ziv)</f>
        <v>0</v>
      </c>
      <c r="D26" s="111" cm="1">
        <f t="array" aca="1" ref="D26" ca="1">KapitalAuszSteuer(D$10,Ziv)-KapitalAuszSteuer(D$25,Ziv)</f>
        <v>0</v>
      </c>
      <c r="E26" s="111" cm="1">
        <f t="array" aca="1" ref="E26" ca="1">KapitalAuszSteuer(E$10,Ziv)-KapitalAuszSteuer(E$25,Ziv)</f>
        <v>0</v>
      </c>
      <c r="F26" s="111" cm="1">
        <f t="array" aca="1" ref="F26" ca="1">KapitalAuszSteuer(F$10,Ziv)-KapitalAuszSteuer(F$25,Ziv)</f>
        <v>-4546.7500000000018</v>
      </c>
      <c r="G26" s="111" cm="1">
        <f t="array" aca="1" ref="G26" ca="1">KapitalAuszSteuer(G$10,Ziv)-KapitalAuszSteuer(G$25,Ziv)</f>
        <v>0</v>
      </c>
      <c r="H26" s="111" cm="1">
        <f t="array" aca="1" ref="H26" ca="1">KapitalAuszSteuer(H$10,Ziv)-KapitalAuszSteuer(H$25,Ziv)</f>
        <v>-1230.305046123101</v>
      </c>
      <c r="I26" s="111" cm="1">
        <f t="array" aca="1" ref="I26" ca="1">KapitalAuszSteuer(I$10,Ziv)-KapitalAuszSteuer(I$25,Ziv)</f>
        <v>0</v>
      </c>
      <c r="J26" s="111" cm="1">
        <f t="array" aca="1" ref="J26" ca="1">KapitalAuszSteuer(J$10,Ziv)-KapitalAuszSteuer(J$25,Ziv)</f>
        <v>0</v>
      </c>
    </row>
    <row r="27" spans="1:10" ht="11.45" customHeight="1" x14ac:dyDescent="0.25">
      <c r="B27" s="112"/>
      <c r="C27" s="112"/>
      <c r="D27" s="112"/>
      <c r="E27" s="112"/>
      <c r="F27" s="112"/>
      <c r="G27" s="112"/>
      <c r="H27" s="112"/>
      <c r="I27" s="112"/>
      <c r="J27" s="112"/>
    </row>
    <row r="28" spans="1:10" x14ac:dyDescent="0.25">
      <c r="A28" s="31" t="s">
        <v>287</v>
      </c>
      <c r="B28" s="113">
        <f ca="1">SUM(B13:B19)</f>
        <v>-16875.731164271994</v>
      </c>
      <c r="C28" s="113">
        <f t="shared" ref="C28:J28" ca="1" si="4">SUM(C13:C19)</f>
        <v>-16682.331892608399</v>
      </c>
      <c r="D28" s="113">
        <f t="shared" ca="1" si="4"/>
        <v>-9738.792586042704</v>
      </c>
      <c r="E28" s="113">
        <f t="shared" ca="1" si="4"/>
        <v>-9641.1965876413342</v>
      </c>
      <c r="F28" s="113">
        <f t="shared" ca="1" si="4"/>
        <v>45633.07</v>
      </c>
      <c r="G28" s="113">
        <f t="shared" ca="1" si="4"/>
        <v>194.80500000000029</v>
      </c>
      <c r="H28" s="113">
        <f t="shared" ca="1" si="4"/>
        <v>28769.6949538769</v>
      </c>
      <c r="I28" s="113">
        <f t="shared" ca="1" si="4"/>
        <v>0</v>
      </c>
      <c r="J28" s="113">
        <f t="shared" ca="1" si="4"/>
        <v>0</v>
      </c>
    </row>
    <row r="29" spans="1:10" ht="17.25" x14ac:dyDescent="0.25">
      <c r="A29" s="31" t="s">
        <v>299</v>
      </c>
      <c r="B29" s="127">
        <f ca="1">NPV($V$3,B19:K19)</f>
        <v>21334.791885349492</v>
      </c>
      <c r="C29" s="85"/>
      <c r="D29" s="10"/>
      <c r="E29" s="10"/>
      <c r="F29" s="10"/>
      <c r="G29" s="10"/>
      <c r="H29" s="10"/>
      <c r="I29" s="10"/>
      <c r="J29" s="10"/>
    </row>
    <row r="30" spans="1:10" ht="15" customHeight="1" x14ac:dyDescent="0.25">
      <c r="A30" s="31" t="s">
        <v>286</v>
      </c>
      <c r="B30" s="138">
        <f ca="1">IRR(B28:K28)</f>
        <v>0.10126909076086466</v>
      </c>
      <c r="C30" s="85"/>
      <c r="D30" s="10"/>
      <c r="E30" s="148" t="s">
        <v>348</v>
      </c>
      <c r="F30" s="148"/>
      <c r="G30" s="148"/>
      <c r="H30" s="148"/>
      <c r="I30" s="148"/>
      <c r="J30" s="148"/>
    </row>
    <row r="31" spans="1:10" ht="11.45" customHeight="1" x14ac:dyDescent="0.25">
      <c r="A31" s="3"/>
      <c r="B31" s="116"/>
      <c r="C31" s="85"/>
      <c r="D31" s="10"/>
      <c r="E31" s="143"/>
      <c r="F31" s="143"/>
      <c r="G31" s="143"/>
      <c r="H31" s="143"/>
      <c r="I31" s="143"/>
      <c r="J31" s="143"/>
    </row>
    <row r="32" spans="1:10" x14ac:dyDescent="0.25">
      <c r="A32" s="108" t="str">
        <f ca="1">CONCATENATE("1) Basierend auf: ",$V$4)</f>
        <v>1) Basierend auf: Kapitalbezug 500 TCHF von Alterskapital (und Einkauf)</v>
      </c>
      <c r="B32" s="85"/>
      <c r="C32" s="85"/>
      <c r="D32" s="10"/>
      <c r="E32" s="143"/>
      <c r="F32" s="143"/>
      <c r="G32" s="143"/>
      <c r="H32" s="143"/>
      <c r="I32" s="143"/>
      <c r="J32" s="143"/>
    </row>
    <row r="33" spans="1:14" x14ac:dyDescent="0.25">
      <c r="A33" s="108" t="s">
        <v>290</v>
      </c>
      <c r="B33" s="85"/>
      <c r="C33" s="85"/>
      <c r="D33" s="10"/>
      <c r="E33" s="143"/>
      <c r="F33" s="143"/>
      <c r="G33" s="143"/>
      <c r="H33" s="143"/>
      <c r="I33" s="143"/>
      <c r="J33" s="143"/>
    </row>
    <row r="34" spans="1:14" x14ac:dyDescent="0.25">
      <c r="A34" s="108" t="str">
        <f>CONCATENATE("3) Kapitalkosten: ",$V$3)</f>
        <v>3) Kapitalkosten: 0.01</v>
      </c>
      <c r="B34" s="10"/>
      <c r="C34" s="10"/>
      <c r="D34" s="10"/>
      <c r="E34" s="142" t="str">
        <f>HYPERLINK("https://www.taxinfo.sv.fin.be.ch/taxinfo/display/taxinfo/Berufliche+Vorsorge#:~:text=die%20Kapitalbez%C3%BCge%20zusammengerechnet.-,2.4%20Kapitalleistungen%20innert%20drei%20Jahren%20nach%20Einkauf,Sperrfristverletzung).",
"Quelle TaxInfo (Abschnitt 2.4)")</f>
        <v>Quelle TaxInfo (Abschnitt 2.4)</v>
      </c>
      <c r="F34" s="141"/>
      <c r="G34" s="141"/>
      <c r="H34" s="141"/>
      <c r="I34" s="141"/>
      <c r="J34" s="141"/>
    </row>
    <row r="35" spans="1:14" x14ac:dyDescent="0.25">
      <c r="B35" s="10"/>
      <c r="C35" s="10"/>
      <c r="D35" s="10"/>
      <c r="E35" s="10"/>
      <c r="F35" s="10"/>
      <c r="G35" s="10"/>
      <c r="H35" s="10"/>
      <c r="I35" s="140"/>
      <c r="J35" s="140"/>
    </row>
    <row r="36" spans="1:14" x14ac:dyDescent="0.25">
      <c r="B36" s="114"/>
      <c r="C36" s="114"/>
      <c r="D36" s="114"/>
      <c r="E36" s="114"/>
      <c r="F36" s="114"/>
      <c r="G36" s="114"/>
      <c r="H36" s="114"/>
      <c r="I36" s="140"/>
      <c r="J36" s="140"/>
      <c r="K36" s="140"/>
      <c r="L36" s="140"/>
      <c r="M36" s="140"/>
      <c r="N36" s="140"/>
    </row>
    <row r="37" spans="1:14" x14ac:dyDescent="0.25">
      <c r="B37" s="115"/>
      <c r="C37" s="10"/>
      <c r="D37" s="10"/>
      <c r="E37" s="10"/>
      <c r="F37" s="10"/>
      <c r="G37" s="10"/>
      <c r="H37" s="10"/>
      <c r="I37" s="140"/>
      <c r="J37" s="140"/>
      <c r="K37" s="140"/>
      <c r="L37" s="140"/>
      <c r="M37" s="140"/>
      <c r="N37" s="140"/>
    </row>
  </sheetData>
  <mergeCells count="1">
    <mergeCell ref="E30:J33"/>
  </mergeCells>
  <pageMargins left="0.7" right="0.7" top="0.78740157499999996" bottom="0.78740157499999996" header="0.3" footer="0.3"/>
  <pageSetup paperSize="9" orientation="landscape"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C231B-2A66-4DBF-BFA5-FD244231266A}">
  <sheetPr codeName="Tabelle10"/>
  <dimension ref="A1:M24"/>
  <sheetViews>
    <sheetView zoomScale="130" zoomScaleNormal="130" workbookViewId="0">
      <selection activeCell="E11" sqref="E11"/>
    </sheetView>
  </sheetViews>
  <sheetFormatPr baseColWidth="10" defaultRowHeight="15" x14ac:dyDescent="0.25"/>
  <cols>
    <col min="1" max="1" width="31.85546875" customWidth="1"/>
    <col min="2" max="2" width="11" customWidth="1"/>
    <col min="3" max="3" width="30.42578125" bestFit="1" customWidth="1"/>
  </cols>
  <sheetData>
    <row r="1" spans="1:13" ht="30" customHeight="1" x14ac:dyDescent="0.25">
      <c r="A1" s="26" t="s">
        <v>334</v>
      </c>
      <c r="L1" t="s">
        <v>155</v>
      </c>
      <c r="M1" s="1">
        <v>100000</v>
      </c>
    </row>
    <row r="2" spans="1:13" x14ac:dyDescent="0.25">
      <c r="L2" t="s">
        <v>108</v>
      </c>
      <c r="M2" s="1">
        <v>650000</v>
      </c>
    </row>
    <row r="3" spans="1:13" x14ac:dyDescent="0.25">
      <c r="A3" s="31" t="s">
        <v>151</v>
      </c>
      <c r="B3" s="32"/>
      <c r="C3" s="29"/>
      <c r="E3" s="31" t="s">
        <v>151</v>
      </c>
      <c r="F3" s="31"/>
      <c r="G3" s="31"/>
      <c r="H3" s="31"/>
      <c r="L3" t="s">
        <v>62</v>
      </c>
      <c r="M3" s="1">
        <v>300000</v>
      </c>
    </row>
    <row r="4" spans="1:13" ht="15" customHeight="1" x14ac:dyDescent="0.25">
      <c r="A4" s="34" t="s">
        <v>60</v>
      </c>
      <c r="B4" s="80">
        <f>$M$2</f>
        <v>650000</v>
      </c>
      <c r="C4" s="85"/>
      <c r="E4" s="149" t="s">
        <v>152</v>
      </c>
      <c r="F4" s="149"/>
      <c r="G4" s="149"/>
      <c r="H4" s="149"/>
    </row>
    <row r="5" spans="1:13" x14ac:dyDescent="0.25">
      <c r="A5" s="34" t="s">
        <v>62</v>
      </c>
      <c r="B5" s="80">
        <f>M3</f>
        <v>300000</v>
      </c>
      <c r="C5" s="85"/>
      <c r="E5" s="150"/>
      <c r="F5" s="150"/>
      <c r="G5" s="150"/>
      <c r="H5" s="150"/>
    </row>
    <row r="6" spans="1:13" x14ac:dyDescent="0.25">
      <c r="A6" s="85"/>
      <c r="B6" s="85"/>
      <c r="C6" s="85"/>
      <c r="E6" s="150"/>
      <c r="F6" s="150"/>
      <c r="G6" s="150"/>
      <c r="H6" s="150"/>
    </row>
    <row r="7" spans="1:13" x14ac:dyDescent="0.25">
      <c r="A7" s="85"/>
      <c r="B7" s="85"/>
      <c r="C7" s="85"/>
      <c r="E7" s="151"/>
      <c r="F7" s="151"/>
      <c r="G7" s="151"/>
      <c r="H7" s="151"/>
    </row>
    <row r="8" spans="1:13" x14ac:dyDescent="0.25">
      <c r="A8" s="31" t="s">
        <v>150</v>
      </c>
      <c r="B8" s="90">
        <f>B5/B4</f>
        <v>0.46153846153846156</v>
      </c>
      <c r="E8" s="88"/>
      <c r="F8" s="88"/>
      <c r="G8" s="88"/>
      <c r="H8" s="88"/>
    </row>
    <row r="9" spans="1:13" x14ac:dyDescent="0.25">
      <c r="A9" s="3"/>
      <c r="B9" s="91"/>
      <c r="E9" s="88"/>
      <c r="F9" s="88"/>
      <c r="G9" s="88"/>
      <c r="H9" s="88"/>
    </row>
    <row r="10" spans="1:13" x14ac:dyDescent="0.25">
      <c r="M10" s="79"/>
    </row>
    <row r="11" spans="1:13" x14ac:dyDescent="0.25">
      <c r="A11" s="31" t="s">
        <v>153</v>
      </c>
      <c r="B11" s="83"/>
      <c r="M11" s="79"/>
    </row>
    <row r="12" spans="1:13" x14ac:dyDescent="0.25">
      <c r="A12" s="34" t="s">
        <v>154</v>
      </c>
      <c r="B12" s="80">
        <f>SUM(E_Erwerb[Betrag])</f>
        <v>200000</v>
      </c>
      <c r="C12" s="89" t="s">
        <v>156</v>
      </c>
      <c r="M12" s="79"/>
    </row>
    <row r="13" spans="1:13" x14ac:dyDescent="0.25">
      <c r="A13" s="34" t="s">
        <v>155</v>
      </c>
      <c r="B13" s="80">
        <f>M1</f>
        <v>100000</v>
      </c>
      <c r="C13" s="89" t="s">
        <v>156</v>
      </c>
      <c r="M13" s="8"/>
    </row>
    <row r="14" spans="1:13" x14ac:dyDescent="0.25">
      <c r="C14" s="85"/>
    </row>
    <row r="15" spans="1:13" x14ac:dyDescent="0.25">
      <c r="C15" s="87"/>
    </row>
    <row r="16" spans="1:13" ht="14.45" customHeight="1" x14ac:dyDescent="0.25">
      <c r="A16" s="31" t="s">
        <v>159</v>
      </c>
      <c r="B16" s="83">
        <f>SUM(B17:B18)</f>
        <v>21500</v>
      </c>
      <c r="E16" s="31" t="s">
        <v>157</v>
      </c>
      <c r="F16" s="31"/>
      <c r="G16" s="31"/>
      <c r="H16" s="31"/>
    </row>
    <row r="17" spans="1:8" x14ac:dyDescent="0.25">
      <c r="A17" s="34" t="s">
        <v>160</v>
      </c>
      <c r="B17" s="80">
        <f>B4*1%</f>
        <v>6500</v>
      </c>
      <c r="C17" s="89" t="s">
        <v>162</v>
      </c>
      <c r="E17" s="145" t="s">
        <v>158</v>
      </c>
      <c r="F17" s="145"/>
      <c r="G17" s="145"/>
      <c r="H17" s="145"/>
    </row>
    <row r="18" spans="1:8" x14ac:dyDescent="0.25">
      <c r="A18" s="34" t="s">
        <v>161</v>
      </c>
      <c r="B18" s="80">
        <f>B5*5%</f>
        <v>15000</v>
      </c>
      <c r="C18" s="89" t="s">
        <v>169</v>
      </c>
      <c r="E18" s="146"/>
      <c r="F18" s="146"/>
      <c r="G18" s="146"/>
      <c r="H18" s="146"/>
    </row>
    <row r="19" spans="1:8" x14ac:dyDescent="0.25">
      <c r="E19" s="146"/>
      <c r="F19" s="146"/>
      <c r="G19" s="146"/>
      <c r="H19" s="146"/>
    </row>
    <row r="20" spans="1:8" x14ac:dyDescent="0.25">
      <c r="E20" s="146"/>
      <c r="F20" s="146"/>
      <c r="G20" s="146"/>
      <c r="H20" s="146"/>
    </row>
    <row r="21" spans="1:8" x14ac:dyDescent="0.25">
      <c r="A21" s="31" t="s">
        <v>163</v>
      </c>
      <c r="B21" s="83"/>
      <c r="E21" s="146"/>
      <c r="F21" s="146"/>
      <c r="G21" s="146"/>
      <c r="H21" s="146"/>
    </row>
    <row r="22" spans="1:8" x14ac:dyDescent="0.25">
      <c r="A22" s="34" t="s">
        <v>164</v>
      </c>
      <c r="B22" s="80">
        <f>($B$12/3-$B$17)/5%</f>
        <v>1203333.3333333333</v>
      </c>
      <c r="C22" s="89" t="s">
        <v>166</v>
      </c>
      <c r="E22" s="146"/>
      <c r="F22" s="146"/>
      <c r="G22" s="146"/>
      <c r="H22" s="146"/>
    </row>
    <row r="23" spans="1:8" x14ac:dyDescent="0.25">
      <c r="A23" s="34" t="s">
        <v>165</v>
      </c>
      <c r="B23" s="80">
        <f>B4*65%</f>
        <v>422500</v>
      </c>
      <c r="C23" s="89" t="s">
        <v>167</v>
      </c>
      <c r="E23" s="146"/>
      <c r="F23" s="146"/>
      <c r="G23" s="146"/>
      <c r="H23" s="146"/>
    </row>
    <row r="24" spans="1:8" x14ac:dyDescent="0.25">
      <c r="A24" s="34" t="s">
        <v>165</v>
      </c>
      <c r="B24" s="80">
        <f>($B$13/3-$B$17)/5%</f>
        <v>536666.66666666663</v>
      </c>
      <c r="C24" s="89" t="s">
        <v>168</v>
      </c>
      <c r="E24" s="147"/>
      <c r="F24" s="147"/>
      <c r="G24" s="147"/>
      <c r="H24" s="147"/>
    </row>
  </sheetData>
  <mergeCells count="2">
    <mergeCell ref="E4:H7"/>
    <mergeCell ref="E17:H24"/>
  </mergeCells>
  <pageMargins left="0.7" right="0.7" top="0.78740157499999996" bottom="0.78740157499999996" header="0.3" footer="0.3"/>
  <pageSetup paperSize="9" orientation="landscape" horizontalDpi="300" verticalDpi="300" r:id="rId1"/>
  <customProperties>
    <customPr name="EpmWorksheetKeyString_GUID" r:id="rId2"/>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F762E-AB78-4D80-9549-E07615D7ABC5}">
  <sheetPr codeName="Tabelle11"/>
  <dimension ref="A1:P29"/>
  <sheetViews>
    <sheetView tabSelected="1" zoomScaleNormal="100" zoomScaleSheetLayoutView="85" workbookViewId="0">
      <selection activeCell="M22" sqref="M22"/>
    </sheetView>
  </sheetViews>
  <sheetFormatPr baseColWidth="10" defaultRowHeight="15" x14ac:dyDescent="0.25"/>
  <cols>
    <col min="1" max="1" width="30.42578125" customWidth="1"/>
    <col min="3" max="3" width="4" customWidth="1"/>
    <col min="4" max="4" width="12.5703125" bestFit="1" customWidth="1"/>
    <col min="5" max="5" width="12.28515625" bestFit="1" customWidth="1"/>
    <col min="6" max="6" width="4" customWidth="1"/>
    <col min="7" max="7" width="12.5703125" bestFit="1" customWidth="1"/>
    <col min="9" max="9" width="4" customWidth="1"/>
    <col min="10" max="10" width="12.5703125" bestFit="1" customWidth="1"/>
  </cols>
  <sheetData>
    <row r="1" spans="1:16" ht="30" customHeight="1" x14ac:dyDescent="0.25">
      <c r="A1" s="26" t="s">
        <v>170</v>
      </c>
      <c r="O1" t="s">
        <v>16</v>
      </c>
      <c r="P1" s="137">
        <v>110000</v>
      </c>
    </row>
    <row r="3" spans="1:16" x14ac:dyDescent="0.25">
      <c r="A3" s="31" t="s">
        <v>151</v>
      </c>
      <c r="B3" s="32"/>
      <c r="D3" s="31" t="s">
        <v>171</v>
      </c>
      <c r="E3" s="82">
        <v>0</v>
      </c>
      <c r="G3" s="31" t="s">
        <v>171</v>
      </c>
      <c r="H3" s="82">
        <v>100000</v>
      </c>
      <c r="J3" s="31" t="s">
        <v>171</v>
      </c>
      <c r="K3" s="82">
        <v>200000</v>
      </c>
    </row>
    <row r="4" spans="1:16" x14ac:dyDescent="0.25">
      <c r="A4" s="34" t="s">
        <v>60</v>
      </c>
      <c r="B4" s="80">
        <f>SUM(V_Liegensch[Betrag])</f>
        <v>1350000</v>
      </c>
      <c r="E4" s="80">
        <f>$B$4</f>
        <v>1350000</v>
      </c>
      <c r="H4" s="80">
        <f>$B$4</f>
        <v>1350000</v>
      </c>
      <c r="K4" s="80">
        <f>$B$4</f>
        <v>1350000</v>
      </c>
    </row>
    <row r="5" spans="1:16" x14ac:dyDescent="0.25">
      <c r="A5" s="34" t="s">
        <v>62</v>
      </c>
      <c r="B5" s="80">
        <f>SUM(V_Hypo[Betrag])</f>
        <v>-880000</v>
      </c>
      <c r="E5" s="80">
        <f>$B$5+E$3</f>
        <v>-880000</v>
      </c>
      <c r="H5" s="80">
        <f>$B$5+H$3</f>
        <v>-780000</v>
      </c>
      <c r="K5" s="80">
        <f>$B$5+K$3</f>
        <v>-680000</v>
      </c>
    </row>
    <row r="6" spans="1:16" x14ac:dyDescent="0.25">
      <c r="A6" s="85"/>
      <c r="B6" s="85"/>
    </row>
    <row r="7" spans="1:16" x14ac:dyDescent="0.25">
      <c r="A7" s="85"/>
      <c r="B7" s="85"/>
    </row>
    <row r="8" spans="1:16" x14ac:dyDescent="0.25">
      <c r="A8" s="92" t="s">
        <v>150</v>
      </c>
      <c r="B8" s="93">
        <f>ABS(B5/B4)</f>
        <v>0.6518518518518519</v>
      </c>
      <c r="E8" s="93">
        <f>ABS(E5/E4)</f>
        <v>0.6518518518518519</v>
      </c>
      <c r="F8" s="94"/>
      <c r="G8" s="94"/>
      <c r="H8" s="93">
        <f>ABS(H5/H4)</f>
        <v>0.57777777777777772</v>
      </c>
      <c r="I8" s="94"/>
      <c r="J8" s="94"/>
      <c r="K8" s="93">
        <f>ABS(K5/K4)</f>
        <v>0.50370370370370365</v>
      </c>
    </row>
    <row r="9" spans="1:16" x14ac:dyDescent="0.25">
      <c r="B9" s="94"/>
    </row>
    <row r="10" spans="1:16" x14ac:dyDescent="0.25">
      <c r="B10" s="94"/>
    </row>
    <row r="11" spans="1:16" x14ac:dyDescent="0.25">
      <c r="A11" s="31" t="s">
        <v>172</v>
      </c>
      <c r="B11" s="95"/>
      <c r="C11" s="94"/>
      <c r="D11" s="94"/>
      <c r="E11" s="96">
        <f>SUM(E12:E13)</f>
        <v>-21381.853724001892</v>
      </c>
      <c r="F11" s="94"/>
      <c r="G11" s="94"/>
      <c r="H11" s="96">
        <f>SUM(H12:H13)</f>
        <v>-18952.097619001681</v>
      </c>
      <c r="I11" s="94"/>
      <c r="J11" s="94"/>
      <c r="K11" s="96">
        <f>SUM(K12:K13)</f>
        <v>-16522.341514001466</v>
      </c>
    </row>
    <row r="12" spans="1:16" x14ac:dyDescent="0.25">
      <c r="A12" s="92" t="s">
        <v>172</v>
      </c>
      <c r="B12" s="95">
        <v>3.5000000000000003E-2</v>
      </c>
      <c r="C12" s="94"/>
      <c r="D12" s="94"/>
      <c r="E12" s="97">
        <f>E$5*$B$12</f>
        <v>-30800.000000000004</v>
      </c>
      <c r="F12" s="94"/>
      <c r="G12" s="94"/>
      <c r="H12" s="97">
        <f>H$5*$B$12</f>
        <v>-27300.000000000004</v>
      </c>
      <c r="I12" s="94"/>
      <c r="J12" s="94"/>
      <c r="K12" s="97">
        <f>K$5*$B$12</f>
        <v>-23800.000000000004</v>
      </c>
    </row>
    <row r="13" spans="1:16" ht="17.25" x14ac:dyDescent="0.25">
      <c r="A13" s="92" t="s">
        <v>173</v>
      </c>
      <c r="B13" s="95" cm="1">
        <f t="array" ref="B13">(EinkommenSteuerGesamt($P$1,Ziv)-EinkommenSteuerGesamt($P$1-100,Ziv))/100</f>
        <v>0.30578396999993857</v>
      </c>
      <c r="C13" s="94"/>
      <c r="D13" s="94"/>
      <c r="E13" s="97">
        <f>-$B$13*E12</f>
        <v>9418.1462759981096</v>
      </c>
      <c r="F13" s="94"/>
      <c r="G13" s="94"/>
      <c r="H13" s="97">
        <f>-$B$13*H12</f>
        <v>8347.9023809983246</v>
      </c>
      <c r="I13" s="94"/>
      <c r="J13" s="94"/>
      <c r="K13" s="97">
        <f>-$B$13*K12</f>
        <v>7277.6584859985387</v>
      </c>
    </row>
    <row r="14" spans="1:16" x14ac:dyDescent="0.25">
      <c r="B14" s="94"/>
      <c r="C14" s="94"/>
      <c r="D14" s="94"/>
      <c r="E14" s="94"/>
      <c r="F14" s="94"/>
      <c r="G14" s="94"/>
      <c r="H14" s="94"/>
      <c r="I14" s="94"/>
      <c r="J14" s="94"/>
      <c r="K14" s="94"/>
    </row>
    <row r="15" spans="1:16" x14ac:dyDescent="0.25">
      <c r="B15" s="94"/>
      <c r="C15" s="94"/>
      <c r="D15" s="94"/>
      <c r="E15" s="94"/>
      <c r="F15" s="94"/>
      <c r="G15" s="94"/>
      <c r="H15" s="94"/>
      <c r="I15" s="94"/>
      <c r="J15" s="94"/>
      <c r="K15" s="94"/>
    </row>
    <row r="16" spans="1:16" x14ac:dyDescent="0.25">
      <c r="A16" s="31" t="s">
        <v>175</v>
      </c>
      <c r="B16" s="95"/>
      <c r="C16" s="94"/>
      <c r="D16" s="94"/>
      <c r="E16" s="96">
        <f>SUM(E17:E18)</f>
        <v>0</v>
      </c>
      <c r="F16" s="94"/>
      <c r="G16" s="94"/>
      <c r="H16" s="96">
        <f>SUM(H17:H18)</f>
        <v>2429.756105000215</v>
      </c>
      <c r="I16" s="94"/>
      <c r="J16" s="94"/>
      <c r="K16" s="96">
        <f>SUM(K17:K18)</f>
        <v>4859.5122100004301</v>
      </c>
    </row>
    <row r="17" spans="1:11" x14ac:dyDescent="0.25">
      <c r="A17" s="92" t="s">
        <v>174</v>
      </c>
      <c r="B17" s="95">
        <v>3.5000000000000003E-2</v>
      </c>
      <c r="C17" s="94"/>
      <c r="D17" s="94"/>
      <c r="E17" s="97">
        <f>E$3*$B$17</f>
        <v>0</v>
      </c>
      <c r="F17" s="94"/>
      <c r="G17" s="94"/>
      <c r="H17" s="97">
        <f>H$3*$B$17</f>
        <v>3500.0000000000005</v>
      </c>
      <c r="I17" s="94"/>
      <c r="J17" s="94"/>
      <c r="K17" s="97">
        <f>K$3*$B$17</f>
        <v>7000.0000000000009</v>
      </c>
    </row>
    <row r="18" spans="1:11" ht="17.25" x14ac:dyDescent="0.25">
      <c r="A18" s="92" t="s">
        <v>176</v>
      </c>
      <c r="B18" s="95" cm="1">
        <f t="array" ref="B18">(EinkommenSteuerGesamt($P$1,Ziv)-EinkommenSteuerGesamt($P$1-100,Ziv))/100</f>
        <v>0.30578396999993857</v>
      </c>
      <c r="C18" s="94"/>
      <c r="D18" s="94"/>
      <c r="E18" s="97">
        <f>-$B$18*E17</f>
        <v>0</v>
      </c>
      <c r="F18" s="94"/>
      <c r="G18" s="94"/>
      <c r="H18" s="97">
        <f>-$B$18*H17</f>
        <v>-1070.2438949997852</v>
      </c>
      <c r="I18" s="94"/>
      <c r="J18" s="94"/>
      <c r="K18" s="97">
        <f>-$B$18*K17</f>
        <v>-2140.4877899995704</v>
      </c>
    </row>
    <row r="19" spans="1:11" x14ac:dyDescent="0.25">
      <c r="B19" s="94"/>
      <c r="C19" s="94"/>
      <c r="D19" s="94"/>
      <c r="E19" s="94"/>
      <c r="F19" s="94"/>
      <c r="G19" s="94"/>
      <c r="H19" s="94"/>
      <c r="I19" s="94"/>
      <c r="J19" s="94"/>
      <c r="K19" s="94"/>
    </row>
    <row r="20" spans="1:11" x14ac:dyDescent="0.25">
      <c r="B20" s="94"/>
      <c r="C20" s="94"/>
      <c r="D20" s="94"/>
      <c r="E20" s="94"/>
      <c r="F20" s="94"/>
      <c r="G20" s="94"/>
      <c r="H20" s="94"/>
      <c r="I20" s="94"/>
      <c r="J20" s="94"/>
      <c r="K20" s="94"/>
    </row>
    <row r="21" spans="1:11" x14ac:dyDescent="0.25">
      <c r="A21" s="31" t="s">
        <v>177</v>
      </c>
      <c r="B21" s="95"/>
      <c r="C21" s="94"/>
      <c r="D21" s="94"/>
      <c r="E21" s="96">
        <f>SUM(E22:E23)</f>
        <v>0</v>
      </c>
      <c r="F21" s="94"/>
      <c r="G21" s="94"/>
      <c r="H21" s="96">
        <f>SUM(H22:H23)</f>
        <v>2964.878052500108</v>
      </c>
      <c r="I21" s="94"/>
      <c r="J21" s="94"/>
      <c r="K21" s="96">
        <f>SUM(K22:K23)</f>
        <v>5929.7561050002159</v>
      </c>
    </row>
    <row r="22" spans="1:11" x14ac:dyDescent="0.25">
      <c r="A22" s="92" t="s">
        <v>178</v>
      </c>
      <c r="B22" s="95">
        <v>3.5000000000000003E-2</v>
      </c>
      <c r="C22" s="94"/>
      <c r="D22" s="94"/>
      <c r="E22" s="97">
        <f>$B$22*E3</f>
        <v>0</v>
      </c>
      <c r="F22" s="94"/>
      <c r="G22" s="94"/>
      <c r="H22" s="97">
        <f>$B$22*H3</f>
        <v>3500.0000000000005</v>
      </c>
      <c r="I22" s="94"/>
      <c r="J22" s="94"/>
      <c r="K22" s="97">
        <f>$B$22*K3</f>
        <v>7000.0000000000009</v>
      </c>
    </row>
    <row r="23" spans="1:11" ht="17.25" x14ac:dyDescent="0.25">
      <c r="A23" s="92" t="s">
        <v>179</v>
      </c>
      <c r="B23" s="95" cm="1">
        <f t="array" ref="B23">(EinkommenSteuerGesamt($P$1,Ziv)-EinkommenSteuerGesamt($P$1-100,Ziv))/100/2</f>
        <v>0.15289198499996928</v>
      </c>
      <c r="C23" s="94"/>
      <c r="D23" s="94"/>
      <c r="E23" s="97">
        <f>-$B$23*E22</f>
        <v>0</v>
      </c>
      <c r="F23" s="94"/>
      <c r="G23" s="94"/>
      <c r="H23" s="97">
        <f>-$B$23*H22</f>
        <v>-535.1219474998926</v>
      </c>
      <c r="I23" s="94"/>
      <c r="J23" s="94"/>
      <c r="K23" s="97">
        <f>-$B$23*K22</f>
        <v>-1070.2438949997852</v>
      </c>
    </row>
    <row r="24" spans="1:11" x14ac:dyDescent="0.25">
      <c r="B24" s="94"/>
      <c r="C24" s="94"/>
      <c r="D24" s="94"/>
      <c r="E24" s="94"/>
      <c r="F24" s="94"/>
      <c r="G24" s="94"/>
      <c r="H24" s="94"/>
      <c r="I24" s="94"/>
      <c r="J24" s="94"/>
      <c r="K24" s="94"/>
    </row>
    <row r="25" spans="1:11" x14ac:dyDescent="0.25">
      <c r="B25" s="94"/>
      <c r="C25" s="94"/>
      <c r="D25" s="94"/>
      <c r="E25" s="94"/>
      <c r="F25" s="94"/>
      <c r="G25" s="94"/>
      <c r="H25" s="94"/>
      <c r="I25" s="94"/>
      <c r="J25" s="94"/>
      <c r="K25" s="94"/>
    </row>
    <row r="26" spans="1:11" x14ac:dyDescent="0.25">
      <c r="A26" s="31" t="s">
        <v>180</v>
      </c>
      <c r="B26" s="94"/>
      <c r="C26" s="94"/>
      <c r="D26" s="94"/>
      <c r="E26" s="96">
        <f>-E16+E21</f>
        <v>0</v>
      </c>
      <c r="F26" s="94"/>
      <c r="G26" s="94"/>
      <c r="H26" s="96">
        <f>-H16+H21</f>
        <v>535.12194749989294</v>
      </c>
      <c r="I26" s="94"/>
      <c r="J26" s="94"/>
      <c r="K26" s="96">
        <f>-K16+K21</f>
        <v>1070.2438949997859</v>
      </c>
    </row>
    <row r="28" spans="1:11" x14ac:dyDescent="0.25">
      <c r="A28" s="108" t="str">
        <f>CONCATENATE("1) Basierend auf einem steuerbaren Einkommen von: ",$P$1)</f>
        <v>1) Basierend auf einem steuerbaren Einkommen von: 110000</v>
      </c>
    </row>
    <row r="29" spans="1:11" x14ac:dyDescent="0.25">
      <c r="A29" s="108" t="s">
        <v>309</v>
      </c>
    </row>
  </sheetData>
  <pageMargins left="0.7" right="0.7" top="0.78740157499999996" bottom="0.78740157499999996" header="0.3" footer="0.3"/>
  <pageSetup paperSize="9" orientation="landscape" horizontalDpi="300" verticalDpi="300" r:id="rId1"/>
  <customProperties>
    <customPr name="EpmWorksheetKeyString_GUID" r:id="rId2"/>
  </customProperties>
</worksheet>
</file>

<file path=docMetadata/LabelInfo.xml><?xml version="1.0" encoding="utf-8"?>
<clbl:labelList xmlns:clbl="http://schemas.microsoft.com/office/2020/mipLabelMetadata">
  <clbl:label id="{2cda5d11-f0ac-46b3-967d-af1b2e1bd01a}" enabled="0" method="" siteId="{2cda5d11-f0ac-46b3-967d-af1b2e1bd01a}"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18</vt:i4>
      </vt:variant>
      <vt:variant>
        <vt:lpstr>Benannte Bereiche</vt:lpstr>
      </vt:variant>
      <vt:variant>
        <vt:i4>58</vt:i4>
      </vt:variant>
    </vt:vector>
  </HeadingPairs>
  <TitlesOfParts>
    <vt:vector size="76" baseType="lpstr">
      <vt:lpstr>Steuerdaten_Bern</vt:lpstr>
      <vt:lpstr>Personendaten</vt:lpstr>
      <vt:lpstr>Eink_Verm</vt:lpstr>
      <vt:lpstr>Deckblatt</vt:lpstr>
      <vt:lpstr>Einkommens- Vermögensübersicht</vt:lpstr>
      <vt:lpstr>Steuerbetrachtung</vt:lpstr>
      <vt:lpstr>Rentabilität Säule 3a</vt:lpstr>
      <vt:lpstr>Mehrere S3a Gefässe</vt:lpstr>
      <vt:lpstr>Konto oder Depot S3a</vt:lpstr>
      <vt:lpstr>Finanzplan Variante I</vt:lpstr>
      <vt:lpstr>Finanzplan Variante II</vt:lpstr>
      <vt:lpstr>Finanzplan Variante III</vt:lpstr>
      <vt:lpstr>Vermögen und Steuerentwicklung</vt:lpstr>
      <vt:lpstr>Rente oder Kap</vt:lpstr>
      <vt:lpstr>Gestaffelter Bezug</vt:lpstr>
      <vt:lpstr>PK-Einkauf</vt:lpstr>
      <vt:lpstr>Hypothekarsituation</vt:lpstr>
      <vt:lpstr>Effekt HypoAmo</vt:lpstr>
      <vt:lpstr>'Effekt HypoAmo'!Druckbereich</vt:lpstr>
      <vt:lpstr>'Finanzplan Variante I'!Druckbereich</vt:lpstr>
      <vt:lpstr>'Finanzplan Variante II'!Druckbereich</vt:lpstr>
      <vt:lpstr>'Finanzplan Variante III'!Druckbereich</vt:lpstr>
      <vt:lpstr>'Gestaffelter Bezug'!Druckbereich</vt:lpstr>
      <vt:lpstr>Hypothekarsituation!Druckbereich</vt:lpstr>
      <vt:lpstr>'Mehrere S3a Gefässe'!Druckbereich</vt:lpstr>
      <vt:lpstr>'PK-Einkauf'!Druckbereich</vt:lpstr>
      <vt:lpstr>'Rentabilität Säule 3a'!Druckbereich</vt:lpstr>
      <vt:lpstr>Steuerbetrachtung!Druckbereich</vt:lpstr>
      <vt:lpstr>'Vermögen und Steuerentwicklung'!Druckbereich</vt:lpstr>
      <vt:lpstr>'Finanzplan Variante I'!Drucktitel</vt:lpstr>
      <vt:lpstr>'Finanzplan Variante II'!Drucktitel</vt:lpstr>
      <vt:lpstr>'Finanzplan Variante III'!Drucktitel</vt:lpstr>
      <vt:lpstr>EINK_CH_All</vt:lpstr>
      <vt:lpstr>EINK_CH_Ver</vt:lpstr>
      <vt:lpstr>EINK_GDE_KT_All</vt:lpstr>
      <vt:lpstr>EINK_GDE_KT_Ver</vt:lpstr>
      <vt:lpstr>'Finanzplan Variante I'!FreiVerm</vt:lpstr>
      <vt:lpstr>'Finanzplan Variante II'!FreiVerm</vt:lpstr>
      <vt:lpstr>'Finanzplan Variante III'!FreiVerm</vt:lpstr>
      <vt:lpstr>GDE_Satz</vt:lpstr>
      <vt:lpstr>KAP_KT_All</vt:lpstr>
      <vt:lpstr>KAP_KT_Ver</vt:lpstr>
      <vt:lpstr>Kirch_Satz</vt:lpstr>
      <vt:lpstr>KT_Satz</vt:lpstr>
      <vt:lpstr>PD_Bez1</vt:lpstr>
      <vt:lpstr>PD_Bez2</vt:lpstr>
      <vt:lpstr>PD_Geb1</vt:lpstr>
      <vt:lpstr>PD_Geb2</vt:lpstr>
      <vt:lpstr>PD_Name1</vt:lpstr>
      <vt:lpstr>PD_Name2</vt:lpstr>
      <vt:lpstr>PD_Ort</vt:lpstr>
      <vt:lpstr>PD_VName1</vt:lpstr>
      <vt:lpstr>PD_VName2</vt:lpstr>
      <vt:lpstr>'Finanzplan Variante I'!PlanBeg</vt:lpstr>
      <vt:lpstr>'Finanzplan Variante II'!PlanBeg</vt:lpstr>
      <vt:lpstr>'Finanzplan Variante III'!PlanBeg</vt:lpstr>
      <vt:lpstr>'Finanzplan Variante I'!PlanVar</vt:lpstr>
      <vt:lpstr>'Finanzplan Variante II'!PlanVar</vt:lpstr>
      <vt:lpstr>'Finanzplan Variante III'!PlanVar</vt:lpstr>
      <vt:lpstr>'Finanzplan Variante I'!StbarEink</vt:lpstr>
      <vt:lpstr>'Finanzplan Variante II'!StbarEink</vt:lpstr>
      <vt:lpstr>'Finanzplan Variante III'!StbarEink</vt:lpstr>
      <vt:lpstr>'Finanzplan Variante I'!StbarKap</vt:lpstr>
      <vt:lpstr>'Finanzplan Variante II'!StbarKap</vt:lpstr>
      <vt:lpstr>'Finanzplan Variante III'!StbarKap</vt:lpstr>
      <vt:lpstr>'Finanzplan Variante I'!StbarKapEinz</vt:lpstr>
      <vt:lpstr>'Finanzplan Variante II'!StbarKapEinz</vt:lpstr>
      <vt:lpstr>'Finanzplan Variante III'!StbarKapEinz</vt:lpstr>
      <vt:lpstr>'Finanzplan Variante I'!StbarVerm</vt:lpstr>
      <vt:lpstr>'Finanzplan Variante II'!StbarVerm</vt:lpstr>
      <vt:lpstr>'Finanzplan Variante III'!StbarVerm</vt:lpstr>
      <vt:lpstr>'Finanzplan Variante I'!SteuernGes</vt:lpstr>
      <vt:lpstr>'Finanzplan Variante II'!SteuernGes</vt:lpstr>
      <vt:lpstr>'Finanzplan Variante III'!SteuernGes</vt:lpstr>
      <vt:lpstr>VERM_GDE_KT</vt:lpstr>
      <vt:lpstr>Ziv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Wuethrich</dc:creator>
  <cp:lastModifiedBy>Tim Wuethrich</cp:lastModifiedBy>
  <cp:lastPrinted>2025-02-05T05:56:34Z</cp:lastPrinted>
  <dcterms:created xsi:type="dcterms:W3CDTF">2023-11-06T07:31:30Z</dcterms:created>
  <dcterms:modified xsi:type="dcterms:W3CDTF">2025-02-05T05:57:40Z</dcterms:modified>
</cp:coreProperties>
</file>